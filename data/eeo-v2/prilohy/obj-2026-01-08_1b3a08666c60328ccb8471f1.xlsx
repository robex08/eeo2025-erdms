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9605\Documents\ZZS SK 2026\OBJEDNAVKY 2026\OBJEDNAVKY LEDEN 2026\532026 Computer Help\"/>
    </mc:Choice>
  </mc:AlternateContent>
  <xr:revisionPtr revIDLastSave="0" documentId="8_{3E2973A3-D9E0-436D-A85D-0D7E759412C6}" xr6:coauthVersionLast="47" xr6:coauthVersionMax="47" xr10:uidLastSave="{00000000-0000-0000-0000-000000000000}"/>
  <bookViews>
    <workbookView xWindow="-28920" yWindow="-4605" windowWidth="29040" windowHeight="15720" xr2:uid="{00000000-000D-0000-FFFF-FFFF00000000}"/>
  </bookViews>
  <sheets>
    <sheet name="ADOBE CC" sheetId="5" r:id="rId1"/>
  </sheets>
  <definedNames>
    <definedName name="_xlnm.Print_Area" localSheetId="0">'ADOBE CC'!$A$1:$R$29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" i="5" l="1"/>
  <c r="F12" i="5" s="1"/>
  <c r="F13" i="5" l="1"/>
  <c r="F15" i="5" s="1"/>
  <c r="F16" i="5" s="1"/>
  <c r="F17" i="5" s="1"/>
</calcChain>
</file>

<file path=xl/sharedStrings.xml><?xml version="1.0" encoding="utf-8"?>
<sst xmlns="http://schemas.openxmlformats.org/spreadsheetml/2006/main" count="24" uniqueCount="24">
  <si>
    <t>P/N</t>
  </si>
  <si>
    <t>Položka a její specifikace</t>
  </si>
  <si>
    <t>Cena bez DPH/MJ</t>
  </si>
  <si>
    <t>Počet</t>
  </si>
  <si>
    <t>MJ</t>
  </si>
  <si>
    <t>lic</t>
  </si>
  <si>
    <t>NABÍDKA</t>
  </si>
  <si>
    <t>Předmět</t>
  </si>
  <si>
    <t>Datum</t>
  </si>
  <si>
    <t>Dostupnost</t>
  </si>
  <si>
    <t>Celkem bez DPH</t>
  </si>
  <si>
    <t>3 dny</t>
  </si>
  <si>
    <t>Zákazník</t>
  </si>
  <si>
    <t xml:space="preserve">DPH 21%  </t>
  </si>
  <si>
    <t>Pavlína Krátká</t>
  </si>
  <si>
    <r>
      <rPr>
        <b/>
        <sz val="15"/>
        <rFont val="Arial Narrow"/>
        <family val="2"/>
        <charset val="238"/>
      </rPr>
      <t>COMPUTER HELP, spol. s r.o.</t>
    </r>
    <r>
      <rPr>
        <sz val="10"/>
        <rFont val="Arial Narrow"/>
        <family val="2"/>
        <charset val="238"/>
      </rPr>
      <t xml:space="preserve">
Slezská 2127/13, Praha 2, 120 00</t>
    </r>
  </si>
  <si>
    <t>ABBYY FineReader PDF Corporate, Volume Licenses (concurrent), GOV / NPO / EDU, Subscription 3y, 5–25 Licenses</t>
  </si>
  <si>
    <t>Zdravotnická záchranná služba Středočeského kraje, p. o.</t>
  </si>
  <si>
    <t xml:space="preserve">Nabídka licencí </t>
  </si>
  <si>
    <t xml:space="preserve">Platba mezisoučet bez DPH  </t>
  </si>
  <si>
    <t xml:space="preserve">Platba celkem bez DPH 21% </t>
  </si>
  <si>
    <t xml:space="preserve">Platba celkem vč. DPH 21%  </t>
  </si>
  <si>
    <t>Nabídku zpracoval/a</t>
  </si>
  <si>
    <t>ABBYY - předplatné 3 roky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</si>
</sst>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Kč&quot;"/>
    <numFmt numFmtId="165" formatCode="[$-F800]dddd\,\ mmmm\ dd\,\ yyyy"/>
    <numFmt numFmtId="166" formatCode="#,##0.00\ &quot;Kč&quot;"/>
  </numFmts>
  <fonts count="32" x14ac:knownFonts="1"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b/>
      <sz val="20"/>
      <name val="Arial Narrow"/>
      <family val="2"/>
      <charset val="238"/>
    </font>
    <font>
      <sz val="10"/>
      <name val="Arial Narrow"/>
      <family val="2"/>
      <charset val="238"/>
    </font>
    <font>
      <b/>
      <sz val="15"/>
      <name val="Arial Narrow"/>
      <family val="2"/>
      <charset val="238"/>
    </font>
    <font>
      <sz val="12"/>
      <name val="Arial Narrow"/>
      <family val="2"/>
      <charset val="238"/>
    </font>
    <font>
      <b/>
      <sz val="12"/>
      <name val="Arial Narrow"/>
      <family val="2"/>
      <charset val="238"/>
    </font>
    <font>
      <b/>
      <i/>
      <sz val="12"/>
      <name val="Arial Narrow"/>
      <family val="2"/>
      <charset val="238"/>
    </font>
    <font>
      <sz val="11"/>
      <name val="Arial Narrow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rial Narrow"/>
      <family val="2"/>
      <charset val="238"/>
    </font>
    <font>
      <b/>
      <sz val="11"/>
      <color theme="0"/>
      <name val="Arial Narrow"/>
      <family val="2"/>
      <charset val="238"/>
    </font>
    <font>
      <b/>
      <sz val="11"/>
      <color theme="1"/>
      <name val="Arial Narrow"/>
      <family val="2"/>
      <charset val="238"/>
    </font>
    <font>
      <sz val="11"/>
      <color rgb="FFFF0000"/>
      <name val="Arial Narrow"/>
      <family val="2"/>
      <charset val="238"/>
    </font>
    <font>
      <i/>
      <sz val="11"/>
      <color theme="1"/>
      <name val="Calibri"/>
      <family val="2"/>
      <charset val="238"/>
      <scheme val="minor"/>
    </font>
    <font>
      <i/>
      <sz val="11"/>
      <color theme="1"/>
      <name val="Arial Narrow"/>
      <family val="2"/>
      <charset val="238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0" borderId="25" applyNumberFormat="0" applyFill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2" fillId="20" borderId="0" applyNumberFormat="0" applyBorder="0" applyAlignment="0" applyProtection="0"/>
    <xf numFmtId="0" fontId="13" fillId="21" borderId="26" applyNumberFormat="0" applyAlignment="0" applyProtection="0"/>
    <xf numFmtId="0" fontId="14" fillId="0" borderId="27" applyNumberFormat="0" applyFill="0" applyAlignment="0" applyProtection="0"/>
    <xf numFmtId="0" fontId="15" fillId="0" borderId="28" applyNumberFormat="0" applyFill="0" applyAlignment="0" applyProtection="0"/>
    <xf numFmtId="0" fontId="16" fillId="0" borderId="2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9" fillId="0" borderId="0"/>
    <xf numFmtId="0" fontId="9" fillId="23" borderId="30" applyNumberFormat="0" applyFont="0" applyAlignment="0" applyProtection="0"/>
    <xf numFmtId="0" fontId="19" fillId="0" borderId="31" applyNumberFormat="0" applyFill="0" applyAlignment="0" applyProtection="0"/>
    <xf numFmtId="0" fontId="20" fillId="24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25" borderId="32" applyNumberFormat="0" applyAlignment="0" applyProtection="0"/>
    <xf numFmtId="0" fontId="23" fillId="26" borderId="32" applyNumberFormat="0" applyAlignment="0" applyProtection="0"/>
    <xf numFmtId="0" fontId="24" fillId="26" borderId="33" applyNumberFormat="0" applyAlignment="0" applyProtection="0"/>
    <xf numFmtId="0" fontId="25" fillId="0" borderId="0" applyNumberFormat="0" applyFill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26" fillId="0" borderId="0" xfId="0" applyFont="1"/>
    <xf numFmtId="0" fontId="27" fillId="33" borderId="1" xfId="0" applyFont="1" applyFill="1" applyBorder="1" applyAlignment="1">
      <alignment horizontal="center"/>
    </xf>
    <xf numFmtId="0" fontId="27" fillId="33" borderId="2" xfId="0" applyFont="1" applyFill="1" applyBorder="1" applyAlignment="1">
      <alignment horizontal="center"/>
    </xf>
    <xf numFmtId="0" fontId="27" fillId="33" borderId="3" xfId="0" applyFont="1" applyFill="1" applyBorder="1" applyAlignment="1">
      <alignment horizontal="center"/>
    </xf>
    <xf numFmtId="164" fontId="26" fillId="0" borderId="4" xfId="0" applyNumberFormat="1" applyFont="1" applyBorder="1" applyAlignment="1">
      <alignment horizontal="right" vertical="center"/>
    </xf>
    <xf numFmtId="0" fontId="26" fillId="0" borderId="4" xfId="0" applyFont="1" applyBorder="1" applyAlignment="1">
      <alignment horizontal="center" vertical="center"/>
    </xf>
    <xf numFmtId="0" fontId="5" fillId="0" borderId="0" xfId="0" applyFont="1"/>
    <xf numFmtId="0" fontId="5" fillId="0" borderId="0" xfId="20" applyFont="1" applyAlignment="1" applyProtection="1"/>
    <xf numFmtId="165" fontId="5" fillId="0" borderId="0" xfId="0" applyNumberFormat="1" applyFont="1" applyAlignment="1">
      <alignment horizontal="left"/>
    </xf>
    <xf numFmtId="0" fontId="7" fillId="0" borderId="0" xfId="0" applyFont="1"/>
    <xf numFmtId="0" fontId="28" fillId="34" borderId="6" xfId="0" applyFont="1" applyFill="1" applyBorder="1" applyAlignment="1">
      <alignment horizontal="center" vertical="center"/>
    </xf>
    <xf numFmtId="0" fontId="29" fillId="0" borderId="0" xfId="0" applyFont="1" applyAlignment="1">
      <alignment horizontal="right"/>
    </xf>
    <xf numFmtId="0" fontId="29" fillId="0" borderId="0" xfId="0" applyFont="1"/>
    <xf numFmtId="0" fontId="30" fillId="0" borderId="0" xfId="0" applyFont="1"/>
    <xf numFmtId="164" fontId="26" fillId="0" borderId="4" xfId="0" applyNumberFormat="1" applyFont="1" applyBorder="1" applyAlignment="1">
      <alignment horizontal="center" vertical="center"/>
    </xf>
    <xf numFmtId="0" fontId="31" fillId="0" borderId="0" xfId="0" applyFont="1"/>
    <xf numFmtId="0" fontId="27" fillId="33" borderId="2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left"/>
    </xf>
    <xf numFmtId="0" fontId="26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6" fontId="26" fillId="0" borderId="4" xfId="0" applyNumberFormat="1" applyFont="1" applyBorder="1" applyAlignment="1">
      <alignment horizontal="right" vertical="center"/>
    </xf>
    <xf numFmtId="166" fontId="28" fillId="34" borderId="5" xfId="0" applyNumberFormat="1" applyFont="1" applyFill="1" applyBorder="1" applyAlignment="1">
      <alignment horizontal="right" vertical="center"/>
    </xf>
    <xf numFmtId="0" fontId="8" fillId="0" borderId="34" xfId="0" applyFont="1" applyBorder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28" fillId="35" borderId="13" xfId="0" applyFont="1" applyFill="1" applyBorder="1" applyAlignment="1">
      <alignment horizontal="center"/>
    </xf>
    <xf numFmtId="0" fontId="28" fillId="35" borderId="14" xfId="0" applyFont="1" applyFill="1" applyBorder="1" applyAlignment="1">
      <alignment horizontal="center"/>
    </xf>
    <xf numFmtId="0" fontId="28" fillId="35" borderId="15" xfId="0" applyFont="1" applyFill="1" applyBorder="1" applyAlignment="1">
      <alignment horizontal="center"/>
    </xf>
    <xf numFmtId="0" fontId="28" fillId="35" borderId="8" xfId="0" applyFont="1" applyFill="1" applyBorder="1" applyAlignment="1">
      <alignment horizontal="right"/>
    </xf>
    <xf numFmtId="0" fontId="28" fillId="35" borderId="9" xfId="0" applyFont="1" applyFill="1" applyBorder="1" applyAlignment="1">
      <alignment horizontal="right"/>
    </xf>
    <xf numFmtId="0" fontId="28" fillId="35" borderId="10" xfId="0" applyFont="1" applyFill="1" applyBorder="1" applyAlignment="1">
      <alignment horizontal="right"/>
    </xf>
    <xf numFmtId="166" fontId="28" fillId="34" borderId="11" xfId="0" applyNumberFormat="1" applyFont="1" applyFill="1" applyBorder="1" applyAlignment="1">
      <alignment horizontal="center"/>
    </xf>
    <xf numFmtId="166" fontId="28" fillId="34" borderId="12" xfId="0" applyNumberFormat="1" applyFont="1" applyFill="1" applyBorder="1" applyAlignment="1">
      <alignment horizontal="center"/>
    </xf>
    <xf numFmtId="0" fontId="28" fillId="34" borderId="16" xfId="0" applyFont="1" applyFill="1" applyBorder="1" applyAlignment="1">
      <alignment horizontal="right"/>
    </xf>
    <xf numFmtId="0" fontId="28" fillId="34" borderId="17" xfId="0" applyFont="1" applyFill="1" applyBorder="1" applyAlignment="1">
      <alignment horizontal="right"/>
    </xf>
    <xf numFmtId="0" fontId="28" fillId="34" borderId="18" xfId="0" applyFont="1" applyFill="1" applyBorder="1" applyAlignment="1">
      <alignment horizontal="right"/>
    </xf>
    <xf numFmtId="0" fontId="28" fillId="35" borderId="13" xfId="0" applyFont="1" applyFill="1" applyBorder="1" applyAlignment="1">
      <alignment horizontal="right"/>
    </xf>
    <xf numFmtId="0" fontId="28" fillId="35" borderId="14" xfId="0" applyFont="1" applyFill="1" applyBorder="1" applyAlignment="1">
      <alignment horizontal="right"/>
    </xf>
    <xf numFmtId="0" fontId="28" fillId="35" borderId="19" xfId="0" applyFont="1" applyFill="1" applyBorder="1" applyAlignment="1">
      <alignment horizontal="right"/>
    </xf>
    <xf numFmtId="166" fontId="28" fillId="34" borderId="20" xfId="0" applyNumberFormat="1" applyFont="1" applyFill="1" applyBorder="1" applyAlignment="1">
      <alignment horizontal="center"/>
    </xf>
    <xf numFmtId="166" fontId="26" fillId="0" borderId="21" xfId="0" applyNumberFormat="1" applyFont="1" applyBorder="1" applyAlignment="1">
      <alignment horizontal="center"/>
    </xf>
    <xf numFmtId="0" fontId="28" fillId="35" borderId="22" xfId="0" applyFont="1" applyFill="1" applyBorder="1" applyAlignment="1">
      <alignment horizontal="right"/>
    </xf>
    <xf numFmtId="0" fontId="28" fillId="35" borderId="23" xfId="0" applyFont="1" applyFill="1" applyBorder="1" applyAlignment="1">
      <alignment horizontal="right"/>
    </xf>
    <xf numFmtId="0" fontId="28" fillId="35" borderId="24" xfId="0" applyFont="1" applyFill="1" applyBorder="1" applyAlignment="1">
      <alignment horizontal="right"/>
    </xf>
    <xf numFmtId="166" fontId="28" fillId="34" borderId="4" xfId="0" applyNumberFormat="1" applyFont="1" applyFill="1" applyBorder="1" applyAlignment="1">
      <alignment horizontal="center"/>
    </xf>
    <xf numFmtId="166" fontId="26" fillId="0" borderId="7" xfId="0" applyNumberFormat="1" applyFont="1" applyBorder="1" applyAlignment="1">
      <alignment horizontal="center"/>
    </xf>
  </cellXfs>
  <cellStyles count="44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Hypertextový odkaz" xfId="20" builtinId="8"/>
    <cellStyle name="Chybně 2" xfId="21" xr:uid="{00000000-0005-0000-0000-000014000000}"/>
    <cellStyle name="Kontrolní buňka 2" xfId="22" xr:uid="{00000000-0005-0000-0000-000015000000}"/>
    <cellStyle name="Nadpis 1 2" xfId="23" xr:uid="{00000000-0005-0000-0000-000016000000}"/>
    <cellStyle name="Nadpis 2 2" xfId="24" xr:uid="{00000000-0005-0000-0000-000017000000}"/>
    <cellStyle name="Nadpis 3 2" xfId="25" xr:uid="{00000000-0005-0000-0000-000018000000}"/>
    <cellStyle name="Nadpis 4 2" xfId="26" xr:uid="{00000000-0005-0000-0000-000019000000}"/>
    <cellStyle name="Název 2" xfId="27" xr:uid="{00000000-0005-0000-0000-00001A000000}"/>
    <cellStyle name="Neutrální 2" xfId="28" xr:uid="{00000000-0005-0000-0000-00001B000000}"/>
    <cellStyle name="Normální" xfId="0" builtinId="0"/>
    <cellStyle name="Normální 2" xfId="29" xr:uid="{00000000-0005-0000-0000-00001D000000}"/>
    <cellStyle name="Poznámka 2" xfId="30" xr:uid="{00000000-0005-0000-0000-00001E000000}"/>
    <cellStyle name="Propojená buňka 2" xfId="31" xr:uid="{00000000-0005-0000-0000-00001F000000}"/>
    <cellStyle name="Správně 2" xfId="32" xr:uid="{00000000-0005-0000-0000-000020000000}"/>
    <cellStyle name="Text upozornění 2" xfId="33" xr:uid="{00000000-0005-0000-0000-000021000000}"/>
    <cellStyle name="Vstup 2" xfId="34" xr:uid="{00000000-0005-0000-0000-000022000000}"/>
    <cellStyle name="Výpočet 2" xfId="35" xr:uid="{00000000-0005-0000-0000-000023000000}"/>
    <cellStyle name="Výstup 2" xfId="36" xr:uid="{00000000-0005-0000-0000-000024000000}"/>
    <cellStyle name="Vysvětlující text 2" xfId="37" xr:uid="{00000000-0005-0000-0000-000025000000}"/>
    <cellStyle name="Zvýraznění 1 2" xfId="38" xr:uid="{00000000-0005-0000-0000-000026000000}"/>
    <cellStyle name="Zvýraznění 2 2" xfId="39" xr:uid="{00000000-0005-0000-0000-000027000000}"/>
    <cellStyle name="Zvýraznění 3 2" xfId="40" xr:uid="{00000000-0005-0000-0000-000028000000}"/>
    <cellStyle name="Zvýraznění 4 2" xfId="41" xr:uid="{00000000-0005-0000-0000-000029000000}"/>
    <cellStyle name="Zvýraznění 5 2" xfId="42" xr:uid="{00000000-0005-0000-0000-00002A000000}"/>
    <cellStyle name="Zvýraznění 6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://www.adobe.com/products/audition.html" TargetMode="External"/><Relationship Id="rId7" Type="http://schemas.openxmlformats.org/officeDocument/2006/relationships/hyperlink" Target="http://www.adobe.com/products/encore.html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adobe.com/products/acrobatpro.html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://www.adobe.com/products/bridge.html" TargetMode="External"/><Relationship Id="rId4" Type="http://schemas.openxmlformats.org/officeDocument/2006/relationships/image" Target="../media/image2.png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29</xdr:row>
      <xdr:rowOff>0</xdr:rowOff>
    </xdr:from>
    <xdr:ext cx="152400" cy="152400"/>
    <xdr:pic>
      <xdr:nvPicPr>
        <xdr:cNvPr id="10" name="Obrázek 9" descr="Acrobat XI Pro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492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52400" cy="152400"/>
    <xdr:pic>
      <xdr:nvPicPr>
        <xdr:cNvPr id="11" name="Obrázek 10" descr="Adobe Audition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305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52400" cy="152400"/>
    <xdr:pic>
      <xdr:nvPicPr>
        <xdr:cNvPr id="12" name="Obrázek 11" descr="Bridge CC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686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52400" cy="152400"/>
    <xdr:pic>
      <xdr:nvPicPr>
        <xdr:cNvPr id="13" name="Obrázek 12" descr="Encore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6067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781050</xdr:colOff>
      <xdr:row>2</xdr:row>
      <xdr:rowOff>9525</xdr:rowOff>
    </xdr:from>
    <xdr:to>
      <xdr:col>5</xdr:col>
      <xdr:colOff>802005</xdr:colOff>
      <xdr:row>5</xdr:row>
      <xdr:rowOff>47625</xdr:rowOff>
    </xdr:to>
    <xdr:pic>
      <xdr:nvPicPr>
        <xdr:cNvPr id="22" name="Obrázek 21">
          <a:extLst>
            <a:ext uri="{FF2B5EF4-FFF2-40B4-BE49-F238E27FC236}">
              <a16:creationId xmlns:a16="http://schemas.microsoft.com/office/drawing/2014/main" id="{930AD315-A2D7-44F0-BF92-9DC067D3F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80" t="32784" r="18568" b="34962"/>
        <a:stretch>
          <a:fillRect/>
        </a:stretch>
      </xdr:blipFill>
      <xdr:spPr bwMode="auto">
        <a:xfrm>
          <a:off x="11544300" y="542925"/>
          <a:ext cx="2028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H29"/>
  <sheetViews>
    <sheetView tabSelected="1" zoomScaleNormal="100" workbookViewId="0">
      <selection activeCell="C30" sqref="C30"/>
    </sheetView>
  </sheetViews>
  <sheetFormatPr defaultRowHeight="14.4" x14ac:dyDescent="0.3"/>
  <cols>
    <col min="1" max="1" width="18.6640625" customWidth="1"/>
    <col min="2" max="2" width="86.109375" customWidth="1"/>
    <col min="3" max="3" width="13.109375" customWidth="1"/>
    <col min="4" max="4" width="5.5546875" customWidth="1"/>
    <col min="5" max="5" width="11.33203125" customWidth="1"/>
    <col min="6" max="6" width="12.88671875" customWidth="1"/>
    <col min="7" max="7" width="12" customWidth="1"/>
  </cols>
  <sheetData>
    <row r="1" spans="1:8" ht="26.25" customHeight="1" x14ac:dyDescent="0.45">
      <c r="A1" s="1" t="s">
        <v>6</v>
      </c>
      <c r="B1" s="2"/>
      <c r="C1" s="28" t="s">
        <v>15</v>
      </c>
      <c r="D1" s="29"/>
      <c r="E1" s="29"/>
      <c r="F1" s="29"/>
      <c r="G1" s="29"/>
    </row>
    <row r="2" spans="1:8" ht="15.6" x14ac:dyDescent="0.3">
      <c r="A2" s="12"/>
      <c r="B2" s="10"/>
      <c r="C2" s="29"/>
      <c r="D2" s="29"/>
      <c r="E2" s="29"/>
      <c r="F2" s="29"/>
      <c r="G2" s="29"/>
    </row>
    <row r="3" spans="1:8" ht="15.6" x14ac:dyDescent="0.3">
      <c r="A3" s="20" t="s">
        <v>12</v>
      </c>
      <c r="B3" s="22" t="s">
        <v>17</v>
      </c>
      <c r="C3" s="29"/>
      <c r="D3" s="29"/>
      <c r="E3" s="29"/>
      <c r="F3" s="29"/>
      <c r="G3" s="29"/>
    </row>
    <row r="4" spans="1:8" ht="15.6" x14ac:dyDescent="0.3">
      <c r="A4" s="12" t="s">
        <v>7</v>
      </c>
      <c r="B4" s="10" t="s">
        <v>18</v>
      </c>
      <c r="C4" s="29"/>
      <c r="D4" s="29"/>
      <c r="E4" s="29"/>
      <c r="F4" s="29"/>
      <c r="G4" s="29"/>
    </row>
    <row r="5" spans="1:8" ht="15.6" x14ac:dyDescent="0.3">
      <c r="A5" s="12" t="s">
        <v>8</v>
      </c>
      <c r="B5" s="11">
        <v>46029</v>
      </c>
      <c r="C5" s="29"/>
      <c r="D5" s="29"/>
      <c r="E5" s="29"/>
      <c r="F5" s="29"/>
      <c r="G5" s="29"/>
    </row>
    <row r="6" spans="1:8" ht="15.6" x14ac:dyDescent="0.3">
      <c r="A6" s="9"/>
      <c r="B6" s="9"/>
      <c r="C6" s="29"/>
      <c r="D6" s="29"/>
      <c r="E6" s="29"/>
      <c r="F6" s="29"/>
      <c r="G6" s="29"/>
    </row>
    <row r="7" spans="1:8" ht="15.6" x14ac:dyDescent="0.3">
      <c r="A7" s="12" t="s">
        <v>22</v>
      </c>
      <c r="B7" s="9" t="s">
        <v>14</v>
      </c>
      <c r="C7" s="24"/>
      <c r="D7" s="24"/>
      <c r="E7" s="24"/>
      <c r="F7" s="24"/>
      <c r="G7" s="24"/>
    </row>
    <row r="8" spans="1:8" ht="15.6" x14ac:dyDescent="0.3">
      <c r="A8" s="12"/>
      <c r="B8" s="9"/>
      <c r="C8" s="21"/>
      <c r="D8" s="21"/>
      <c r="E8" s="21"/>
      <c r="F8" s="21"/>
      <c r="G8" s="21"/>
    </row>
    <row r="9" spans="1:8" ht="15" thickBot="1" x14ac:dyDescent="0.35">
      <c r="A9" s="18"/>
      <c r="B9" s="3"/>
      <c r="C9" s="3"/>
      <c r="D9" s="3"/>
      <c r="E9" s="3"/>
      <c r="F9" s="14"/>
      <c r="G9" s="15"/>
    </row>
    <row r="10" spans="1:8" ht="28.8" thickBot="1" x14ac:dyDescent="0.35">
      <c r="A10" s="4" t="s">
        <v>0</v>
      </c>
      <c r="B10" s="5" t="s">
        <v>1</v>
      </c>
      <c r="C10" s="19" t="s">
        <v>2</v>
      </c>
      <c r="D10" s="5" t="s">
        <v>3</v>
      </c>
      <c r="E10" s="5" t="s">
        <v>4</v>
      </c>
      <c r="F10" s="19" t="s">
        <v>10</v>
      </c>
      <c r="G10" s="6" t="s">
        <v>9</v>
      </c>
    </row>
    <row r="11" spans="1:8" x14ac:dyDescent="0.3">
      <c r="A11" s="30" t="s">
        <v>23</v>
      </c>
      <c r="B11" s="31"/>
      <c r="C11" s="31"/>
      <c r="D11" s="31"/>
      <c r="E11" s="31"/>
      <c r="F11" s="31"/>
      <c r="G11" s="32"/>
    </row>
    <row r="12" spans="1:8" x14ac:dyDescent="0.3">
      <c r="A12" s="7"/>
      <c r="B12" s="27" t="s">
        <v>16</v>
      </c>
      <c r="C12" s="25">
        <f>10985*1.1</f>
        <v>12083.500000000002</v>
      </c>
      <c r="D12" s="8">
        <v>5</v>
      </c>
      <c r="E12" s="17" t="s">
        <v>5</v>
      </c>
      <c r="F12" s="25">
        <f>D12*C12</f>
        <v>60417.500000000007</v>
      </c>
      <c r="G12" s="23" t="s">
        <v>11</v>
      </c>
      <c r="H12" s="16"/>
    </row>
    <row r="13" spans="1:8" ht="15" thickBot="1" x14ac:dyDescent="0.35">
      <c r="A13" s="38" t="s">
        <v>19</v>
      </c>
      <c r="B13" s="39"/>
      <c r="C13" s="39"/>
      <c r="D13" s="39"/>
      <c r="E13" s="40"/>
      <c r="F13" s="26">
        <f>SUM(F12:F12)</f>
        <v>60417.500000000007</v>
      </c>
      <c r="G13" s="13"/>
    </row>
    <row r="14" spans="1:8" ht="15" thickBot="1" x14ac:dyDescent="0.35">
      <c r="A14" s="3"/>
      <c r="B14" s="3"/>
      <c r="C14" s="3"/>
      <c r="D14" s="3"/>
      <c r="E14" s="3"/>
      <c r="F14" s="3"/>
      <c r="G14" s="3"/>
    </row>
    <row r="15" spans="1:8" x14ac:dyDescent="0.3">
      <c r="A15" s="3"/>
      <c r="B15" s="3"/>
      <c r="C15" s="41" t="s">
        <v>20</v>
      </c>
      <c r="D15" s="42"/>
      <c r="E15" s="43"/>
      <c r="F15" s="44">
        <f>F13</f>
        <v>60417.500000000007</v>
      </c>
      <c r="G15" s="45"/>
      <c r="H15" s="16"/>
    </row>
    <row r="16" spans="1:8" x14ac:dyDescent="0.3">
      <c r="A16" s="3"/>
      <c r="B16" s="3"/>
      <c r="C16" s="46" t="s">
        <v>13</v>
      </c>
      <c r="D16" s="47"/>
      <c r="E16" s="48"/>
      <c r="F16" s="49">
        <f>F15*0.21</f>
        <v>12687.675000000001</v>
      </c>
      <c r="G16" s="50"/>
    </row>
    <row r="17" spans="1:7" ht="15" thickBot="1" x14ac:dyDescent="0.35">
      <c r="A17" s="3"/>
      <c r="B17" s="3"/>
      <c r="C17" s="33" t="s">
        <v>21</v>
      </c>
      <c r="D17" s="34"/>
      <c r="E17" s="35"/>
      <c r="F17" s="36">
        <f>SUM(F15:G16)</f>
        <v>73105.175000000003</v>
      </c>
      <c r="G17" s="37"/>
    </row>
    <row r="29" spans="1:7" x14ac:dyDescent="0.3">
      <c r="C29" s="3"/>
      <c r="E29" s="3"/>
      <c r="F29" s="3"/>
      <c r="G29" s="3"/>
    </row>
  </sheetData>
  <mergeCells count="9">
    <mergeCell ref="C1:G6"/>
    <mergeCell ref="A11:G11"/>
    <mergeCell ref="C17:E17"/>
    <mergeCell ref="F17:G17"/>
    <mergeCell ref="A13:E13"/>
    <mergeCell ref="C15:E15"/>
    <mergeCell ref="F15:G15"/>
    <mergeCell ref="C16:E16"/>
    <mergeCell ref="F16:G16"/>
  </mergeCells>
  <pageMargins left="0.70866141732283472" right="0.70866141732283472" top="0.78740157480314965" bottom="0.78740157480314965" header="0.31496062992125984" footer="0.31496062992125984"/>
  <pageSetup paperSize="9" scale="5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e220bf-468b-4e00-a980-c61ee1569ef0" xsi:nil="true"/>
    <lcf76f155ced4ddcb4097134ff3c332f xmlns="aca83323-32f3-4413-8276-21ab23322a3e">
      <Terms xmlns="http://schemas.microsoft.com/office/infopath/2007/PartnerControls"/>
    </lcf76f155ced4ddcb4097134ff3c332f>
    <Pozn_x00e1_mka xmlns="aca83323-32f3-4413-8276-21ab23322a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96A97162B23EA49AAC37A5714CAE1E1" ma:contentTypeVersion="16" ma:contentTypeDescription="Vytvoří nový dokument" ma:contentTypeScope="" ma:versionID="e13148e0aff7e3aa02dadd66f7d9fb3c">
  <xsd:schema xmlns:xsd="http://www.w3.org/2001/XMLSchema" xmlns:xs="http://www.w3.org/2001/XMLSchema" xmlns:p="http://schemas.microsoft.com/office/2006/metadata/properties" xmlns:ns2="aca83323-32f3-4413-8276-21ab23322a3e" xmlns:ns3="c6e220bf-468b-4e00-a980-c61ee1569ef0" targetNamespace="http://schemas.microsoft.com/office/2006/metadata/properties" ma:root="true" ma:fieldsID="ab6048fb9092cd4ddbfa888bdb792857" ns2:_="" ns3:_="">
    <xsd:import namespace="aca83323-32f3-4413-8276-21ab23322a3e"/>
    <xsd:import namespace="c6e220bf-468b-4e00-a980-c61ee1569e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Pozn_x00e1_mk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83323-32f3-4413-8276-21ab23322a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52a8804b-5bf0-4335-be2c-4bde7b8991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ozn_x00e1_mka" ma:index="22" nillable="true" ma:displayName="Poznámka" ma:description="Textový popisek" ma:format="Dropdown" ma:internalName="Pozn_x00e1_mka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220bf-468b-4e00-a980-c61ee1569ef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f9de800-cb0e-4b18-802b-e7717e689d81}" ma:internalName="TaxCatchAll" ma:showField="CatchAllData" ma:web="c6e220bf-468b-4e00-a980-c61ee1569e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067945-DFBB-4135-8FA0-59D0EFF59613}">
  <ds:schemaRefs>
    <ds:schemaRef ds:uri="http://schemas.microsoft.com/office/2006/metadata/properties"/>
    <ds:schemaRef ds:uri="http://schemas.microsoft.com/office/infopath/2007/PartnerControls"/>
    <ds:schemaRef ds:uri="c6e220bf-468b-4e00-a980-c61ee1569ef0"/>
    <ds:schemaRef ds:uri="aca83323-32f3-4413-8276-21ab23322a3e"/>
  </ds:schemaRefs>
</ds:datastoreItem>
</file>

<file path=customXml/itemProps2.xml><?xml version="1.0" encoding="utf-8"?>
<ds:datastoreItem xmlns:ds="http://schemas.openxmlformats.org/officeDocument/2006/customXml" ds:itemID="{3E33865E-EF97-48D8-B8A8-8E619C3884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a83323-32f3-4413-8276-21ab23322a3e"/>
    <ds:schemaRef ds:uri="c6e220bf-468b-4e00-a980-c61ee1569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3F889-AE5A-4D83-A09B-DDCC295327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ADOBE CC</vt:lpstr>
      <vt:lpstr>'ADOBE CC'!Oblast_tisku</vt:lpstr>
    </vt:vector>
  </TitlesOfParts>
  <Company>Computer Help spol. s 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Loudín</dc:creator>
  <cp:lastModifiedBy>Hana Jonášová</cp:lastModifiedBy>
  <cp:lastPrinted>2015-06-01T06:41:34Z</cp:lastPrinted>
  <dcterms:created xsi:type="dcterms:W3CDTF">2010-08-18T11:09:06Z</dcterms:created>
  <dcterms:modified xsi:type="dcterms:W3CDTF">2026-01-07T08:54:02Z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0x010100E96A97162B23EA49AAC37A5714CAE1E1</vt:lpwstr>
  </property>
  <property fmtid="{D5CDD505-2E9C-101B-9397-08002B2CF9AE}" pid="3" name="Order">
    <vt:r8>1788800</vt:r8>
  </property>
  <property fmtid="{D5CDD505-2E9C-101B-9397-08002B2CF9AE}" pid="4" name="MediaServiceImageTags">
    <vt:lpwstr/>
  </property>
</Properties>
</file>