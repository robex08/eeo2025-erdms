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Osobní pracovní\Moje tvorba\EEO\"/>
    </mc:Choice>
  </mc:AlternateContent>
  <xr:revisionPtr revIDLastSave="0" documentId="8_{D9B5B92F-DE03-4A2C-B439-AB0B66667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ŘEHLED" sheetId="3" r:id="rId1"/>
    <sheet name="seznamy" sheetId="8" r:id="rId2"/>
    <sheet name="ÚNLZP" sheetId="9" r:id="rId3"/>
    <sheet name="ÚEko" sheetId="18" r:id="rId4"/>
    <sheet name="ÚLé" sheetId="10" r:id="rId5"/>
    <sheet name="ÚPer" sheetId="11" r:id="rId6"/>
    <sheet name="ÚPT" sheetId="13" r:id="rId7"/>
    <sheet name="OIT" sheetId="14" r:id="rId8"/>
    <sheet name="ÚŘe" sheetId="17" r:id="rId9"/>
    <sheet name="ZOS" sheetId="15" r:id="rId10"/>
    <sheet name="PKP" sheetId="16" r:id="rId11"/>
    <sheet name="Souhrn všech plnění" sheetId="22" r:id="rId12"/>
    <sheet name="Čerpání celkem" sheetId="19" r:id="rId13"/>
    <sheet name="Končící smlouvy 2025" sheetId="20" r:id="rId14"/>
  </sheets>
  <definedNames>
    <definedName name="_xlnm._FilterDatabase" localSheetId="13" hidden="1">'Končící smlouvy 2025'!$B$3:$J$18</definedName>
    <definedName name="_xlnm._FilterDatabase" localSheetId="0" hidden="1">PŘEHLED!$A$1:$AL$2047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22" l="1"/>
  <c r="G62" i="22"/>
  <c r="H58" i="22"/>
  <c r="H49" i="22"/>
  <c r="H45" i="22"/>
  <c r="G35" i="22"/>
  <c r="Q9" i="17"/>
  <c r="Q11" i="17"/>
  <c r="Q8" i="17"/>
  <c r="R11" i="17"/>
  <c r="T66" i="14"/>
  <c r="T21" i="14"/>
  <c r="T20" i="14"/>
  <c r="U352" i="13"/>
  <c r="U351" i="13"/>
  <c r="Q77" i="10"/>
  <c r="Q78" i="10"/>
  <c r="Q79" i="10"/>
  <c r="Q80" i="10"/>
  <c r="Q81" i="10"/>
  <c r="Q8" i="10"/>
  <c r="T273" i="9"/>
  <c r="T263" i="9"/>
  <c r="U258" i="9"/>
  <c r="T250" i="9"/>
  <c r="T251" i="9"/>
  <c r="T252" i="9"/>
  <c r="T233" i="9"/>
  <c r="T232" i="9"/>
  <c r="T240" i="9" s="1"/>
  <c r="T223" i="9"/>
  <c r="T231" i="9" s="1"/>
  <c r="T190" i="9"/>
  <c r="T191" i="9"/>
  <c r="T169" i="9"/>
  <c r="T164" i="9"/>
  <c r="T156" i="9"/>
  <c r="T124" i="9"/>
  <c r="T121" i="9"/>
  <c r="T66" i="9"/>
  <c r="T58" i="9"/>
  <c r="T220" i="18"/>
  <c r="T219" i="18"/>
  <c r="U125" i="18"/>
  <c r="T121" i="18"/>
  <c r="T38" i="11"/>
  <c r="S38" i="11"/>
  <c r="R46" i="11"/>
  <c r="G38" i="11"/>
  <c r="R25" i="11"/>
  <c r="R26" i="11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32" i="13"/>
  <c r="U302" i="13"/>
  <c r="U303" i="13"/>
  <c r="U304" i="13"/>
  <c r="U305" i="13"/>
  <c r="U306" i="13"/>
  <c r="U307" i="13"/>
  <c r="U308" i="13"/>
  <c r="U309" i="13"/>
  <c r="U310" i="13"/>
  <c r="U311" i="13"/>
  <c r="U312" i="13"/>
  <c r="U313" i="13"/>
  <c r="U314" i="13"/>
  <c r="U315" i="13"/>
  <c r="U316" i="13"/>
  <c r="U317" i="13"/>
  <c r="U318" i="13"/>
  <c r="U301" i="13"/>
  <c r="U265" i="13"/>
  <c r="U266" i="13"/>
  <c r="U267" i="13"/>
  <c r="U268" i="13"/>
  <c r="U269" i="13"/>
  <c r="U270" i="13"/>
  <c r="U271" i="13"/>
  <c r="U272" i="13"/>
  <c r="U273" i="13"/>
  <c r="U274" i="13"/>
  <c r="U275" i="13"/>
  <c r="U276" i="13"/>
  <c r="U277" i="13"/>
  <c r="U278" i="13"/>
  <c r="U279" i="13"/>
  <c r="U280" i="13"/>
  <c r="U281" i="13"/>
  <c r="U282" i="13"/>
  <c r="U283" i="13"/>
  <c r="U284" i="13"/>
  <c r="U285" i="13"/>
  <c r="U286" i="13"/>
  <c r="U287" i="13"/>
  <c r="U264" i="13"/>
  <c r="U252" i="13"/>
  <c r="U253" i="13"/>
  <c r="U254" i="13"/>
  <c r="U255" i="13"/>
  <c r="U256" i="13"/>
  <c r="U257" i="13"/>
  <c r="U258" i="13"/>
  <c r="U251" i="13"/>
  <c r="U179" i="13"/>
  <c r="U180" i="13"/>
  <c r="U181" i="13"/>
  <c r="U182" i="13"/>
  <c r="U183" i="13"/>
  <c r="U184" i="13"/>
  <c r="U185" i="13"/>
  <c r="U186" i="13"/>
  <c r="U187" i="13"/>
  <c r="U188" i="13"/>
  <c r="U189" i="13"/>
  <c r="U190" i="13"/>
  <c r="U191" i="13"/>
  <c r="U192" i="13"/>
  <c r="U193" i="13"/>
  <c r="U194" i="13"/>
  <c r="U195" i="13"/>
  <c r="U196" i="13"/>
  <c r="U197" i="13"/>
  <c r="U198" i="13"/>
  <c r="U199" i="13"/>
  <c r="U200" i="13"/>
  <c r="U201" i="13"/>
  <c r="U202" i="13"/>
  <c r="U203" i="13"/>
  <c r="U178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5" i="13"/>
  <c r="V349" i="13"/>
  <c r="U249" i="9"/>
  <c r="T249" i="9"/>
  <c r="R249" i="9"/>
  <c r="U240" i="9"/>
  <c r="R240" i="9"/>
  <c r="Q240" i="9"/>
  <c r="U231" i="9"/>
  <c r="R231" i="9"/>
  <c r="R43" i="9"/>
  <c r="O43" i="9"/>
  <c r="W31" i="9" s="1"/>
  <c r="N43" i="9"/>
  <c r="Q43" i="9"/>
  <c r="R30" i="9"/>
  <c r="O30" i="9"/>
  <c r="N30" i="9"/>
  <c r="Q30" i="9"/>
  <c r="V18" i="9" s="1"/>
  <c r="U350" i="13"/>
  <c r="Q350" i="13"/>
  <c r="Q355" i="13" s="1"/>
  <c r="N350" i="13"/>
  <c r="O397" i="13"/>
  <c r="V355" i="13"/>
  <c r="R355" i="13"/>
  <c r="R27" i="11"/>
  <c r="G20" i="11"/>
  <c r="R349" i="13"/>
  <c r="Q349" i="13"/>
  <c r="R28" i="11"/>
  <c r="R29" i="11"/>
  <c r="R30" i="11"/>
  <c r="Q73" i="10"/>
  <c r="Q74" i="10"/>
  <c r="Q75" i="10"/>
  <c r="Q76" i="10"/>
  <c r="Q23" i="10"/>
  <c r="Q7" i="10"/>
  <c r="T262" i="9"/>
  <c r="T200" i="9"/>
  <c r="U355" i="13" l="1"/>
  <c r="T258" i="9"/>
  <c r="W223" i="9"/>
  <c r="W232" i="9"/>
  <c r="W241" i="9"/>
  <c r="V232" i="9"/>
  <c r="U349" i="13"/>
  <c r="W301" i="13" s="1"/>
  <c r="Q231" i="9"/>
  <c r="V223" i="9" s="1"/>
  <c r="Q249" i="9"/>
  <c r="V241" i="9" s="1"/>
  <c r="W18" i="9"/>
  <c r="V31" i="9"/>
  <c r="L355" i="13"/>
  <c r="X350" i="13" s="1"/>
  <c r="K355" i="13"/>
  <c r="W350" i="13" s="1"/>
  <c r="X301" i="13"/>
  <c r="U48" i="18"/>
  <c r="T48" i="18"/>
  <c r="R48" i="18"/>
  <c r="Q48" i="18"/>
  <c r="T163" i="9"/>
  <c r="T155" i="9"/>
  <c r="T144" i="9"/>
  <c r="T120" i="9"/>
  <c r="T119" i="9"/>
  <c r="T217" i="18"/>
  <c r="T216" i="18"/>
  <c r="T215" i="18"/>
  <c r="T214" i="18"/>
  <c r="T213" i="18"/>
  <c r="T212" i="18"/>
  <c r="T211" i="18"/>
  <c r="T120" i="18"/>
  <c r="T125" i="18" s="1"/>
  <c r="U35" i="18"/>
  <c r="U132" i="9"/>
  <c r="R132" i="9"/>
  <c r="Q132" i="9"/>
  <c r="O132" i="9"/>
  <c r="N132" i="9"/>
  <c r="T132" i="9"/>
  <c r="R31" i="11"/>
  <c r="V300" i="13"/>
  <c r="U300" i="13"/>
  <c r="R300" i="13"/>
  <c r="Q300" i="13"/>
  <c r="U109" i="18"/>
  <c r="U110" i="18" s="1"/>
  <c r="T109" i="18"/>
  <c r="T110" i="18"/>
  <c r="V263" i="13"/>
  <c r="R263" i="13"/>
  <c r="Q263" i="13"/>
  <c r="T29" i="18"/>
  <c r="T35" i="14"/>
  <c r="T18" i="14"/>
  <c r="T19" i="14"/>
  <c r="V124" i="9" l="1"/>
  <c r="X264" i="13"/>
  <c r="X251" i="13"/>
  <c r="W44" i="18"/>
  <c r="W264" i="13"/>
  <c r="W124" i="9"/>
  <c r="U263" i="13"/>
  <c r="W251" i="13" s="1"/>
  <c r="R32" i="11"/>
  <c r="T20" i="11" s="1"/>
  <c r="Q21" i="11"/>
  <c r="Q32" i="11" s="1"/>
  <c r="S20" i="11" s="1"/>
  <c r="Q69" i="10"/>
  <c r="Q70" i="10"/>
  <c r="Q71" i="10"/>
  <c r="Q72" i="10"/>
  <c r="Q68" i="10"/>
  <c r="Q6" i="10"/>
  <c r="U43" i="18"/>
  <c r="T43" i="18"/>
  <c r="T272" i="9" l="1"/>
  <c r="T271" i="9"/>
  <c r="T209" i="9"/>
  <c r="T199" i="9"/>
  <c r="T138" i="9"/>
  <c r="U87" i="9"/>
  <c r="T80" i="9"/>
  <c r="T56" i="9"/>
  <c r="T57" i="9"/>
  <c r="T55" i="9"/>
  <c r="T54" i="9"/>
  <c r="T8" i="9"/>
  <c r="U123" i="9"/>
  <c r="T115" i="9"/>
  <c r="T116" i="9"/>
  <c r="T117" i="9"/>
  <c r="T118" i="9"/>
  <c r="R123" i="9"/>
  <c r="Q123" i="9"/>
  <c r="O123" i="9"/>
  <c r="N123" i="9"/>
  <c r="Q7" i="17"/>
  <c r="T46" i="14"/>
  <c r="T17" i="14"/>
  <c r="U392" i="13"/>
  <c r="Q64" i="10"/>
  <c r="Q65" i="10"/>
  <c r="Q66" i="10"/>
  <c r="Q67" i="10"/>
  <c r="Q22" i="10"/>
  <c r="Q38" i="10" s="1"/>
  <c r="Q5" i="10"/>
  <c r="T189" i="9"/>
  <c r="T53" i="9"/>
  <c r="T7" i="9"/>
  <c r="T6" i="9"/>
  <c r="Q233" i="18"/>
  <c r="Q234" i="18"/>
  <c r="Q235" i="18"/>
  <c r="Q236" i="18"/>
  <c r="Q237" i="18"/>
  <c r="Q238" i="18"/>
  <c r="Q239" i="18"/>
  <c r="Q232" i="18"/>
  <c r="T233" i="18"/>
  <c r="T234" i="18"/>
  <c r="T235" i="18"/>
  <c r="T236" i="18"/>
  <c r="T237" i="18"/>
  <c r="T238" i="18"/>
  <c r="T232" i="18"/>
  <c r="U242" i="18"/>
  <c r="R242" i="18"/>
  <c r="W100" i="18"/>
  <c r="V100" i="18"/>
  <c r="T119" i="18"/>
  <c r="V111" i="18" s="1"/>
  <c r="U113" i="18"/>
  <c r="U112" i="18"/>
  <c r="U111" i="18"/>
  <c r="R125" i="18"/>
  <c r="W120" i="18" s="1"/>
  <c r="T226" i="18"/>
  <c r="T163" i="18"/>
  <c r="W28" i="18"/>
  <c r="T28" i="18"/>
  <c r="T35" i="18" s="1"/>
  <c r="V28" i="18" s="1"/>
  <c r="U22" i="18"/>
  <c r="W13" i="18" s="1"/>
  <c r="T14" i="18"/>
  <c r="T13" i="18"/>
  <c r="T224" i="18"/>
  <c r="T225" i="18"/>
  <c r="T223" i="18"/>
  <c r="U231" i="18"/>
  <c r="R231" i="18"/>
  <c r="Q231" i="18"/>
  <c r="Q212" i="18"/>
  <c r="Q213" i="18"/>
  <c r="Q211" i="18"/>
  <c r="U222" i="18"/>
  <c r="R222" i="18"/>
  <c r="V31" i="13"/>
  <c r="X5" i="13" s="1"/>
  <c r="K209" i="13"/>
  <c r="K208" i="13"/>
  <c r="L397" i="13"/>
  <c r="K394" i="13"/>
  <c r="K393" i="13"/>
  <c r="K392" i="13"/>
  <c r="K391" i="13"/>
  <c r="K390" i="13"/>
  <c r="K389" i="13"/>
  <c r="K388" i="13"/>
  <c r="K387" i="13"/>
  <c r="K386" i="13"/>
  <c r="K385" i="13"/>
  <c r="K384" i="13"/>
  <c r="L250" i="13"/>
  <c r="K250" i="13"/>
  <c r="L241" i="13"/>
  <c r="K241" i="13"/>
  <c r="L233" i="13"/>
  <c r="K233" i="13"/>
  <c r="L216" i="13"/>
  <c r="L207" i="13"/>
  <c r="K207" i="13"/>
  <c r="N217" i="13"/>
  <c r="N224" i="13" s="1"/>
  <c r="Q217" i="13"/>
  <c r="Q224" i="13" s="1"/>
  <c r="U217" i="13"/>
  <c r="U224" i="13" s="1"/>
  <c r="G208" i="13"/>
  <c r="V224" i="13"/>
  <c r="R224" i="13"/>
  <c r="O224" i="13"/>
  <c r="V216" i="13"/>
  <c r="U216" i="13"/>
  <c r="R216" i="13"/>
  <c r="O216" i="13"/>
  <c r="N216" i="13"/>
  <c r="Q216" i="13"/>
  <c r="U35" i="14"/>
  <c r="T16" i="14"/>
  <c r="U391" i="13"/>
  <c r="U31" i="13"/>
  <c r="W5" i="13" s="1"/>
  <c r="U405" i="13"/>
  <c r="Q63" i="10"/>
  <c r="Q62" i="10"/>
  <c r="Q61" i="10"/>
  <c r="Q60" i="10"/>
  <c r="Q59" i="10"/>
  <c r="Q58" i="10"/>
  <c r="R38" i="10"/>
  <c r="O38" i="10"/>
  <c r="N38" i="10"/>
  <c r="L38" i="10"/>
  <c r="K38" i="10"/>
  <c r="N39" i="10"/>
  <c r="Q39" i="10"/>
  <c r="R117" i="10"/>
  <c r="O117" i="10"/>
  <c r="L117" i="10"/>
  <c r="K117" i="10"/>
  <c r="N115" i="10"/>
  <c r="N112" i="10"/>
  <c r="N111" i="10"/>
  <c r="N110" i="10"/>
  <c r="N109" i="10"/>
  <c r="N108" i="10"/>
  <c r="N107" i="10"/>
  <c r="Q106" i="10"/>
  <c r="N106" i="10"/>
  <c r="Q105" i="10"/>
  <c r="N105" i="10"/>
  <c r="Q104" i="10"/>
  <c r="N104" i="10"/>
  <c r="Q103" i="10"/>
  <c r="N103" i="10"/>
  <c r="Q102" i="10"/>
  <c r="N102" i="10"/>
  <c r="Q101" i="10"/>
  <c r="N101" i="10"/>
  <c r="T175" i="18"/>
  <c r="T123" i="9" l="1"/>
  <c r="V115" i="9" s="1"/>
  <c r="W115" i="9"/>
  <c r="Q242" i="18"/>
  <c r="T242" i="18"/>
  <c r="W208" i="13"/>
  <c r="W232" i="18"/>
  <c r="U119" i="18"/>
  <c r="W111" i="18" s="1"/>
  <c r="Q125" i="18"/>
  <c r="V120" i="18" s="1"/>
  <c r="T22" i="18"/>
  <c r="V13" i="18" s="1"/>
  <c r="W223" i="18"/>
  <c r="T231" i="18"/>
  <c r="V223" i="18" s="1"/>
  <c r="W211" i="18"/>
  <c r="Q222" i="18"/>
  <c r="T222" i="18"/>
  <c r="K216" i="13"/>
  <c r="K397" i="13"/>
  <c r="W217" i="13"/>
  <c r="X217" i="13"/>
  <c r="X208" i="13"/>
  <c r="Q117" i="10"/>
  <c r="T22" i="10"/>
  <c r="S22" i="10"/>
  <c r="T101" i="10"/>
  <c r="N117" i="10"/>
  <c r="T162" i="9"/>
  <c r="T137" i="9"/>
  <c r="T79" i="9"/>
  <c r="T87" i="9" s="1"/>
  <c r="V79" i="9" s="1"/>
  <c r="T65" i="9"/>
  <c r="T52" i="9"/>
  <c r="T5" i="9"/>
  <c r="Q13" i="9"/>
  <c r="S101" i="10" l="1"/>
  <c r="V232" i="18"/>
  <c r="V211" i="18"/>
  <c r="U225" i="13"/>
  <c r="Q243" i="13"/>
  <c r="Q242" i="13"/>
  <c r="Q234" i="13"/>
  <c r="Q235" i="13"/>
  <c r="Q225" i="13"/>
  <c r="V250" i="13"/>
  <c r="R250" i="13"/>
  <c r="O250" i="13"/>
  <c r="N250" i="13"/>
  <c r="U250" i="13"/>
  <c r="V241" i="13"/>
  <c r="R241" i="13"/>
  <c r="O241" i="13"/>
  <c r="N241" i="13"/>
  <c r="U241" i="13"/>
  <c r="V233" i="13"/>
  <c r="R233" i="13"/>
  <c r="O233" i="13"/>
  <c r="N233" i="13"/>
  <c r="U347" i="9"/>
  <c r="T347" i="9"/>
  <c r="R186" i="9"/>
  <c r="Q186" i="9"/>
  <c r="O186" i="9"/>
  <c r="N186" i="9"/>
  <c r="L186" i="9"/>
  <c r="K186" i="9"/>
  <c r="R177" i="9"/>
  <c r="Q177" i="9"/>
  <c r="O177" i="9"/>
  <c r="N177" i="9"/>
  <c r="L177" i="9"/>
  <c r="K177" i="9"/>
  <c r="Q179" i="13"/>
  <c r="Q180" i="13"/>
  <c r="Q181" i="13"/>
  <c r="Q182" i="13"/>
  <c r="Q183" i="13"/>
  <c r="Q184" i="13"/>
  <c r="Q178" i="13"/>
  <c r="V207" i="13"/>
  <c r="R207" i="13"/>
  <c r="O207" i="13"/>
  <c r="N207" i="13"/>
  <c r="Q145" i="18"/>
  <c r="R145" i="18"/>
  <c r="X225" i="13" l="1"/>
  <c r="Q241" i="13"/>
  <c r="W234" i="13" s="1"/>
  <c r="Q250" i="13"/>
  <c r="W242" i="13" s="1"/>
  <c r="X234" i="13"/>
  <c r="X242" i="13"/>
  <c r="U233" i="13"/>
  <c r="Q233" i="13"/>
  <c r="W225" i="13" s="1"/>
  <c r="V178" i="9"/>
  <c r="V169" i="9"/>
  <c r="W169" i="9"/>
  <c r="W178" i="9"/>
  <c r="Q207" i="13"/>
  <c r="U207" i="13"/>
  <c r="X178" i="13"/>
  <c r="T139" i="18"/>
  <c r="T65" i="14"/>
  <c r="T72" i="14" s="1"/>
  <c r="U72" i="14"/>
  <c r="T15" i="14"/>
  <c r="U389" i="13"/>
  <c r="U390" i="13"/>
  <c r="U399" i="13"/>
  <c r="U400" i="13"/>
  <c r="U401" i="13"/>
  <c r="U402" i="13"/>
  <c r="U403" i="13"/>
  <c r="U404" i="13"/>
  <c r="U398" i="13"/>
  <c r="V410" i="13"/>
  <c r="Q55" i="10"/>
  <c r="Q56" i="10"/>
  <c r="T162" i="18"/>
  <c r="W79" i="9"/>
  <c r="U267" i="9"/>
  <c r="T78" i="9"/>
  <c r="U78" i="9"/>
  <c r="T51" i="9"/>
  <c r="W178" i="13" l="1"/>
  <c r="U410" i="13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7" i="10"/>
  <c r="T205" i="9"/>
  <c r="T206" i="9"/>
  <c r="T207" i="9"/>
  <c r="T208" i="9"/>
  <c r="U213" i="9"/>
  <c r="U195" i="9"/>
  <c r="T188" i="9"/>
  <c r="T195" i="9" s="1"/>
  <c r="W23" i="18"/>
  <c r="V23" i="18"/>
  <c r="R258" i="18"/>
  <c r="W258" i="18"/>
  <c r="V258" i="18"/>
  <c r="T54" i="14"/>
  <c r="U54" i="14"/>
  <c r="R54" i="14"/>
  <c r="Q54" i="14"/>
  <c r="R98" i="14"/>
  <c r="Q91" i="14"/>
  <c r="Q98" i="14" s="1"/>
  <c r="T90" i="14"/>
  <c r="T91" i="14"/>
  <c r="T93" i="14"/>
  <c r="T94" i="14"/>
  <c r="N385" i="13"/>
  <c r="N386" i="13"/>
  <c r="N387" i="13"/>
  <c r="N388" i="13"/>
  <c r="N389" i="13"/>
  <c r="N390" i="13"/>
  <c r="N391" i="13"/>
  <c r="N392" i="13"/>
  <c r="N393" i="13"/>
  <c r="N394" i="13"/>
  <c r="N384" i="13"/>
  <c r="Q385" i="13"/>
  <c r="Q386" i="13"/>
  <c r="Q387" i="13"/>
  <c r="Q388" i="13"/>
  <c r="Q389" i="13"/>
  <c r="Q390" i="13"/>
  <c r="Q391" i="13"/>
  <c r="Q392" i="13"/>
  <c r="Q393" i="13"/>
  <c r="Q394" i="13"/>
  <c r="Q395" i="13"/>
  <c r="Q384" i="13"/>
  <c r="R397" i="13"/>
  <c r="U385" i="13"/>
  <c r="U386" i="13"/>
  <c r="U387" i="13"/>
  <c r="U388" i="13"/>
  <c r="U384" i="13"/>
  <c r="V397" i="13"/>
  <c r="U11" i="16"/>
  <c r="Q6" i="17"/>
  <c r="Q5" i="17"/>
  <c r="T270" i="9"/>
  <c r="T267" i="9"/>
  <c r="U204" i="9"/>
  <c r="T198" i="9"/>
  <c r="T197" i="9"/>
  <c r="U168" i="9"/>
  <c r="T161" i="9"/>
  <c r="T168" i="9" s="1"/>
  <c r="U150" i="9"/>
  <c r="T143" i="9"/>
  <c r="U338" i="9"/>
  <c r="T331" i="9"/>
  <c r="U105" i="9"/>
  <c r="T323" i="9"/>
  <c r="U69" i="9"/>
  <c r="T69" i="9"/>
  <c r="U257" i="18"/>
  <c r="T257" i="18"/>
  <c r="W46" i="14" l="1"/>
  <c r="U397" i="13"/>
  <c r="X384" i="13"/>
  <c r="T213" i="9"/>
  <c r="N397" i="13"/>
  <c r="Q397" i="13"/>
  <c r="V46" i="14"/>
  <c r="G339" i="9"/>
  <c r="T160" i="18"/>
  <c r="T159" i="18"/>
  <c r="W5" i="16"/>
  <c r="T12" i="14"/>
  <c r="T11" i="14"/>
  <c r="T10" i="14"/>
  <c r="T9" i="14"/>
  <c r="V177" i="13"/>
  <c r="U376" i="13"/>
  <c r="U377" i="13"/>
  <c r="U378" i="13"/>
  <c r="R19" i="11"/>
  <c r="W202" i="18"/>
  <c r="T97" i="9"/>
  <c r="T105" i="9" s="1"/>
  <c r="R258" i="9"/>
  <c r="W250" i="9" s="1"/>
  <c r="Q258" i="9"/>
  <c r="V250" i="9" s="1"/>
  <c r="U276" i="9"/>
  <c r="U374" i="9"/>
  <c r="T368" i="9"/>
  <c r="T367" i="9"/>
  <c r="U222" i="9"/>
  <c r="T222" i="9"/>
  <c r="U329" i="9"/>
  <c r="T322" i="9"/>
  <c r="T50" i="9"/>
  <c r="T49" i="9"/>
  <c r="T48" i="9"/>
  <c r="T46" i="9"/>
  <c r="T47" i="9"/>
  <c r="T96" i="9"/>
  <c r="U96" i="9"/>
  <c r="U114" i="9"/>
  <c r="T114" i="9"/>
  <c r="U91" i="18"/>
  <c r="W58" i="18" s="1"/>
  <c r="T91" i="18"/>
  <c r="J4" i="20"/>
  <c r="I4" i="20"/>
  <c r="U12" i="18"/>
  <c r="T12" i="18"/>
  <c r="T268" i="9"/>
  <c r="T269" i="9"/>
  <c r="T358" i="9"/>
  <c r="T357" i="9"/>
  <c r="U365" i="9"/>
  <c r="U356" i="9"/>
  <c r="T349" i="9"/>
  <c r="T348" i="9"/>
  <c r="U159" i="9"/>
  <c r="T159" i="9"/>
  <c r="U141" i="9"/>
  <c r="T141" i="9"/>
  <c r="U62" i="9"/>
  <c r="T45" i="9"/>
  <c r="T44" i="9"/>
  <c r="Q47" i="9"/>
  <c r="T356" i="9" l="1"/>
  <c r="T365" i="9"/>
  <c r="W384" i="13"/>
  <c r="T62" i="9"/>
  <c r="T276" i="9"/>
  <c r="V58" i="18"/>
  <c r="U145" i="18"/>
  <c r="W138" i="18" s="1"/>
  <c r="W64" i="14"/>
  <c r="T7" i="14"/>
  <c r="U98" i="14"/>
  <c r="W41" i="14" s="1"/>
  <c r="V193" i="18"/>
  <c r="O1710" i="3"/>
  <c r="J14" i="19"/>
  <c r="H14" i="19"/>
  <c r="F14" i="19"/>
  <c r="J13" i="19"/>
  <c r="H13" i="19"/>
  <c r="F13" i="19"/>
  <c r="J12" i="19"/>
  <c r="F12" i="19"/>
  <c r="J10" i="19"/>
  <c r="J9" i="19"/>
  <c r="F9" i="19"/>
  <c r="J7" i="19"/>
  <c r="F6" i="19"/>
  <c r="D14" i="19"/>
  <c r="D13" i="19"/>
  <c r="R63" i="14"/>
  <c r="R104" i="14"/>
  <c r="R35" i="14"/>
  <c r="H11" i="19" s="1"/>
  <c r="W90" i="14" l="1"/>
  <c r="V383" i="13"/>
  <c r="U383" i="13"/>
  <c r="T196" i="9"/>
  <c r="T204" i="9" s="1"/>
  <c r="T142" i="9"/>
  <c r="T150" i="9" s="1"/>
  <c r="T330" i="9"/>
  <c r="T338" i="9" s="1"/>
  <c r="T321" i="9"/>
  <c r="T329" i="9" s="1"/>
  <c r="G5" i="14"/>
  <c r="F64" i="14"/>
  <c r="V64" i="14" s="1"/>
  <c r="T5" i="14"/>
  <c r="X32" i="13"/>
  <c r="R84" i="10"/>
  <c r="Q84" i="10"/>
  <c r="R21" i="10"/>
  <c r="Q21" i="10"/>
  <c r="R374" i="9"/>
  <c r="T366" i="9"/>
  <c r="T374" i="9" s="1"/>
  <c r="Q367" i="9"/>
  <c r="Q374" i="9" s="1"/>
  <c r="Q48" i="9"/>
  <c r="N9" i="17"/>
  <c r="N8" i="17"/>
  <c r="Q30" i="14"/>
  <c r="Q29" i="14"/>
  <c r="Q28" i="14"/>
  <c r="Q27" i="14"/>
  <c r="Q26" i="14"/>
  <c r="Q25" i="14"/>
  <c r="Q24" i="14"/>
  <c r="Q23" i="14"/>
  <c r="Q22" i="14"/>
  <c r="Q404" i="13"/>
  <c r="Q403" i="13"/>
  <c r="Q402" i="13"/>
  <c r="O19" i="11"/>
  <c r="N47" i="10"/>
  <c r="N46" i="10"/>
  <c r="N45" i="10"/>
  <c r="N44" i="10"/>
  <c r="N43" i="10"/>
  <c r="N42" i="10"/>
  <c r="N41" i="10"/>
  <c r="T98" i="14"/>
  <c r="V41" i="14" s="1"/>
  <c r="T155" i="18"/>
  <c r="T154" i="18"/>
  <c r="U169" i="18"/>
  <c r="T145" i="18"/>
  <c r="V138" i="18" s="1"/>
  <c r="U137" i="18"/>
  <c r="T137" i="18"/>
  <c r="R12" i="18"/>
  <c r="Q202" i="18"/>
  <c r="F202" i="18"/>
  <c r="V202" i="18" s="1"/>
  <c r="G193" i="18"/>
  <c r="W193" i="18" s="1"/>
  <c r="U181" i="18"/>
  <c r="T181" i="18"/>
  <c r="Q137" i="18"/>
  <c r="R137" i="18"/>
  <c r="Q213" i="9"/>
  <c r="V205" i="9" s="1"/>
  <c r="R213" i="9"/>
  <c r="W205" i="9" s="1"/>
  <c r="Q163" i="18"/>
  <c r="Q174" i="18"/>
  <c r="Q172" i="18"/>
  <c r="Q173" i="18"/>
  <c r="W55" i="14"/>
  <c r="F55" i="14"/>
  <c r="V55" i="14" s="1"/>
  <c r="Q46" i="9"/>
  <c r="R46" i="9"/>
  <c r="R62" i="9" s="1"/>
  <c r="W44" i="9" s="1"/>
  <c r="R57" i="18"/>
  <c r="W53" i="18" s="1"/>
  <c r="Q73" i="9"/>
  <c r="R222" i="9"/>
  <c r="W214" i="9" s="1"/>
  <c r="Q216" i="9"/>
  <c r="R181" i="18"/>
  <c r="Q12" i="18"/>
  <c r="V5" i="18" s="1"/>
  <c r="R99" i="18"/>
  <c r="W94" i="18" s="1"/>
  <c r="Q95" i="18"/>
  <c r="Q94" i="18"/>
  <c r="F94" i="18"/>
  <c r="R169" i="18"/>
  <c r="Q161" i="18"/>
  <c r="Q160" i="18"/>
  <c r="Q159" i="18"/>
  <c r="Q158" i="18"/>
  <c r="Q157" i="18"/>
  <c r="Q156" i="18"/>
  <c r="Q155" i="18"/>
  <c r="Q154" i="18"/>
  <c r="Q44" i="9"/>
  <c r="Q53" i="18"/>
  <c r="Q57" i="18" s="1"/>
  <c r="V53" i="18" s="1"/>
  <c r="H9" i="19" l="1"/>
  <c r="T5" i="11"/>
  <c r="D9" i="19" s="1"/>
  <c r="F8" i="19"/>
  <c r="V90" i="14"/>
  <c r="T169" i="18"/>
  <c r="F10" i="19"/>
  <c r="W154" i="18"/>
  <c r="F7" i="19"/>
  <c r="W5" i="18"/>
  <c r="U177" i="13"/>
  <c r="W32" i="13" s="1"/>
  <c r="Q62" i="9"/>
  <c r="V44" i="9" s="1"/>
  <c r="W129" i="18"/>
  <c r="V129" i="18"/>
  <c r="W170" i="18"/>
  <c r="Q169" i="18"/>
  <c r="Q181" i="18"/>
  <c r="V170" i="18" s="1"/>
  <c r="Q99" i="18"/>
  <c r="V94" i="18" s="1"/>
  <c r="R43" i="18"/>
  <c r="W39" i="18" s="1"/>
  <c r="W99" i="14"/>
  <c r="Q21" i="14"/>
  <c r="Q40" i="18"/>
  <c r="Q43" i="18" s="1"/>
  <c r="V39" i="18" s="1"/>
  <c r="Q214" i="9"/>
  <c r="Q222" i="9" s="1"/>
  <c r="V214" i="9" s="1"/>
  <c r="N7" i="17"/>
  <c r="N6" i="17"/>
  <c r="N5" i="17"/>
  <c r="N37" i="14"/>
  <c r="N36" i="14"/>
  <c r="Q20" i="14"/>
  <c r="Q19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18" i="14"/>
  <c r="Q5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0" i="14"/>
  <c r="N9" i="14"/>
  <c r="N8" i="14"/>
  <c r="N7" i="14"/>
  <c r="N6" i="14"/>
  <c r="N11" i="14"/>
  <c r="N5" i="14"/>
  <c r="Q375" i="13"/>
  <c r="Q374" i="13"/>
  <c r="Q401" i="13"/>
  <c r="Q400" i="13"/>
  <c r="Q399" i="13"/>
  <c r="Q398" i="13"/>
  <c r="N40" i="10"/>
  <c r="R257" i="18"/>
  <c r="W254" i="18" s="1"/>
  <c r="Q257" i="18"/>
  <c r="V254" i="18" s="1"/>
  <c r="O11" i="17"/>
  <c r="T5" i="17" s="1"/>
  <c r="R383" i="13"/>
  <c r="X374" i="13" s="1"/>
  <c r="R410" i="13"/>
  <c r="X398" i="13" s="1"/>
  <c r="O84" i="10"/>
  <c r="T39" i="10" s="1"/>
  <c r="O21" i="10"/>
  <c r="O40" i="14"/>
  <c r="W36" i="14" s="1"/>
  <c r="O35" i="14"/>
  <c r="K21" i="10"/>
  <c r="L21" i="10"/>
  <c r="J8" i="19" s="1"/>
  <c r="Q259" i="9"/>
  <c r="Q267" i="9" s="1"/>
  <c r="V259" i="9" s="1"/>
  <c r="N374" i="9"/>
  <c r="V366" i="9" s="1"/>
  <c r="K361" i="9"/>
  <c r="K360" i="9"/>
  <c r="K359" i="9"/>
  <c r="K357" i="9"/>
  <c r="K358" i="9"/>
  <c r="K355" i="9"/>
  <c r="K354" i="9"/>
  <c r="K353" i="9"/>
  <c r="K352" i="9"/>
  <c r="K351" i="9"/>
  <c r="K350" i="9"/>
  <c r="K349" i="9"/>
  <c r="K348" i="9"/>
  <c r="N383" i="9"/>
  <c r="Q17" i="9"/>
  <c r="R78" i="9"/>
  <c r="W70" i="9" s="1"/>
  <c r="Q78" i="9"/>
  <c r="V70" i="9" s="1"/>
  <c r="Q99" i="14"/>
  <c r="Q104" i="14" s="1"/>
  <c r="V99" i="14" s="1"/>
  <c r="N17" i="9"/>
  <c r="Q276" i="9"/>
  <c r="V268" i="9" s="1"/>
  <c r="R276" i="9"/>
  <c r="W268" i="9" s="1"/>
  <c r="Q204" i="9"/>
  <c r="V196" i="9" s="1"/>
  <c r="R204" i="9"/>
  <c r="W196" i="9" s="1"/>
  <c r="R267" i="9"/>
  <c r="W259" i="9" s="1"/>
  <c r="Q383" i="9"/>
  <c r="R383" i="9"/>
  <c r="R17" i="9"/>
  <c r="R365" i="9"/>
  <c r="Q365" i="9"/>
  <c r="N365" i="9"/>
  <c r="R195" i="9"/>
  <c r="Q195" i="9"/>
  <c r="N195" i="9"/>
  <c r="K195" i="9"/>
  <c r="Q347" i="9"/>
  <c r="R347" i="9"/>
  <c r="N347" i="9"/>
  <c r="K347" i="9"/>
  <c r="R168" i="9"/>
  <c r="W160" i="9" s="1"/>
  <c r="Q168" i="9"/>
  <c r="V160" i="9" s="1"/>
  <c r="Q159" i="9"/>
  <c r="V151" i="9" s="1"/>
  <c r="R159" i="9"/>
  <c r="W151" i="9" s="1"/>
  <c r="Q150" i="9"/>
  <c r="R150" i="9"/>
  <c r="N150" i="9"/>
  <c r="R141" i="9"/>
  <c r="Q141" i="9"/>
  <c r="N141" i="9"/>
  <c r="R338" i="9"/>
  <c r="W330" i="9" s="1"/>
  <c r="Q338" i="9"/>
  <c r="V330" i="9" s="1"/>
  <c r="Q114" i="9"/>
  <c r="V106" i="9" s="1"/>
  <c r="R114" i="9"/>
  <c r="W106" i="9" s="1"/>
  <c r="R105" i="9"/>
  <c r="Q105" i="9"/>
  <c r="N105" i="9"/>
  <c r="Q96" i="9"/>
  <c r="R96" i="9"/>
  <c r="N96" i="9"/>
  <c r="Q329" i="9"/>
  <c r="V321" i="9" s="1"/>
  <c r="R329" i="9"/>
  <c r="W321" i="9" s="1"/>
  <c r="R320" i="9"/>
  <c r="Q320" i="9"/>
  <c r="N320" i="9"/>
  <c r="Q311" i="9"/>
  <c r="R311" i="9"/>
  <c r="N311" i="9"/>
  <c r="Q69" i="9"/>
  <c r="R69" i="9"/>
  <c r="N69" i="9"/>
  <c r="Q390" i="9"/>
  <c r="V384" i="9" s="1"/>
  <c r="R390" i="9"/>
  <c r="W384" i="9" s="1"/>
  <c r="H8" i="19" l="1"/>
  <c r="V97" i="9"/>
  <c r="V133" i="9"/>
  <c r="V5" i="9"/>
  <c r="V154" i="18"/>
  <c r="V303" i="9"/>
  <c r="V339" i="9"/>
  <c r="V187" i="9"/>
  <c r="V88" i="9"/>
  <c r="V375" i="9"/>
  <c r="H6" i="19"/>
  <c r="V63" i="9"/>
  <c r="V142" i="9"/>
  <c r="D12" i="19"/>
  <c r="H12" i="19"/>
  <c r="F11" i="19"/>
  <c r="F16" i="19" s="1"/>
  <c r="J11" i="19"/>
  <c r="D7" i="19"/>
  <c r="H7" i="19"/>
  <c r="D10" i="19"/>
  <c r="H10" i="19"/>
  <c r="T5" i="10"/>
  <c r="D8" i="19" s="1"/>
  <c r="W5" i="14"/>
  <c r="V312" i="9"/>
  <c r="N11" i="17"/>
  <c r="S5" i="17" s="1"/>
  <c r="Q410" i="13"/>
  <c r="W398" i="13" s="1"/>
  <c r="Q383" i="13"/>
  <c r="W374" i="13" s="1"/>
  <c r="K365" i="9"/>
  <c r="V357" i="9" s="1"/>
  <c r="K356" i="9"/>
  <c r="V348" i="9" s="1"/>
  <c r="Q35" i="14"/>
  <c r="N40" i="14"/>
  <c r="V36" i="14" s="1"/>
  <c r="N35" i="14"/>
  <c r="N84" i="10"/>
  <c r="S39" i="10" s="1"/>
  <c r="N21" i="10"/>
  <c r="S5" i="10" s="1"/>
  <c r="O383" i="9"/>
  <c r="W375" i="9" s="1"/>
  <c r="O374" i="9"/>
  <c r="W366" i="9" s="1"/>
  <c r="O365" i="9"/>
  <c r="O195" i="9"/>
  <c r="O347" i="9"/>
  <c r="O150" i="9"/>
  <c r="W142" i="9" s="1"/>
  <c r="O141" i="9"/>
  <c r="W133" i="9" s="1"/>
  <c r="O105" i="9"/>
  <c r="W97" i="9" s="1"/>
  <c r="O96" i="9"/>
  <c r="W88" i="9" s="1"/>
  <c r="O320" i="9"/>
  <c r="W312" i="9" s="1"/>
  <c r="O311" i="9"/>
  <c r="W303" i="9" s="1"/>
  <c r="O69" i="9"/>
  <c r="W63" i="9" s="1"/>
  <c r="L365" i="9"/>
  <c r="L356" i="9"/>
  <c r="L195" i="9"/>
  <c r="L347" i="9"/>
  <c r="O17" i="9"/>
  <c r="W5" i="9" s="1"/>
  <c r="Q1337" i="3"/>
  <c r="O1337" i="3"/>
  <c r="O1306" i="3"/>
  <c r="V5" i="14" l="1"/>
  <c r="W339" i="9"/>
  <c r="D11" i="19"/>
  <c r="W187" i="9"/>
  <c r="W357" i="9"/>
  <c r="J6" i="19"/>
  <c r="J16" i="19" s="1"/>
  <c r="W348" i="9"/>
  <c r="H16" i="19"/>
  <c r="D6" i="19" l="1"/>
  <c r="D16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1000000}">
      <text>
        <r>
          <rPr>
            <sz val="10"/>
            <color rgb="FF000000"/>
            <rFont val="Arial"/>
            <family val="2"/>
            <charset val="238"/>
            <scheme val="minor"/>
          </rPr>
          <t>======
ID#AAABOtVCazc
Brožová Anna    (2024-07-24 09:33:39)
A - AKTIVNÍ
N - NEAKTIVNÍ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8KOF3FCm7s3XfRylLgNcgm1UP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Karolína Wlachová</author>
  </authors>
  <commentList>
    <comment ref="S65" authorId="0" shapeId="0" xr:uid="{D7984BD0-5677-47BC-A379-153313BA7029}">
      <text>
        <r>
          <rPr>
            <b/>
            <sz val="9"/>
            <color indexed="81"/>
            <rFont val="Tahoma"/>
            <family val="2"/>
            <charset val="238"/>
          </rPr>
          <t>Karolína Wlachová:</t>
        </r>
        <r>
          <rPr>
            <sz val="9"/>
            <color indexed="81"/>
            <rFont val="Tahoma"/>
            <family val="2"/>
            <charset val="238"/>
          </rPr>
          <t xml:space="preserve">
Právní poradenství a administrace VZ ‚‚Vozidlo rychlé lékařské pomoci v setkávacím systému 2023“ z FZŠ</t>
        </r>
      </text>
    </comment>
    <comment ref="S67" authorId="0" shapeId="0" xr:uid="{0DA33A84-369A-4981-A584-0EC453E239F5}">
      <text>
        <r>
          <rPr>
            <b/>
            <sz val="9"/>
            <color indexed="81"/>
            <rFont val="Tahoma"/>
            <family val="2"/>
            <charset val="238"/>
          </rPr>
          <t>Karolína Wlachová:</t>
        </r>
        <r>
          <rPr>
            <sz val="9"/>
            <color indexed="81"/>
            <rFont val="Tahoma"/>
            <family val="2"/>
            <charset val="238"/>
          </rPr>
          <t xml:space="preserve">
objednávka - admin. VZ Náhradní díly 
celková částka 150 000 Kč bez DPH</t>
        </r>
      </text>
    </comment>
    <comment ref="S85" authorId="0" shapeId="0" xr:uid="{7BCCAFBA-5521-427F-8970-432483EA7969}">
      <text>
        <r>
          <rPr>
            <b/>
            <sz val="9"/>
            <color indexed="81"/>
            <rFont val="Tahoma"/>
            <family val="2"/>
            <charset val="238"/>
          </rPr>
          <t>Karolína Wlachová:</t>
        </r>
        <r>
          <rPr>
            <sz val="9"/>
            <color indexed="81"/>
            <rFont val="Tahoma"/>
            <family val="2"/>
            <charset val="238"/>
          </rPr>
          <t xml:space="preserve">
objednávka - VZ na Benešov Zhotovitel - navýšení</t>
        </r>
      </text>
    </comment>
    <comment ref="S86" authorId="0" shapeId="0" xr:uid="{3E8A849D-1BC7-420B-82D6-6827339FF6A2}">
      <text>
        <r>
          <rPr>
            <b/>
            <sz val="9"/>
            <color indexed="81"/>
            <rFont val="Tahoma"/>
            <family val="2"/>
            <charset val="238"/>
          </rPr>
          <t>Karolína Wlachová:</t>
        </r>
        <r>
          <rPr>
            <sz val="9"/>
            <color indexed="81"/>
            <rFont val="Tahoma"/>
            <family val="2"/>
            <charset val="238"/>
          </rPr>
          <t xml:space="preserve">
objednávka - VZ na sanitní vozidla typu C (5+5) - navýšení</t>
        </r>
      </text>
    </comment>
    <comment ref="S87" authorId="0" shapeId="0" xr:uid="{916962ED-2C41-42A2-A177-7238CA1DDF26}">
      <text>
        <r>
          <rPr>
            <b/>
            <sz val="9"/>
            <color indexed="81"/>
            <rFont val="Tahoma"/>
            <family val="2"/>
            <charset val="238"/>
          </rPr>
          <t>Karolína Wlachová:</t>
        </r>
        <r>
          <rPr>
            <sz val="9"/>
            <color indexed="81"/>
            <rFont val="Tahoma"/>
            <family val="2"/>
            <charset val="238"/>
          </rPr>
          <t xml:space="preserve">
Právní poradenství a administrace VZ ‚‚Technický dozor investora a koordinátora‘‘ (VS Benešov)</t>
        </r>
      </text>
    </comment>
    <comment ref="S88" authorId="0" shapeId="0" xr:uid="{91FC1392-45DF-46E6-BDE1-281DE173DF89}">
      <text>
        <r>
          <rPr>
            <b/>
            <sz val="9"/>
            <color indexed="81"/>
            <rFont val="Tahoma"/>
            <family val="2"/>
            <charset val="238"/>
          </rPr>
          <t>Karolína Wlachová:</t>
        </r>
        <r>
          <rPr>
            <sz val="9"/>
            <color indexed="81"/>
            <rFont val="Tahoma"/>
            <family val="2"/>
            <charset val="238"/>
          </rPr>
          <t xml:space="preserve">
Právní poradenství a administrace VZ ‚‚Vozidlo rychlé lékařské pomoci v setkávacím systému 2023“ z FZŠ</t>
        </r>
      </text>
    </comment>
    <comment ref="S89" authorId="0" shapeId="0" xr:uid="{058A5092-6AB2-4D94-8279-C0F406B97E12}">
      <text>
        <r>
          <rPr>
            <b/>
            <sz val="9"/>
            <color indexed="81"/>
            <rFont val="Tahoma"/>
            <family val="2"/>
            <charset val="238"/>
          </rPr>
          <t>Karolína Wlachová:</t>
        </r>
        <r>
          <rPr>
            <sz val="9"/>
            <color indexed="81"/>
            <rFont val="Tahoma"/>
            <family val="2"/>
            <charset val="238"/>
          </rPr>
          <t xml:space="preserve">
objednávka - Právní poradenství a administrace nadlimitní VZ na sanitní vozidla typu C (5+5)</t>
        </r>
      </text>
    </comment>
    <comment ref="S90" authorId="0" shapeId="0" xr:uid="{3F6F45F9-3BAA-4BF6-85A5-5F6D7B8CCDAF}">
      <text>
        <r>
          <rPr>
            <b/>
            <sz val="9"/>
            <color indexed="81"/>
            <rFont val="Tahoma"/>
            <family val="2"/>
            <charset val="238"/>
          </rPr>
          <t>Karolína Wlachová:</t>
        </r>
        <r>
          <rPr>
            <sz val="9"/>
            <color indexed="81"/>
            <rFont val="Tahoma"/>
            <family val="2"/>
            <charset val="238"/>
          </rPr>
          <t xml:space="preserve">
objednávka - admin. VZ Náhradní díly 
celková částka 150 000 Kč bez DPH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Karolína Wlachová</author>
  </authors>
  <commentList>
    <comment ref="F20" authorId="0" shapeId="0" xr:uid="{03E77FAB-5B1F-4228-8FA0-523271F6E6F7}">
      <text>
        <r>
          <rPr>
            <b/>
            <sz val="9"/>
            <color indexed="81"/>
            <rFont val="Tahoma"/>
            <family val="2"/>
            <charset val="238"/>
          </rPr>
          <t>Karolína Wlachová:</t>
        </r>
        <r>
          <rPr>
            <sz val="9"/>
            <color indexed="81"/>
            <rFont val="Tahoma"/>
            <family val="2"/>
            <charset val="238"/>
          </rPr>
          <t xml:space="preserve">
smlouva bez stropu, dle domluvy dán limit 500 000 Kč, abychom měli hranici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Karolína Wlachová</author>
  </authors>
  <commentList>
    <comment ref="S65" authorId="0" shapeId="0" xr:uid="{32D6AB81-5DFB-44B8-9527-E8998A7B2EC1}">
      <text>
        <r>
          <rPr>
            <b/>
            <sz val="9"/>
            <color indexed="81"/>
            <rFont val="Tahoma"/>
            <family val="2"/>
            <charset val="238"/>
          </rPr>
          <t>Karolína Wlachová:</t>
        </r>
        <r>
          <rPr>
            <sz val="9"/>
            <color indexed="81"/>
            <rFont val="Tahoma"/>
            <family val="2"/>
            <charset val="238"/>
          </rPr>
          <t xml:space="preserve">
licence MS365 850 ks
</t>
        </r>
      </text>
    </comment>
  </commentList>
</comments>
</file>

<file path=xl/sharedStrings.xml><?xml version="1.0" encoding="utf-8"?>
<sst xmlns="http://schemas.openxmlformats.org/spreadsheetml/2006/main" count="18031" uniqueCount="6640">
  <si>
    <t>ostraha objektu</t>
  </si>
  <si>
    <t>04/12/238</t>
  </si>
  <si>
    <t>Smlouva o zajištění a bezpečnosti objektu_ag. Petr Hollay</t>
  </si>
  <si>
    <t>007/75030926/17</t>
  </si>
  <si>
    <t>výpůjčka 2x záchranářský batoh (D09160467, D09160468)</t>
  </si>
  <si>
    <t>019/75030926/17</t>
  </si>
  <si>
    <t>výpůjčka 6x AED</t>
  </si>
  <si>
    <t>Smlouva o výpůčce-AED</t>
  </si>
  <si>
    <t>1113701</t>
  </si>
  <si>
    <t>023/75030926/17</t>
  </si>
  <si>
    <t>výpůjčka 1x AED (D09160460)</t>
  </si>
  <si>
    <t>předávací protokol - smlouva</t>
  </si>
  <si>
    <t>6512891</t>
  </si>
  <si>
    <t>028/75030926/17</t>
  </si>
  <si>
    <t>výpůjčka 1x AED (D09160455)</t>
  </si>
  <si>
    <t>029/75030926/17</t>
  </si>
  <si>
    <t>výpůjčka 1x AED</t>
  </si>
  <si>
    <t>032/75030926/17</t>
  </si>
  <si>
    <t>výpůjčka 3x AED (D09160456, D09160457, D09160458)</t>
  </si>
  <si>
    <t>Smlouva o výpůjčce AED</t>
  </si>
  <si>
    <t>1205701</t>
  </si>
  <si>
    <t>036/75030926/17</t>
  </si>
  <si>
    <t>výpůjčka 1x AED (D09160459)</t>
  </si>
  <si>
    <t>internet</t>
  </si>
  <si>
    <t>039/75030926/17</t>
  </si>
  <si>
    <t>internet VZ Vranov</t>
  </si>
  <si>
    <t>040/75030926/17</t>
  </si>
  <si>
    <t>výpůjčka 5x AED (D09160461,D09160462,D09160463,D09160464,D09160465)</t>
  </si>
  <si>
    <t>Smlouva o výpůjčce - AED</t>
  </si>
  <si>
    <t>1318202</t>
  </si>
  <si>
    <t>041/75030926/17</t>
  </si>
  <si>
    <t>výpůjčka 1x AED (UH1170005)</t>
  </si>
  <si>
    <t>vodné a stočné</t>
  </si>
  <si>
    <t>042/75030926/17</t>
  </si>
  <si>
    <t>Dodávka vody, Mnichovo Hradiště</t>
  </si>
  <si>
    <t>Smlouva o dodávce vody a odvádění odpadn</t>
  </si>
  <si>
    <t>1318274</t>
  </si>
  <si>
    <t>049/75030926/17</t>
  </si>
  <si>
    <t>výpůjčka radiostanice + PC+ termotiskárna (D09050282,D09140020,D09160165)</t>
  </si>
  <si>
    <t>výpůjčka radiostanice</t>
  </si>
  <si>
    <t>088/75030926/17</t>
  </si>
  <si>
    <t>věcné břemeno (ČEZ) Beroun</t>
  </si>
  <si>
    <t>094/75030926/17</t>
  </si>
  <si>
    <t>darovací smlouva cca 570 ks Kryštůfků</t>
  </si>
  <si>
    <t>darovací smlouva - Kryštůfek</t>
  </si>
  <si>
    <t>1799646</t>
  </si>
  <si>
    <t>104/75030926/17</t>
  </si>
  <si>
    <t>výpůjčka 5x defibrilátor ZOLL + 1x nabíječka</t>
  </si>
  <si>
    <t>Smlouva o výpůjčce</t>
  </si>
  <si>
    <t>1904474</t>
  </si>
  <si>
    <t>mytí vozidel</t>
  </si>
  <si>
    <t>119/75030926/17</t>
  </si>
  <si>
    <t>mytí vozidel VZ Beroun</t>
  </si>
  <si>
    <t>Rámcová smlouva - myčka</t>
  </si>
  <si>
    <t>2025690</t>
  </si>
  <si>
    <t>pronájem</t>
  </si>
  <si>
    <t>148/75030926/17</t>
  </si>
  <si>
    <t>pronájem dopravního prostředku MB Sprinter 316 CDI (UH1050012) + pojistné</t>
  </si>
  <si>
    <t>pronájem dopravního prostředku</t>
  </si>
  <si>
    <t>2474014</t>
  </si>
  <si>
    <t>157/75030926/17</t>
  </si>
  <si>
    <t>výpůjčka batohů s AED včetně příslušenství (14 ks)</t>
  </si>
  <si>
    <t>výpůjčka batohů AED</t>
  </si>
  <si>
    <t>2546458</t>
  </si>
  <si>
    <t>svoz odpadu</t>
  </si>
  <si>
    <t>158/75030926/17</t>
  </si>
  <si>
    <t>svoz směsného komunálního odpadu VZ Uhl. Janovice</t>
  </si>
  <si>
    <t>175/75030926/17</t>
  </si>
  <si>
    <t>nájem garáže VZ Městec Králové</t>
  </si>
  <si>
    <t>Smlouva o pronájmu garáže</t>
  </si>
  <si>
    <t>2719906</t>
  </si>
  <si>
    <t>dodávky poukázek</t>
  </si>
  <si>
    <t>246/75030926/17</t>
  </si>
  <si>
    <t>dodávky poukázek Ticket Sport+Kultura a Ticket Medica</t>
  </si>
  <si>
    <t>Dodávky poukázek Ticket sport, kultura</t>
  </si>
  <si>
    <t>3514004</t>
  </si>
  <si>
    <t>249/75030926/17</t>
  </si>
  <si>
    <t>nákup 3 ks vozidel RV (FZŠ + Fond investic)</t>
  </si>
  <si>
    <t>Nákup 3 ks vozidel RV systém</t>
  </si>
  <si>
    <t>3583936</t>
  </si>
  <si>
    <t>002/75030926/18</t>
  </si>
  <si>
    <t>Smlouva o nájmu nebytových prostor Hořovice (Tinková)</t>
  </si>
  <si>
    <t>smlouva  o nájmu - Ing. Tinková</t>
  </si>
  <si>
    <t>4068904</t>
  </si>
  <si>
    <t>042/75030926/18</t>
  </si>
  <si>
    <t>výpůjčka Defibrilátor ZOLL (UH1050032, výr.č. T04H61641)</t>
  </si>
  <si>
    <t>zajištění praxe</t>
  </si>
  <si>
    <t>049/75030926/18</t>
  </si>
  <si>
    <t>zajištění praxe MUDr. Petra Růžičková od 1.3.2018</t>
  </si>
  <si>
    <t>052/75030926/18</t>
  </si>
  <si>
    <t>výpůjčka 5x defibrilátor ZOLL + nabíječka</t>
  </si>
  <si>
    <t>Výpůjčka 5 ks defibrilátůrů-Samaritáni</t>
  </si>
  <si>
    <t>4627540</t>
  </si>
  <si>
    <t>069/75030926/18</t>
  </si>
  <si>
    <t>pronájem modemu VZ Městec Králové</t>
  </si>
  <si>
    <t>070/75030926/18</t>
  </si>
  <si>
    <t>internet VZ Městec Králové</t>
  </si>
  <si>
    <t>odběr baterií</t>
  </si>
  <si>
    <t>072/75030926/18</t>
  </si>
  <si>
    <t>zpětný odběr přenosných baterií a akumulátorů</t>
  </si>
  <si>
    <t>závodní péče</t>
  </si>
  <si>
    <t>133/75030926/18</t>
  </si>
  <si>
    <t>pracovnělékařské služby MUDr. Jana Bačovská</t>
  </si>
  <si>
    <t>Smlouva se závodním lékařem-dr.Bačovská</t>
  </si>
  <si>
    <t>5319791</t>
  </si>
  <si>
    <t>optika Kladno</t>
  </si>
  <si>
    <t>138/75030926/18</t>
  </si>
  <si>
    <t>IOL Ethernet Kladno (optika)</t>
  </si>
  <si>
    <t>IOL Ethernet Kladno</t>
  </si>
  <si>
    <t>5364139</t>
  </si>
  <si>
    <t>139/75030926/18</t>
  </si>
  <si>
    <t>pracovnělékařské služby MUDr. Jana Císařová</t>
  </si>
  <si>
    <t>Smlouva se závod. lékařem-MUDr.Císařová</t>
  </si>
  <si>
    <t>5364207</t>
  </si>
  <si>
    <t>141/75030926/18</t>
  </si>
  <si>
    <t>pracovnělékařské služby MUDr. Aleš Zikmunda</t>
  </si>
  <si>
    <t>Smlouva se záv.líkařem-MUDr.Zikmunda</t>
  </si>
  <si>
    <t>5364319</t>
  </si>
  <si>
    <t>pomoc na vyžádání</t>
  </si>
  <si>
    <t>147/75030926/18</t>
  </si>
  <si>
    <t>plánovaná pomoc na vyžádání v rámci IZS</t>
  </si>
  <si>
    <t>148/75030926/18</t>
  </si>
  <si>
    <t>163/75030926/18</t>
  </si>
  <si>
    <t>183/75030926/18</t>
  </si>
  <si>
    <t>ostatní</t>
  </si>
  <si>
    <t>194/75030926/18</t>
  </si>
  <si>
    <t>smlouva o zpracování osobních údajů</t>
  </si>
  <si>
    <t>196/75030926/18</t>
  </si>
  <si>
    <t>pracovnělékařské služby Kačengovi ordinace s.r.o. (Benešov)</t>
  </si>
  <si>
    <t>Smlouva se ZL-Kačengovi</t>
  </si>
  <si>
    <t>5864351</t>
  </si>
  <si>
    <t>204/75030926/18</t>
  </si>
  <si>
    <t>pracovnělékařské služby MUDr. Věra Beranová</t>
  </si>
  <si>
    <t>smlouva PL služby nemocnice Kolín</t>
  </si>
  <si>
    <t>5975491</t>
  </si>
  <si>
    <t>226/75030926/18</t>
  </si>
  <si>
    <t>238/75030926/18</t>
  </si>
  <si>
    <t>věcné břemeno VZ Městec Králové</t>
  </si>
  <si>
    <t>254/75030926/18</t>
  </si>
  <si>
    <t>smlouva o centralizovaném zadávání pojištění vozidel + Kooperativa 2023-2027</t>
  </si>
  <si>
    <t>zpracování os. údajů</t>
  </si>
  <si>
    <t>261/75030926/18</t>
  </si>
  <si>
    <t>smlouva o zpracování osobních údajů - odečty tepla Příbram - Březové Hory</t>
  </si>
  <si>
    <t>269/75030926/18</t>
  </si>
  <si>
    <t>výpůjčka VW Transporter 9S5 0682 a transp. technika (UH1090009, UH1090010)</t>
  </si>
  <si>
    <t>280/75030926/18</t>
  </si>
  <si>
    <t>281/75030926/18</t>
  </si>
  <si>
    <t>služby</t>
  </si>
  <si>
    <t>299/75030926/18</t>
  </si>
  <si>
    <t>zajištění kybernetické bezpečnosti - část B</t>
  </si>
  <si>
    <t>Smlouva o zajištění kybernetické bezp. B</t>
  </si>
  <si>
    <t>6948275</t>
  </si>
  <si>
    <t>likvidace opiátů</t>
  </si>
  <si>
    <t>304/75030926/18</t>
  </si>
  <si>
    <t>zajištění likvidace návykových látek a přípravků (opiáty)</t>
  </si>
  <si>
    <t>308/75030926/18</t>
  </si>
  <si>
    <t>nájem + služby (voda, teplo, el.,) VZ Roztoky u Křivoklátu</t>
  </si>
  <si>
    <t>nájemní smlouva Roztoky</t>
  </si>
  <si>
    <t>odpad</t>
  </si>
  <si>
    <t>314/75030926/18</t>
  </si>
  <si>
    <t>svoz komunálního odpadu papír, sklo, plast na VZ Benešov</t>
  </si>
  <si>
    <t>Smlouva odpad.hospod.</t>
  </si>
  <si>
    <t>elektrické zařízení</t>
  </si>
  <si>
    <t>315/75030926/18</t>
  </si>
  <si>
    <t>připojení k distribuční soustavě VN nebo VVN Kladno</t>
  </si>
  <si>
    <t>Smlouva o účtu</t>
  </si>
  <si>
    <t>028/75030926/19</t>
  </si>
  <si>
    <t>Smlouva o účtu č. 6522432/0800</t>
  </si>
  <si>
    <t>Smlouva o účtu- ČS</t>
  </si>
  <si>
    <t>7557647</t>
  </si>
  <si>
    <t>Nájem převaděče</t>
  </si>
  <si>
    <t>045/75030926/19</t>
  </si>
  <si>
    <t>Nájem převaděče Soutice</t>
  </si>
  <si>
    <t>SMLOUVA O PRÁVU NA UMÍSTĚNÍ ZAŘÍZENÍ</t>
  </si>
  <si>
    <t>7628603</t>
  </si>
  <si>
    <t>Závodní lékař</t>
  </si>
  <si>
    <t>055/75030926/19</t>
  </si>
  <si>
    <t>Pracovnělékařské služby, MUDr.Nina Trojánková, Praha-východ, Benešov</t>
  </si>
  <si>
    <t>smlouva PLS-dr.Trojánková</t>
  </si>
  <si>
    <t>7706459</t>
  </si>
  <si>
    <t>Zdravotnický dozor</t>
  </si>
  <si>
    <t>080/75030926/19</t>
  </si>
  <si>
    <t>093/75030926/19</t>
  </si>
  <si>
    <t>svoz odpadu směsný + plasty, VZ Jesenice</t>
  </si>
  <si>
    <t>Memorandum o spolupr</t>
  </si>
  <si>
    <t>095/75030926/19</t>
  </si>
  <si>
    <t>Central. zadávání</t>
  </si>
  <si>
    <t>141/75030926/19</t>
  </si>
  <si>
    <t>smlouva o centralizovaném zadávání energií</t>
  </si>
  <si>
    <t>Závodní péče</t>
  </si>
  <si>
    <t>177/75030926/19</t>
  </si>
  <si>
    <t>pracovnělékařské služby pro Beroun, MUDr. Barbora Darebná</t>
  </si>
  <si>
    <t>Závodní lékař pro okresní pracoviště ZZS SčK Beroun</t>
  </si>
  <si>
    <t>8696943</t>
  </si>
  <si>
    <t>SW řešení pro výjezd</t>
  </si>
  <si>
    <t>188/75030926/19</t>
  </si>
  <si>
    <t>Smlouva o dílo a licenční smlouva "SW řešení pro výjezdové skupiny"</t>
  </si>
  <si>
    <t>SW řešení pro výjezdové skupiny</t>
  </si>
  <si>
    <t>8805055</t>
  </si>
  <si>
    <t>208/75030926/19</t>
  </si>
  <si>
    <t>Sml. o sml. budoucí o realizaci přeložek, náhrada oplocení, k.ú. Benešov u Prahy</t>
  </si>
  <si>
    <t>Sml. o sml. budoucí o realizaci přeložek, náhrada oplocení</t>
  </si>
  <si>
    <t>9120163</t>
  </si>
  <si>
    <t>Časová razítka</t>
  </si>
  <si>
    <t>S-271/75030926/19</t>
  </si>
  <si>
    <t>Sml. o poskytování služeb při vydávání kvalifikačních elektro časových razítek</t>
  </si>
  <si>
    <t>S-272/75030926/19</t>
  </si>
  <si>
    <t>Výpůjčka dopravního prostředku VW Transporter T5, RZ 7S6 8653</t>
  </si>
  <si>
    <t>Výpůjčka dopravního prostředku VW Transporter</t>
  </si>
  <si>
    <t>9946312</t>
  </si>
  <si>
    <t>Smlouva o akreditaci</t>
  </si>
  <si>
    <t>S-276/75030926/19</t>
  </si>
  <si>
    <t>Smlouva o akreditaci s MZ, specializovaný výcvik v oboru Urgentní medicína</t>
  </si>
  <si>
    <t>Smlouva o akreditaci s MZ,</t>
  </si>
  <si>
    <t>10019128</t>
  </si>
  <si>
    <t>Pojistná smlouva</t>
  </si>
  <si>
    <t>S-014/75030926/20</t>
  </si>
  <si>
    <t>Pojistná smlouva č. 0518668018 k pojištění majetku, Uzavíraná s Krajem</t>
  </si>
  <si>
    <t>S-024/75030926/20</t>
  </si>
  <si>
    <t>internet v Kostelci nad Černými lesy</t>
  </si>
  <si>
    <t>Služba TCTV 112</t>
  </si>
  <si>
    <t>S-030/75030926/20</t>
  </si>
  <si>
    <t>Poskytnutí služby TCTV 112 - předání AML zpráv do IS OŘ ZZS</t>
  </si>
  <si>
    <t>10769628</t>
  </si>
  <si>
    <t>Služba SMS konektoru</t>
  </si>
  <si>
    <t>S-031/75030926/20</t>
  </si>
  <si>
    <t>Poskytnutí služby SMS konektoru TCTV 112</t>
  </si>
  <si>
    <t>10769696</t>
  </si>
  <si>
    <t>Zprostředkování</t>
  </si>
  <si>
    <t>S-034/75030926/20</t>
  </si>
  <si>
    <t>Smlouva o zprostředkování, správěpojištění a poradenské činnosti</t>
  </si>
  <si>
    <t>10805196</t>
  </si>
  <si>
    <t>Kurz řidiče</t>
  </si>
  <si>
    <t>S-051/75030926/20</t>
  </si>
  <si>
    <t>Spolupráce v akreditovaném kvalifikačním kurzu - Řidič zdravotnické dopr. služby</t>
  </si>
  <si>
    <t>S-053/75030926/20</t>
  </si>
  <si>
    <t>Výpůjčka VW Transporter T5, RZ: 9S5 0684</t>
  </si>
  <si>
    <t>11092064</t>
  </si>
  <si>
    <t>S-056/75030926/20</t>
  </si>
  <si>
    <t>Výpůjčka VW Transporter T5, RZ 9S5 0680</t>
  </si>
  <si>
    <t>11208472</t>
  </si>
  <si>
    <t>S-061/75030926/20</t>
  </si>
  <si>
    <t>Dohoda o spolupráci - výuka studentů</t>
  </si>
  <si>
    <t>S-068/75030926/20</t>
  </si>
  <si>
    <t>Spolupráce při provádění laboratorních vyšetření biologického materiálu</t>
  </si>
  <si>
    <t>Svoz odpadu</t>
  </si>
  <si>
    <t>S-073/75030926/20</t>
  </si>
  <si>
    <t>Svoz komunálního odpadu, plastů, Mnihcovo Hradiště, Mladá Boleslav</t>
  </si>
  <si>
    <t>S-085/75030926/20</t>
  </si>
  <si>
    <t>Svoz odpadu (plast, papír), Benátky nad Jizerou</t>
  </si>
  <si>
    <t>Nájemní smlouva</t>
  </si>
  <si>
    <t>S-093/75030926/20</t>
  </si>
  <si>
    <t>nájem + služby (teplo, el., vodné a stočné) VZ Brandýs nad Labem</t>
  </si>
  <si>
    <t>Nájemní smlouva Brandýs nad Labem</t>
  </si>
  <si>
    <t>12198208</t>
  </si>
  <si>
    <t>Věcné břemeno</t>
  </si>
  <si>
    <t>S-094/75030926/20</t>
  </si>
  <si>
    <t>Věcné břemeno - zřízení služebnosti užívacího práva a práva stezky</t>
  </si>
  <si>
    <t>telekom. služby</t>
  </si>
  <si>
    <t>S-131/75030926/20</t>
  </si>
  <si>
    <t>telekomunikační služby, číslo oprávnění</t>
  </si>
  <si>
    <t>Nájem</t>
  </si>
  <si>
    <t>S-133/75030926/20</t>
  </si>
  <si>
    <t>nájem + služby VZ Lysá nad Labem</t>
  </si>
  <si>
    <t>12659264</t>
  </si>
  <si>
    <t>Zajištění ostrahy</t>
  </si>
  <si>
    <t>S-138/75030926/20</t>
  </si>
  <si>
    <t>ostraha objektu VZ Neratovice (Petr Hollay)</t>
  </si>
  <si>
    <t>S-151/75030926/20</t>
  </si>
  <si>
    <t>pracovnělékařské služby MUDr. Veronika Drábová, Příbram</t>
  </si>
  <si>
    <t>12777340</t>
  </si>
  <si>
    <t>Servisní smlouva</t>
  </si>
  <si>
    <t>S-168/75030926/20</t>
  </si>
  <si>
    <t>servis klimatizací Kladno a Benešov</t>
  </si>
  <si>
    <t>Servisní smlouva - servis a údržba serverovny</t>
  </si>
  <si>
    <t>12927684</t>
  </si>
  <si>
    <t>S-189/75030926/20</t>
  </si>
  <si>
    <t>Smlouva o výpůjčce dopravního prostředku VW T5 rz 2SD 2594 nosítka, radiostanice</t>
  </si>
  <si>
    <t>13234320</t>
  </si>
  <si>
    <t>S-190/75030926/20</t>
  </si>
  <si>
    <t>Smlouva o výpůjčce dopravního prostředku VW T5 rz 3SJ 4819 nosítka, mobilní jedn</t>
  </si>
  <si>
    <t>13234336</t>
  </si>
  <si>
    <t>S-193/75030926/20</t>
  </si>
  <si>
    <t>Výpůjčka dopravního prostředku, VW Transporter T5, rz 2SD 2588</t>
  </si>
  <si>
    <t>13297332</t>
  </si>
  <si>
    <t>S-194/75030926/20</t>
  </si>
  <si>
    <t>Výpůjčka dopravního prostředku, kolový kontejner, rz 5S7 8717</t>
  </si>
  <si>
    <t>13297336</t>
  </si>
  <si>
    <t>S-200/75030926/20</t>
  </si>
  <si>
    <t>plánovaná pomoc na vyžádání v rámci IZS - NONSTOP</t>
  </si>
  <si>
    <t>S-212/75030926/20</t>
  </si>
  <si>
    <t>Výpůjčka 9ks polomasek PM1, 34 ks celoobličejové masky GUZU CM-6</t>
  </si>
  <si>
    <t>13635209</t>
  </si>
  <si>
    <t>S-003/75030926/21</t>
  </si>
  <si>
    <t>komunální odpad VZ Zbraslavice, komunální odpad + plast + papír VZ Kutná Hora</t>
  </si>
  <si>
    <t>14183759</t>
  </si>
  <si>
    <t>S-007/75030926/21</t>
  </si>
  <si>
    <t>Smlouva o výpůjčce prostoru k podnikání, Mnichovo Hradiště</t>
  </si>
  <si>
    <t>S-008/75030926/21</t>
  </si>
  <si>
    <t>směsný komunální odpad z VZ Kolín</t>
  </si>
  <si>
    <t>14230287</t>
  </si>
  <si>
    <t>S-013/75030926/21</t>
  </si>
  <si>
    <t>směsný komunální odpad + papír + plast z VZ Brandýs nad Labem</t>
  </si>
  <si>
    <t>S-018/75030926/21</t>
  </si>
  <si>
    <t>Smlouva o výpůjčce 6 ks detektoru CO BW Clip</t>
  </si>
  <si>
    <t>dětská skupina</t>
  </si>
  <si>
    <t>S-020/75030926/21</t>
  </si>
  <si>
    <t>Prohlášení o partnerství - Dětská skupina Rybička</t>
  </si>
  <si>
    <t>14691243</t>
  </si>
  <si>
    <t>S-029/75030926/21</t>
  </si>
  <si>
    <t>svoz odpadu - Jesenice</t>
  </si>
  <si>
    <t>14945959</t>
  </si>
  <si>
    <t>Bio odpad</t>
  </si>
  <si>
    <t>S-033/75030926/21</t>
  </si>
  <si>
    <t>Smlouva o svozu bio odpadu, Brandýs nad Labem</t>
  </si>
  <si>
    <t>S-038/75030926/21</t>
  </si>
  <si>
    <t>připojení odběrného elektrického zařízení - Neratovice</t>
  </si>
  <si>
    <t>S-039/75030926/21</t>
  </si>
  <si>
    <t>Dohoda o zajištění přístupové cesty Kostelec nad Černími lesy</t>
  </si>
  <si>
    <t>S-043/75030926/21</t>
  </si>
  <si>
    <t>výpůjčka prostor VZ Dobříš + plyn, el. energie, vodné a stočné</t>
  </si>
  <si>
    <t>S-044/75030926/21</t>
  </si>
  <si>
    <t>výpůjčka prostor VZ Příbram + teplo, el. energie, vodné a stočné, odpad</t>
  </si>
  <si>
    <t>nájem převaděče</t>
  </si>
  <si>
    <t>S-045/75030926/21</t>
  </si>
  <si>
    <t>nájem převaděče Ostředek</t>
  </si>
  <si>
    <t>15338419</t>
  </si>
  <si>
    <t>S-049/75030926/21</t>
  </si>
  <si>
    <t>dar - poděkování k národnímu dni tísňového volání</t>
  </si>
  <si>
    <t>Smlouva o smlouvě</t>
  </si>
  <si>
    <t>S-052/75030926/21</t>
  </si>
  <si>
    <t>Smlouva o smlouvě budoucí - zřízení věcného břemene služebnosti</t>
  </si>
  <si>
    <t>S-060/75030926/21</t>
  </si>
  <si>
    <t>Svoz komunálního odpadu VZ Nymburk</t>
  </si>
  <si>
    <t>S-073/75030926/21</t>
  </si>
  <si>
    <t>Svoz komunálního odpadu Zdice, Hořovice</t>
  </si>
  <si>
    <t>Bankovní účet</t>
  </si>
  <si>
    <t>S-098/75030926/21</t>
  </si>
  <si>
    <t>Bankovní účet, transparentní, Tornádo</t>
  </si>
  <si>
    <t>revizní činnost</t>
  </si>
  <si>
    <t>S-147/75030926/21</t>
  </si>
  <si>
    <t>revizní činnost v oblasti elektro</t>
  </si>
  <si>
    <t>S-164/75030926/21</t>
  </si>
  <si>
    <t>Smlouva o výpůjčce vakuové matrace</t>
  </si>
  <si>
    <t>BTK</t>
  </si>
  <si>
    <t>S-167/75030926/21</t>
  </si>
  <si>
    <t>Smlouva o dílo - zajištění BTK</t>
  </si>
  <si>
    <t>16937807</t>
  </si>
  <si>
    <t>Rámcová o dílo</t>
  </si>
  <si>
    <t>S-179/75030926/21</t>
  </si>
  <si>
    <t>OOPP pro členy výjezdových skupin - A - budy, kalhoty a mikiny</t>
  </si>
  <si>
    <t>S-180/75030926/21</t>
  </si>
  <si>
    <t>OOPP pro členy výjezdových skupin - B - trika a polokošile</t>
  </si>
  <si>
    <t>17272279</t>
  </si>
  <si>
    <t>S-181/75030926/21</t>
  </si>
  <si>
    <t>Výpůjčka 5ks detektoru plynu CO</t>
  </si>
  <si>
    <t>S-187/75030926/21</t>
  </si>
  <si>
    <t>Výpůjčka CO BW Clip</t>
  </si>
  <si>
    <t>ostraha</t>
  </si>
  <si>
    <t>S-193/75030926/21</t>
  </si>
  <si>
    <t>ostraha ZZS Kostelec nad Černými lesy</t>
  </si>
  <si>
    <t>Rámcová kupní</t>
  </si>
  <si>
    <t>S-195/75030926/21</t>
  </si>
  <si>
    <t>Rámcová kupní smlouva - pánevní pásy</t>
  </si>
  <si>
    <t>17333915</t>
  </si>
  <si>
    <t>S-196/75030926/21</t>
  </si>
  <si>
    <t>Vypracování projektové dokumentace - Vybudování nového stanoviště ZZS SK, Brandý</t>
  </si>
  <si>
    <t>17399923</t>
  </si>
  <si>
    <t>Součinnostní dohoda</t>
  </si>
  <si>
    <t>S-201/75030926/21</t>
  </si>
  <si>
    <t>Součinnostní dohoda - k zajištění ZZS na letišti Příbram</t>
  </si>
  <si>
    <t>Pronájem</t>
  </si>
  <si>
    <t>S-208/75030926/21</t>
  </si>
  <si>
    <t>nájem nebytových prostor Mnichovo Hradiště - ČR ÚP</t>
  </si>
  <si>
    <t>17564971</t>
  </si>
  <si>
    <t>S-210/75030926/21</t>
  </si>
  <si>
    <t>pronájem nebytových prostor Benešov, Kačengovi ordinace</t>
  </si>
  <si>
    <t>S-211/75030926/21</t>
  </si>
  <si>
    <t>nájem + služby VZ Zruč nad Sázavou</t>
  </si>
  <si>
    <t>Odpad</t>
  </si>
  <si>
    <t>S-214/75030926/21</t>
  </si>
  <si>
    <t>směsný komunální odpad VZ Dobříš</t>
  </si>
  <si>
    <t>S-007/75030926/22</t>
  </si>
  <si>
    <t>Pojistná smlouva o pojištění odpovědnosti 8991441917</t>
  </si>
  <si>
    <t>17764619</t>
  </si>
  <si>
    <t>Rámcová smlouva</t>
  </si>
  <si>
    <t>S-013/75030926/22</t>
  </si>
  <si>
    <t>Rámcová smlouva - OOPP pro členy výjezdových skupin ZZS SČK - obuv</t>
  </si>
  <si>
    <t>17990231</t>
  </si>
  <si>
    <t>S-014/75030926/22</t>
  </si>
  <si>
    <t>Smlouva o výpůjčce - AED Lifepak 1000, výr. č. 49646048</t>
  </si>
  <si>
    <t>S-020/75030926/22</t>
  </si>
  <si>
    <t>Výpůjčka AED, výrobní číslo 49646047</t>
  </si>
  <si>
    <t>S-023/75030926/22</t>
  </si>
  <si>
    <t>Servisní služby pro zajištění provozu zdravotnického operačn. střediska ZZS SčK</t>
  </si>
  <si>
    <t>17985535</t>
  </si>
  <si>
    <t>S-029/75030926/22</t>
  </si>
  <si>
    <t>Smlouva o výpůjčce - 15 ks batohů vybavených AED</t>
  </si>
  <si>
    <t>17992883</t>
  </si>
  <si>
    <t>Dodávka vody</t>
  </si>
  <si>
    <t>S-030/75030926/22</t>
  </si>
  <si>
    <t>Smlouva o dodávce vody a o odvádění odpadních vod č. 3814/2</t>
  </si>
  <si>
    <t>18001363</t>
  </si>
  <si>
    <t>Nakládání s odpadem</t>
  </si>
  <si>
    <t>S-031/75030926/22</t>
  </si>
  <si>
    <t>Smlouva o nakládání s odpadem č. S/5001657/22600046/001/2021</t>
  </si>
  <si>
    <t>Předávání SMS 155</t>
  </si>
  <si>
    <t>S-041/75030926/22</t>
  </si>
  <si>
    <t>Poskytování služeb "Příjem a předávání SMS 155, odesílání SMS"</t>
  </si>
  <si>
    <t>18259215</t>
  </si>
  <si>
    <t>odborné poradenství</t>
  </si>
  <si>
    <t>S-045/75030926/22</t>
  </si>
  <si>
    <t>Smlouva o poskytování odbor. poradenství při admin. projektu financ. z ČR/EU</t>
  </si>
  <si>
    <t>18304011</t>
  </si>
  <si>
    <t>S-049/75030926/22</t>
  </si>
  <si>
    <t>Úklidové služby Mladá Boleslav</t>
  </si>
  <si>
    <t>18426279</t>
  </si>
  <si>
    <t>S-051/75030926/22</t>
  </si>
  <si>
    <t>Likvidace ekolog. odpadů_Rak,Čás,Příb,Ber,Hoř,Zdic,Jesen,Říč, Br n L,Měl,M Král</t>
  </si>
  <si>
    <t>S-061/75030926/22</t>
  </si>
  <si>
    <t>Smlouva o nájmu nemovité věci_Votice_na 2 roky</t>
  </si>
  <si>
    <t>18545739</t>
  </si>
  <si>
    <t>rámcová smlouva</t>
  </si>
  <si>
    <t>S-072/75030926/22</t>
  </si>
  <si>
    <t>Rámcová kupní smlouva_Defibrilační elektrody</t>
  </si>
  <si>
    <t>18657607</t>
  </si>
  <si>
    <t>S-073/75030926/22</t>
  </si>
  <si>
    <t>svoz směsného komunálního odpadu + plast + sklo VZ Kladno</t>
  </si>
  <si>
    <t>18663943</t>
  </si>
  <si>
    <t>mytí služebních vozů</t>
  </si>
  <si>
    <t>S-082/75030926/22</t>
  </si>
  <si>
    <t>Mytí služebních vozů Roztoky</t>
  </si>
  <si>
    <t>právní služby</t>
  </si>
  <si>
    <t>S-096/75030926/22</t>
  </si>
  <si>
    <t>Rámcová smlouva o poskytnutí právních služeb_administrace VZ</t>
  </si>
  <si>
    <t>18992875</t>
  </si>
  <si>
    <t>S-119/75030926/22</t>
  </si>
  <si>
    <t>svoz odpadu - Čáslav</t>
  </si>
  <si>
    <t>přístup k internetu</t>
  </si>
  <si>
    <t>S-125/75030926/22</t>
  </si>
  <si>
    <t>Smlouva o poskytování přístupu k internetu č. 2022000403</t>
  </si>
  <si>
    <t>Laryngoskopy</t>
  </si>
  <si>
    <t>S-132/75030926/22</t>
  </si>
  <si>
    <t>Rámcová kupní smlouva_Laryngoskopy</t>
  </si>
  <si>
    <t>19252295</t>
  </si>
  <si>
    <t>S-135/75030926/22</t>
  </si>
  <si>
    <t>Smlouva o dílo na servis výtahů č. SS 1230_Kolín</t>
  </si>
  <si>
    <t>S-136/75030926/22</t>
  </si>
  <si>
    <t>Smlouva o dílo na servis výtahů č. SS 862_Kutná Hora</t>
  </si>
  <si>
    <t>nebezpečný odpad</t>
  </si>
  <si>
    <t>S-139/75030926/22</t>
  </si>
  <si>
    <t>Smlouva o naklád. s odpad. a přepr. odpadů_Janovice_Zruč_nebezpečný odpad</t>
  </si>
  <si>
    <t>S-140/75030926/22</t>
  </si>
  <si>
    <t>Smlouva o nakládání s odpadem_Hořovice_Zdice_směsný komunální odpad</t>
  </si>
  <si>
    <t>19303971</t>
  </si>
  <si>
    <t>S-141/75030926/22</t>
  </si>
  <si>
    <t>Smlouva o dílo_svoz a ukládání odpadů z Výjezdové základny ZZS SK Sedlčany</t>
  </si>
  <si>
    <t>19306927</t>
  </si>
  <si>
    <t>Laryngeální masky</t>
  </si>
  <si>
    <t>S-144/75030926/22</t>
  </si>
  <si>
    <t>Rámcová kupní smlouva_Laryngeální masky</t>
  </si>
  <si>
    <t>19316711</t>
  </si>
  <si>
    <t>Nebezpečný odpad</t>
  </si>
  <si>
    <t>S-150/75030926/22</t>
  </si>
  <si>
    <t>Nebezpečný odpad_Hostivice</t>
  </si>
  <si>
    <t>S-151/75030926/22</t>
  </si>
  <si>
    <t>Nebezpečný odpad_Kladno</t>
  </si>
  <si>
    <t>Dohoda o spolupráci</t>
  </si>
  <si>
    <t>S-154/75030926/22</t>
  </si>
  <si>
    <t>Dohoda o spolupráci_Zajištění přednemocniční péče na výjezdové základně Řevnice</t>
  </si>
  <si>
    <t>S-155/75030926/22</t>
  </si>
  <si>
    <t>Nebezpečný odpad VZ Kladno</t>
  </si>
  <si>
    <t>S-156/75030926/22</t>
  </si>
  <si>
    <t>Dodávka vody_Kostelec nad Černými lesy</t>
  </si>
  <si>
    <t>S-162/75030926/22</t>
  </si>
  <si>
    <t>Svoz odpadu_Beroun_komunál, papír, plast</t>
  </si>
  <si>
    <t>S-163/75030926/22</t>
  </si>
  <si>
    <t>Svoz odpadu - Zbraslavice a Kolín</t>
  </si>
  <si>
    <t>19542939</t>
  </si>
  <si>
    <t>S-166/75030926/22</t>
  </si>
  <si>
    <t>nájem VZ Zbraslavice + teplo, el. energie, vodné a stočné</t>
  </si>
  <si>
    <t>20384809</t>
  </si>
  <si>
    <t>Smlouva o dílo</t>
  </si>
  <si>
    <t>S-175/75030926/22</t>
  </si>
  <si>
    <t>Smlouva o dílo_provádění oprav, kontrol a čištění výměníku (LAVAL)</t>
  </si>
  <si>
    <t>19648195</t>
  </si>
  <si>
    <t>S-179/75030926/22</t>
  </si>
  <si>
    <t>byt Komenského 3379_Tomáš a Marcela Tampierovi nájemní smlouva</t>
  </si>
  <si>
    <t>19866663</t>
  </si>
  <si>
    <t>S-187/75030926/22</t>
  </si>
  <si>
    <t>Smlouva na vytv. projek. dokument._Vybudování nového stanoviště ZZS SK, Benešov</t>
  </si>
  <si>
    <t>19817443</t>
  </si>
  <si>
    <t>S-202/75030926/22</t>
  </si>
  <si>
    <t>Smlouva o nájmu prostor_Obec Vranov</t>
  </si>
  <si>
    <t>21728793</t>
  </si>
  <si>
    <t>poradenství projekt</t>
  </si>
  <si>
    <t>S-204/75030926/22</t>
  </si>
  <si>
    <t>Smlouva o posk. poradenství_žádost o dotaci a admin. projektu IROP 2021-2027</t>
  </si>
  <si>
    <t>19903487</t>
  </si>
  <si>
    <t>S-207/75030926/22</t>
  </si>
  <si>
    <t>Smlouva o dílo_VW Transporter T5 SPZ 2SD 2586</t>
  </si>
  <si>
    <t>19919315</t>
  </si>
  <si>
    <t>Služby el. komunik.</t>
  </si>
  <si>
    <t>S-216/75030926/22</t>
  </si>
  <si>
    <t>Smlouva o poskytování služby elektronických komunikací</t>
  </si>
  <si>
    <t>20082723</t>
  </si>
  <si>
    <t>Poskytování služeb</t>
  </si>
  <si>
    <t>S-232/75030926/22</t>
  </si>
  <si>
    <t>Poskytování služeb_"Dodavatel vzdělávacích služeb Kurz řidič vozidla ZZS"</t>
  </si>
  <si>
    <t>20150669</t>
  </si>
  <si>
    <t>Smlouva o spolupráci</t>
  </si>
  <si>
    <t>S-233/75030926/22</t>
  </si>
  <si>
    <t>Rámcová smlouva o spolupráci v rámci IZS na úrovni SK</t>
  </si>
  <si>
    <t>S-235/75030926/22</t>
  </si>
  <si>
    <t>SML o výpůjčce_defibrilátor LP 12, nabíječka baterií k defibrilátoru LP 12</t>
  </si>
  <si>
    <t>S-239/75030926/22</t>
  </si>
  <si>
    <t>Smlouva na vytvoření projektové dokum._Vybudování nového stanov. ZZS SK_Říčany</t>
  </si>
  <si>
    <t>20250309</t>
  </si>
  <si>
    <t>Sdružené dodáv. elek</t>
  </si>
  <si>
    <t>S-240/75030926/22</t>
  </si>
  <si>
    <t>Smlouva o sdružených služ. dodávky elektřin_ul. Komenského_Tampierovi</t>
  </si>
  <si>
    <t>dodávky plynu</t>
  </si>
  <si>
    <t>S-250/75030926/22</t>
  </si>
  <si>
    <t>Smlouva o sdr. služ. dodávky plynu_ul. Komenského</t>
  </si>
  <si>
    <t>Beck - online</t>
  </si>
  <si>
    <t>S-256/75030926/22</t>
  </si>
  <si>
    <t>Smlouva o užívání právního informačního systému Beck-online</t>
  </si>
  <si>
    <t>20257821</t>
  </si>
  <si>
    <t>S-265/75030926/22</t>
  </si>
  <si>
    <t>Rámcová kupní smlouva - Fixační límce</t>
  </si>
  <si>
    <t>20353553</t>
  </si>
  <si>
    <t>S-266/75030926/22</t>
  </si>
  <si>
    <t>Servisní smlouva č. SO-4242 údržba a podpora provozu</t>
  </si>
  <si>
    <t>20354757</t>
  </si>
  <si>
    <t>S-274/75030926/22</t>
  </si>
  <si>
    <t>S-279/75030926/22</t>
  </si>
  <si>
    <t>Smlouva o výpůjčce 3x defibrilátory + 3x nabíječky</t>
  </si>
  <si>
    <t>S-281/75030926/22</t>
  </si>
  <si>
    <t>Rámcová kupní smlouva_Gravitační infuzní sety</t>
  </si>
  <si>
    <t>20649037</t>
  </si>
  <si>
    <t>Distribuční soustava</t>
  </si>
  <si>
    <t>S-283/75030926/22</t>
  </si>
  <si>
    <t>Smlouva o připojení k distribuční soustavě č. 320090192825_od.místo_Neratovice</t>
  </si>
  <si>
    <t>S-287/75030926/22</t>
  </si>
  <si>
    <t>dekontaminační místnost - nájem + služby (teplo, voda, elektřina) VZ Vlašim</t>
  </si>
  <si>
    <t>20527717</t>
  </si>
  <si>
    <t>Kupní smlouva</t>
  </si>
  <si>
    <t>S-295/75030926/22</t>
  </si>
  <si>
    <t>Rámcová smlouva kupní a nájemní_MEDICINÁL. KYSLÍK PLYNNÝ VČ. NÁJMU.TL.LAHVÍ</t>
  </si>
  <si>
    <t>20624285</t>
  </si>
  <si>
    <t>Účastnická smlouva</t>
  </si>
  <si>
    <t>S-301/75030926/22</t>
  </si>
  <si>
    <t>Účastnická smlouva_služby el. komunikací a rámcová doh. o podmínkách posk.mob.sl</t>
  </si>
  <si>
    <t>Nájem nebyt.prostor</t>
  </si>
  <si>
    <t>S-317/75030926/22</t>
  </si>
  <si>
    <t>Smlouva o nájmu nebytových prostor_Město Hostivice</t>
  </si>
  <si>
    <t>21675809</t>
  </si>
  <si>
    <t>Závěrkový list</t>
  </si>
  <si>
    <t>S-328/75030926/22</t>
  </si>
  <si>
    <t>Závěrkový list - dodávka zemního plynu</t>
  </si>
  <si>
    <t>S-329/75030926/22</t>
  </si>
  <si>
    <t>Závěrkový list - dodávka elektřiny</t>
  </si>
  <si>
    <t>S-334/75030926/22</t>
  </si>
  <si>
    <t>Smlouva o výpůjčce - nebytové prostory_místnost č. 105 v 1. NP</t>
  </si>
  <si>
    <t>S-341/75030926/22</t>
  </si>
  <si>
    <t>Digitalizace_Smlouva o dílo_nasazení programového vybavení</t>
  </si>
  <si>
    <t>21163921</t>
  </si>
  <si>
    <t>Licenční smlouva</t>
  </si>
  <si>
    <t>S-342/75030926/22</t>
  </si>
  <si>
    <t>Digitalizace - Licenční smlouva_oprávnění na užívání programového vybavení</t>
  </si>
  <si>
    <t>21162657</t>
  </si>
  <si>
    <t>S-343/75030926/22</t>
  </si>
  <si>
    <t>Smlouva o dílo - Personální a mzdový informační systém</t>
  </si>
  <si>
    <t>S-344/75030926/22</t>
  </si>
  <si>
    <t>Licenční smlouva - Personální a mzdový informační systém</t>
  </si>
  <si>
    <t>21440661</t>
  </si>
  <si>
    <t>S-351/75030926/22</t>
  </si>
  <si>
    <t>Rámcová kupní smlouva "Léky"</t>
  </si>
  <si>
    <t>21168569</t>
  </si>
  <si>
    <t>S-353/75030926/22</t>
  </si>
  <si>
    <t>Kupní smlouva - dodání sanitních vozidel typu C - část 1</t>
  </si>
  <si>
    <t>21334181</t>
  </si>
  <si>
    <t>S-354/75030926/22</t>
  </si>
  <si>
    <t>Kupní smlouva - dodání sanitních vozidel typu C - část 2</t>
  </si>
  <si>
    <t>21333961</t>
  </si>
  <si>
    <t>S-356/75030926/22</t>
  </si>
  <si>
    <t>Dohoda o dodávce vody a odvádění odpadních vod_Město Sedlčany</t>
  </si>
  <si>
    <t>21218149</t>
  </si>
  <si>
    <t>Dohoda o narovnání</t>
  </si>
  <si>
    <t>S-357/75030926/22</t>
  </si>
  <si>
    <t>Dohoda o narovnání ke sml. o nájmu nebyt. prostor ze dne 1.9.2022_130/SPR/2020</t>
  </si>
  <si>
    <t>21233469</t>
  </si>
  <si>
    <t>Bezúplatný převod</t>
  </si>
  <si>
    <t>S-361/75030926/22</t>
  </si>
  <si>
    <t>Smlouva o bezúplatném převodu vlastnictví_20ks masek ochranných chemických CM 6</t>
  </si>
  <si>
    <t>S-363/75030926/22</t>
  </si>
  <si>
    <t>Rámcová kupní smlouva "Papír do termotiskáren"</t>
  </si>
  <si>
    <t>21253645</t>
  </si>
  <si>
    <t>S-367/75030926/22</t>
  </si>
  <si>
    <t>Smlouva o budoucí nájemní smlouvě_Město Jesenice</t>
  </si>
  <si>
    <t>S-369/75030926/22</t>
  </si>
  <si>
    <t>Rámcová smlouva o dílo_na provedení instalace IT technologií do sanitn. vozidel</t>
  </si>
  <si>
    <t>21332821</t>
  </si>
  <si>
    <t>Bezpečnostní služby</t>
  </si>
  <si>
    <t>S-001/75030926/23</t>
  </si>
  <si>
    <t>Smlouva o poskytování ochr. bezpečnostních služeb_ZZS SK Příbram na Brodě</t>
  </si>
  <si>
    <t>Budoucí nájemní</t>
  </si>
  <si>
    <t>S-002/75030926/23</t>
  </si>
  <si>
    <t>Smlouva o budoucí nájemní smlouvě_SH ČMS - Sbor dobrovolných hasičů Roztoky</t>
  </si>
  <si>
    <t>21528285</t>
  </si>
  <si>
    <t>S-011/75030926/23</t>
  </si>
  <si>
    <t>Smlouva o poskytování služeb_elektronizace dokumentů</t>
  </si>
  <si>
    <t>21551149</t>
  </si>
  <si>
    <t>S-012/75030926/23</t>
  </si>
  <si>
    <t>Smlouva o výpůjčce_defibrilátor LP 12(výr.č.37226333,invent.č.UH1080093)</t>
  </si>
  <si>
    <t>S-020/75030926/23</t>
  </si>
  <si>
    <t>Smlouva o poskytování služeb_poradenství při sestavení účetní závěrky</t>
  </si>
  <si>
    <t>21560957</t>
  </si>
  <si>
    <t>S-023/75030926/23</t>
  </si>
  <si>
    <t>Smlouva na "Zajištění admin. a real. projektu Zajištění kyber. bezp. ZZS SK"</t>
  </si>
  <si>
    <t>21625077</t>
  </si>
  <si>
    <t>S-031/75030926/23</t>
  </si>
  <si>
    <t>Smlouva o nájmu prostoru sloužícího k podnikání</t>
  </si>
  <si>
    <t>22241833</t>
  </si>
  <si>
    <t>S-033/75030926/23</t>
  </si>
  <si>
    <t>Pronájem místnosti pro provoz zařízení pro výrobu tepla a ohřev TUV</t>
  </si>
  <si>
    <t>S-038/75030926/23</t>
  </si>
  <si>
    <t>S-039/75030926/23</t>
  </si>
  <si>
    <t>Svoz odpadu_komunál_plast_papír_sklo_kovy</t>
  </si>
  <si>
    <t>S-041/75030926/23</t>
  </si>
  <si>
    <t>Smlouva o výpůjčce_části prostor Kulturního domu, v Benešově_2.3.2023</t>
  </si>
  <si>
    <t>S-044/75030926/23</t>
  </si>
  <si>
    <t>Rámcová kup.smlouva - Dezinfekce</t>
  </si>
  <si>
    <t>21891593</t>
  </si>
  <si>
    <t>S-045/75030926/23</t>
  </si>
  <si>
    <t>Nájemní smlouva_kancelářský prostor</t>
  </si>
  <si>
    <t>S-046/75030926/23</t>
  </si>
  <si>
    <t>Smlouva o poskytov. pracovnělékař. služ._ZZS SK K. Hora_MUDr. V. Fleischmannová</t>
  </si>
  <si>
    <t>21779713</t>
  </si>
  <si>
    <t>S-049/75030926/23</t>
  </si>
  <si>
    <t>Smlouva o poskytování služeb_Program MultiSport</t>
  </si>
  <si>
    <t>22017553</t>
  </si>
  <si>
    <t>Obsluha kotelny</t>
  </si>
  <si>
    <t>S-051/75030926/23</t>
  </si>
  <si>
    <t>Smlouva o obsluze plynové kotelny</t>
  </si>
  <si>
    <t>Úklidové služby</t>
  </si>
  <si>
    <t>S-052/75030926/23</t>
  </si>
  <si>
    <t>Smlouva o úklidových službách_Kutná Hora</t>
  </si>
  <si>
    <t>21841125</t>
  </si>
  <si>
    <t>S-055/75030926/23</t>
  </si>
  <si>
    <t>Smlouva o spolupráci_sanitní vozidlo_Mladá Boleslav</t>
  </si>
  <si>
    <t>S-056/75030926/23</t>
  </si>
  <si>
    <t>Rámcová smlouva o dílo_Stavebně-technická činnost ZZS SK</t>
  </si>
  <si>
    <t>21922697</t>
  </si>
  <si>
    <t>S-057/75030926/23</t>
  </si>
  <si>
    <t>Rámcová kupní smlouva - Hadička spojovací</t>
  </si>
  <si>
    <t>21986185</t>
  </si>
  <si>
    <t>S-063/75030926/23</t>
  </si>
  <si>
    <t>Rámcová kupní smlouva - Intraoseáln jehly s příslušenstvím</t>
  </si>
  <si>
    <t>22104841</t>
  </si>
  <si>
    <t>S-065/75030926/23</t>
  </si>
  <si>
    <t>Smlouva o poskytování pracovnělékařských služeb_okres kladno_MUDr. Jana Sůvová</t>
  </si>
  <si>
    <t>22072913</t>
  </si>
  <si>
    <t>S-080/75030926/23</t>
  </si>
  <si>
    <t>RÁMCOVÁ SERVISNÍ SMLOUVA BTK, SERVIS A NÁHRADNÍ DÍLY PRO DEFIBRILÁTORYCORPULS3</t>
  </si>
  <si>
    <t>22122413</t>
  </si>
  <si>
    <t>S-083/75030926/23</t>
  </si>
  <si>
    <t>Smlouva o poskytování pracovnělékařských služeb_oblastní nemocnice Příbram, a.s.</t>
  </si>
  <si>
    <t>23034611</t>
  </si>
  <si>
    <t>Studie proveditelnos</t>
  </si>
  <si>
    <t>S-090/75030926/23</t>
  </si>
  <si>
    <t>Přidání nových funkcí a rozšíření komunikace stávajícího e-Health konektoru</t>
  </si>
  <si>
    <t>22427913</t>
  </si>
  <si>
    <t>Pronájem 2 ks server</t>
  </si>
  <si>
    <t>S-091/75030926/23</t>
  </si>
  <si>
    <t>Smlouva o pronájmu movité věci_Pronájem 2 ks serverů</t>
  </si>
  <si>
    <t>22491477</t>
  </si>
  <si>
    <t>kupní smlouva</t>
  </si>
  <si>
    <t>S-098/75030926/23</t>
  </si>
  <si>
    <t>Rámcová kupní smlouva_Rukavice</t>
  </si>
  <si>
    <t>22292537</t>
  </si>
  <si>
    <t>S-111/75030926/23</t>
  </si>
  <si>
    <t>Rámcová kupní smlouva - Rouška na popáleniny chladící</t>
  </si>
  <si>
    <t>22499941</t>
  </si>
  <si>
    <t>bezúplatný převod</t>
  </si>
  <si>
    <t>S-116/75030926/23</t>
  </si>
  <si>
    <t>bezúplatný převod_ sanitní vůz VW Transporter_3SJ 4819, 9S5 0684, 2SD 2594</t>
  </si>
  <si>
    <t>22778735</t>
  </si>
  <si>
    <t>FZŠ</t>
  </si>
  <si>
    <t>S-118/75030926/23</t>
  </si>
  <si>
    <t>Smlouva o poskytnutí fin.prostředků z FZŠ ČKP na kalen.rok 2023</t>
  </si>
  <si>
    <t>S-124/75030926/23</t>
  </si>
  <si>
    <t>Smlouva o centralizovaném zadávání_nákup prodoktů společnosti Cisco Systems</t>
  </si>
  <si>
    <t>školení a konzultace</t>
  </si>
  <si>
    <t>S-125/75030926/23</t>
  </si>
  <si>
    <t>Smlouva o provedení školení a konzultací</t>
  </si>
  <si>
    <t>22844323</t>
  </si>
  <si>
    <t>S-129/75030926/23</t>
  </si>
  <si>
    <t>Poskytování služeb_Zpracováni provoz. dokumen. a hodnoceni  kvality dispeč.</t>
  </si>
  <si>
    <t>22760181</t>
  </si>
  <si>
    <t>certifikáty_I.CA</t>
  </si>
  <si>
    <t>S-132/75030926/23</t>
  </si>
  <si>
    <t>Příkazní sml o provozu registr. autor. pro vydávání kval. a komer. certif._I.CA</t>
  </si>
  <si>
    <t>22621117</t>
  </si>
  <si>
    <t>S-135/75030926/23</t>
  </si>
  <si>
    <t>Smlouva skupinového pojištění</t>
  </si>
  <si>
    <t>22792211</t>
  </si>
  <si>
    <t>S-136/75030926/23</t>
  </si>
  <si>
    <t>Rámcová kupní smlouva_Jednorázové přikrývky</t>
  </si>
  <si>
    <t>S-137/75030926/23</t>
  </si>
  <si>
    <t>Rámcová kupní smlouva - Jednorázový povlak na deku - 2</t>
  </si>
  <si>
    <t>22799847</t>
  </si>
  <si>
    <t>S-138/75030926/23</t>
  </si>
  <si>
    <t>Smlouva o poskytování pracovnělékařských služeb_MUDr. Jiří Machů</t>
  </si>
  <si>
    <t>22657645</t>
  </si>
  <si>
    <t>S-145/75030926/23</t>
  </si>
  <si>
    <t>Rámcová kupní smlouva_Infuzní roztoky II</t>
  </si>
  <si>
    <t>22708225</t>
  </si>
  <si>
    <t>poskyt. poradenství</t>
  </si>
  <si>
    <t>S-147/75030926/23</t>
  </si>
  <si>
    <t>Smlouva o poskytování poradenských a konzultačních služeb</t>
  </si>
  <si>
    <t>S-170/75030926/23</t>
  </si>
  <si>
    <t>Smlouva o poskytování pracovnělékařských služeb</t>
  </si>
  <si>
    <t>23015035</t>
  </si>
  <si>
    <t>S-171/75030926/23</t>
  </si>
  <si>
    <t>Rámcová kupní smlouva_Jednorázová prostěradla</t>
  </si>
  <si>
    <t>S-179/75030926/23</t>
  </si>
  <si>
    <t>výpůjčka AED_D09160447, D09160448</t>
  </si>
  <si>
    <t>23126327</t>
  </si>
  <si>
    <t>Smlouva- audit</t>
  </si>
  <si>
    <t>S-185/75030926/23</t>
  </si>
  <si>
    <t>Smlouva - audit ročních účetních závěrek 2023-2024</t>
  </si>
  <si>
    <t>23142223</t>
  </si>
  <si>
    <t>S-208/75030926/23</t>
  </si>
  <si>
    <t>Kyslíková terapie - část A - Kyslíkové masky s rezervoárem pro dospělé</t>
  </si>
  <si>
    <t>23529099</t>
  </si>
  <si>
    <t>S-209/75030926/23</t>
  </si>
  <si>
    <t>Kyslíková terapie - část B - Kyslíkové masky s rezervoárem pro děti</t>
  </si>
  <si>
    <t>23529119</t>
  </si>
  <si>
    <t>S-210/75030926/23</t>
  </si>
  <si>
    <t>Kyslíková terapie - Část C - Kyslíkové nebulizační masky pro dospělé</t>
  </si>
  <si>
    <t>23529151</t>
  </si>
  <si>
    <t>S-211/75030926/23</t>
  </si>
  <si>
    <t>Kyslíková terapie - Část D - Kyslíkové nebulizační masky pro děti</t>
  </si>
  <si>
    <t>23529171</t>
  </si>
  <si>
    <t>S-217/75030926/23</t>
  </si>
  <si>
    <t>Nájemní smlouva_zasedací místnost_jednorázová školení</t>
  </si>
  <si>
    <t>závěrkový list</t>
  </si>
  <si>
    <t>S-226/75030926/23</t>
  </si>
  <si>
    <t>závěrkový list_dodávky plynu_1.1.2024 - 31.12.2024</t>
  </si>
  <si>
    <t>S-227/75030926/23</t>
  </si>
  <si>
    <t>Závěrkový list_dodávky elektřiny od 1.1.2024 - 31.12.2024</t>
  </si>
  <si>
    <t>S-233/75030926/23</t>
  </si>
  <si>
    <t>S-235/75030926/23</t>
  </si>
  <si>
    <t>Smlouva o poskytování pracovnělékařsk služeb_MUDr. J. Dalecký_MUDr. V. Hulínský</t>
  </si>
  <si>
    <t>23677051</t>
  </si>
  <si>
    <t>S-239/75030926/23</t>
  </si>
  <si>
    <t>Rámcová kupní smlouva - Jednorázové elektrody</t>
  </si>
  <si>
    <t>23820079</t>
  </si>
  <si>
    <t>S-243/75030926/23</t>
  </si>
  <si>
    <t>Sml na vytvoření projekt dokumentace_Výstavba nového stanoviště ZZS SK, Vlašim</t>
  </si>
  <si>
    <t>24030755</t>
  </si>
  <si>
    <t>S-245/75030926/23</t>
  </si>
  <si>
    <t>Sml na vytvoř projekt dokumentace_Výstavba nového stanoviště ZZS SK, Český Brod</t>
  </si>
  <si>
    <t>24081311</t>
  </si>
  <si>
    <t>S-247/75030926/23</t>
  </si>
  <si>
    <t>Smlouva o likvidaci odpadů - Mladá Boleslav</t>
  </si>
  <si>
    <t>23831743</t>
  </si>
  <si>
    <t>zajištění stáže</t>
  </si>
  <si>
    <t>S-260/75030926/23</t>
  </si>
  <si>
    <t>Smlouva o zajištění stáže_40 stáží-zimní/letní semestry</t>
  </si>
  <si>
    <t>24022011</t>
  </si>
  <si>
    <t>spolupráce</t>
  </si>
  <si>
    <t>S-262/75030926/23</t>
  </si>
  <si>
    <t>Smlouva o spolupráci_sanitní vozidlo_hokejové zápasy_ 2023/2024</t>
  </si>
  <si>
    <t>24021899</t>
  </si>
  <si>
    <t>S-263/75030926/23</t>
  </si>
  <si>
    <t>24021955</t>
  </si>
  <si>
    <t>S-271/75030926/23</t>
  </si>
  <si>
    <t>Smlouva o zajištění stáže_Andrea Orlos_9/2023 - 6/2024</t>
  </si>
  <si>
    <t>S-276/75030926/23</t>
  </si>
  <si>
    <t>Servisní smlouva_programového vybavení CODEXISR GREEN</t>
  </si>
  <si>
    <t>24116603</t>
  </si>
  <si>
    <t>S-278/75030926/23</t>
  </si>
  <si>
    <t>KUPNÍ SMLOUVA"ZZS STŘEDOČESKÉHO KRAJE – ČLUN VODNÍ ZÁCHRANNÉ SLUŽBY - 2023"</t>
  </si>
  <si>
    <t>24731999</t>
  </si>
  <si>
    <t>S-280/75030926/23</t>
  </si>
  <si>
    <t>svoz odpadu, Jesenice, Plzeňská 20</t>
  </si>
  <si>
    <t>S-285/75030926/23</t>
  </si>
  <si>
    <t>Kupní smlouva, Martin Kodet, VW 7S40484</t>
  </si>
  <si>
    <t>25339363</t>
  </si>
  <si>
    <t>S-286/75030926/23</t>
  </si>
  <si>
    <t>Kupní smlouva_Část "A" – ZZS SK - Velitelské vozidlo 2023</t>
  </si>
  <si>
    <t>24731047</t>
  </si>
  <si>
    <t>S-287/75030926/23</t>
  </si>
  <si>
    <t>Kupní smlouva_Část "B" – ZZS SK - Víceúčel vozid pro přepravu osob a mater 2023</t>
  </si>
  <si>
    <t>24730119</t>
  </si>
  <si>
    <t>S-289/75030926/23</t>
  </si>
  <si>
    <t>Smlouva o spolupráci_Zajištění přednem neodkl péče na výjezd základně Řevnice"</t>
  </si>
  <si>
    <t>24861643</t>
  </si>
  <si>
    <t>sociologický průzkum</t>
  </si>
  <si>
    <t>S-292/75030926/23</t>
  </si>
  <si>
    <t>Smlouva o provedení sociologického průzkumu - stanoviště Brandýs nad Labem</t>
  </si>
  <si>
    <t>S-298/75030926/23</t>
  </si>
  <si>
    <t>Smlouva o zajištění praxe_MUDr. Kristina Čechalová_9.10.2023-23.2.2024_VFN</t>
  </si>
  <si>
    <t>S-304/75030926/23</t>
  </si>
  <si>
    <t>Rámcová kupní smlouva "Léky II"</t>
  </si>
  <si>
    <t>S-305/75030926/23</t>
  </si>
  <si>
    <t>Smlouva o zajištění stáže na ZOS, Bc. Roman Pošta, 1/2024</t>
  </si>
  <si>
    <t>S-308/75030926/23</t>
  </si>
  <si>
    <t>Smlouva o dílo_oprava vozidla tov. značka VWTransporter SPZ 5SJ 2902</t>
  </si>
  <si>
    <t>24534687</t>
  </si>
  <si>
    <t>S-309/75030926/23</t>
  </si>
  <si>
    <t>Smlouva o výpůjčce_dočasné užívání prostor_Brandýs nad Labem</t>
  </si>
  <si>
    <t>S-312/75030926/23</t>
  </si>
  <si>
    <t>Rámcová kupní smlouva - Adaptéry ke kapnografu EMMA</t>
  </si>
  <si>
    <t>24654839</t>
  </si>
  <si>
    <t>S-318/75030926/23</t>
  </si>
  <si>
    <t>Rámcová smlouva_Poskytování advokátních služeb II</t>
  </si>
  <si>
    <t>S-319/75030926/23</t>
  </si>
  <si>
    <t>Rámcová kupní smlouva - Ušní kloboučky k teploměrům</t>
  </si>
  <si>
    <t>24742955</t>
  </si>
  <si>
    <t>S-320/75030926/23</t>
  </si>
  <si>
    <t>Smlouva o nájmu nebytových prostor_Jesenice u Rakovníka</t>
  </si>
  <si>
    <t>S-321/75030926/23</t>
  </si>
  <si>
    <t>Rámcová kupní smlouva_Intravenózní kanyly</t>
  </si>
  <si>
    <t>24682491</t>
  </si>
  <si>
    <t>S-323/75030926/23</t>
  </si>
  <si>
    <t>Kupní smlouva_Helmy pro mimořádné události ZZS SK</t>
  </si>
  <si>
    <t>24860783</t>
  </si>
  <si>
    <t>Zajištění praxe</t>
  </si>
  <si>
    <t>S-325/75030926/23</t>
  </si>
  <si>
    <t>Zajištění praxe, Kryštof Fišer, 10/23-6/23</t>
  </si>
  <si>
    <t>S-328/75030926/23</t>
  </si>
  <si>
    <t>Rámcová kupní smlouva  - Testovací proužky do glukometru</t>
  </si>
  <si>
    <t>25159763</t>
  </si>
  <si>
    <t>S-329/75030926/23</t>
  </si>
  <si>
    <t>Smlouva o spolupráci při provozování web aplik Bezpečný SK se ZZS SK</t>
  </si>
  <si>
    <t>S-330/75030926/23</t>
  </si>
  <si>
    <t>Smlouva na poskytování telekomunikačních služeb sítě Internet</t>
  </si>
  <si>
    <t>S-331/75030926/23</t>
  </si>
  <si>
    <t>Zajištění praxe, Nováková Sára, Beroun,11/23-6/24</t>
  </si>
  <si>
    <t>S-332/75030926/23</t>
  </si>
  <si>
    <t>Zajištění praxe, Nováková Sára, ZOS, 11/23-6/24</t>
  </si>
  <si>
    <t>S-333/75030926/23</t>
  </si>
  <si>
    <t>Zajištění praxe, Mário Oselský, ZOS, 12/23</t>
  </si>
  <si>
    <t>S-334/75030926/23</t>
  </si>
  <si>
    <t>Zajištění praxe, Mário Oselský, Beroun, 11-12/23</t>
  </si>
  <si>
    <t>S-335/75030926/23</t>
  </si>
  <si>
    <t>Zajištění stáže, MUDr. Kristýna Čechalová, 1/2024</t>
  </si>
  <si>
    <t>S-337/75030926/23</t>
  </si>
  <si>
    <t>Zajištění praxe, zdravotnický záchranář, 12/23-9/24</t>
  </si>
  <si>
    <t>S-338/75030926/23</t>
  </si>
  <si>
    <t>Sml o posk služeb_Komplex zajiš žád o dotaci v rámci výzvy 43 Kyber bez NPO MV</t>
  </si>
  <si>
    <t>24780579</t>
  </si>
  <si>
    <t>S-339/75030926/23</t>
  </si>
  <si>
    <t>Kupní smlouva - Vakuové matrace</t>
  </si>
  <si>
    <t>25124619</t>
  </si>
  <si>
    <t>S-340/75030926/23</t>
  </si>
  <si>
    <t>Smlouva o dílo_oprava vozidla tov. značka VWTransporter SPZ 5SE 8606</t>
  </si>
  <si>
    <t>24828595</t>
  </si>
  <si>
    <t>S-343/75030926/23</t>
  </si>
  <si>
    <t>S-344/75030926/23</t>
  </si>
  <si>
    <t>Smlouva o podnájmu_První pomoc se záchranářem Markem_25.1.2024</t>
  </si>
  <si>
    <t>S-345/75030926/23</t>
  </si>
  <si>
    <t>Smlouvu o budoucí podnájemní smlouvě</t>
  </si>
  <si>
    <t>S-346/75030926/23</t>
  </si>
  <si>
    <t>Kupní smlouva - Taktická škrtidla Tourniquet CAT 7</t>
  </si>
  <si>
    <t>25120831</t>
  </si>
  <si>
    <t>S-347/75030926/23</t>
  </si>
  <si>
    <t>Sml o výpůjčce doprav prostř a transp techniky_Volkswagen Transporter_2SD 2576</t>
  </si>
  <si>
    <t>24941915</t>
  </si>
  <si>
    <t>S-353/75030926/23</t>
  </si>
  <si>
    <t>Zajištění praxe, Kryštof Fišer, 10/2023-06/2024</t>
  </si>
  <si>
    <t>S-354/75030926/23</t>
  </si>
  <si>
    <t>Kupní smlouva-Taktické vesty pro výjezdové skupiny a inspektory provozu</t>
  </si>
  <si>
    <t>25297099</t>
  </si>
  <si>
    <t>S-355/75030926/23</t>
  </si>
  <si>
    <t>SMLOUVA O BEZÚPLATNÉM PŘEVODU VLASTNICTVÍ MOVITÉ VĚCI_1E23217, 7A42038, 1AX4821</t>
  </si>
  <si>
    <t>25153187</t>
  </si>
  <si>
    <t>Pronájem zařízení</t>
  </si>
  <si>
    <t>S-356/75030926/23</t>
  </si>
  <si>
    <t>Smlouva o pronájmu zařízení 20231204/001_tiskové zřízení</t>
  </si>
  <si>
    <t>S-357/75030926/23</t>
  </si>
  <si>
    <t>Smlouva o servisním a materiálovém zabezpečení_tiskárna</t>
  </si>
  <si>
    <t>Právní služby</t>
  </si>
  <si>
    <t>S-358/75030926/23</t>
  </si>
  <si>
    <t>Smlouva o poskytování právních služeb_náhrada škody proti spol. TresTech s.r.o.</t>
  </si>
  <si>
    <t>25448523</t>
  </si>
  <si>
    <t>S-359/75030926/23</t>
  </si>
  <si>
    <t>Sml o poskytování právních služeb_zamítnutí žádosti o poskytnutí dotace</t>
  </si>
  <si>
    <t>25448527</t>
  </si>
  <si>
    <t>S-360/75030926/23</t>
  </si>
  <si>
    <t>Smlouva o poskytování konzultačních a dalších souvisejících služeb</t>
  </si>
  <si>
    <t>25262871</t>
  </si>
  <si>
    <t>S-362/75030926/23</t>
  </si>
  <si>
    <t>Závěrkový list č. EL-20230920-3901-33_1. 1. 2024 – 31. 12. 2024</t>
  </si>
  <si>
    <t>S-003/75030926/24</t>
  </si>
  <si>
    <t>Přefakturace el.energie Sedlčany 159</t>
  </si>
  <si>
    <t>25332979</t>
  </si>
  <si>
    <t>S-004/75030926/24</t>
  </si>
  <si>
    <t>Sml.o sdružených dodávkách elektriny Jesenice</t>
  </si>
  <si>
    <t>Zajištění prostor</t>
  </si>
  <si>
    <t>S-005/75030926/24</t>
  </si>
  <si>
    <t>Zajištění prostor a servisu pro Putovní 155</t>
  </si>
  <si>
    <t>25578643</t>
  </si>
  <si>
    <t>S-006/75030926/24</t>
  </si>
  <si>
    <t>Zajištění praxe, Antonín Lukeš, 2024</t>
  </si>
  <si>
    <t>Přiznání k dani</t>
  </si>
  <si>
    <t>S-007/75030926/24</t>
  </si>
  <si>
    <t>Sestavení přiznání k dani z příjmu právnických osob pro roky 2023, 2024</t>
  </si>
  <si>
    <t>25395807</t>
  </si>
  <si>
    <t>Reklamní předměty</t>
  </si>
  <si>
    <t>S-008/75030926/24</t>
  </si>
  <si>
    <t>Rámcová kupní smlouva - Reklamní předměty</t>
  </si>
  <si>
    <t>25510927</t>
  </si>
  <si>
    <t>S-010/75030926/24</t>
  </si>
  <si>
    <t>Zajištění praxe, Petr Klimeš, Příbram, 1-2/2024</t>
  </si>
  <si>
    <t>S-011/75030926/24</t>
  </si>
  <si>
    <t>Zajištění praxe, Bc. Roman Pošta, Zdiby, leden 2024</t>
  </si>
  <si>
    <t>S-013/75030926/24</t>
  </si>
  <si>
    <t>Smlouva o krátkodobé výpujčce bývalého krytu Polikliniky Benešov 15.5.2024</t>
  </si>
  <si>
    <t>S-015/75030926/24</t>
  </si>
  <si>
    <t>Smlouva o nájmu nebytových prostor Zdiby nahrazující sml.8/09/158</t>
  </si>
  <si>
    <t>Zajištění služeb</t>
  </si>
  <si>
    <t>S-016/75030926/24</t>
  </si>
  <si>
    <t>S-019/75030926/24</t>
  </si>
  <si>
    <t>Zajištění praxe, Kateřina Novotná, 1-6-2024, Beroun</t>
  </si>
  <si>
    <t>S-020/75030926/24</t>
  </si>
  <si>
    <t>Sml.o poskytování pracovnělékařských služeb MUDr.Ďurčovič</t>
  </si>
  <si>
    <t>25667263</t>
  </si>
  <si>
    <t>S-021/75030926/24</t>
  </si>
  <si>
    <t>Smlouva o pronájmu lahví na stlačené plyny</t>
  </si>
  <si>
    <t>25575379</t>
  </si>
  <si>
    <t>S-022/75030926/24</t>
  </si>
  <si>
    <t>Smlouva o dílo-Výstavba integrovaného ZC Nymburk-projektová dokumentace</t>
  </si>
  <si>
    <t>S-024/75030926/24</t>
  </si>
  <si>
    <t>Kupní smlouva_BW Clip detektory CO_GES CZ 2024</t>
  </si>
  <si>
    <t>25756175</t>
  </si>
  <si>
    <t>S-025/75030926/24</t>
  </si>
  <si>
    <t>Zajištění praxe, Jiří Kálal, 2024</t>
  </si>
  <si>
    <t>S-026/75030926/24</t>
  </si>
  <si>
    <t>Smlouva o výpůjčce 2ks palubních jednotek C-ITS OBU pro sanitní vozidla</t>
  </si>
  <si>
    <t>Oprava vozidla</t>
  </si>
  <si>
    <t>S-027/75030629/24</t>
  </si>
  <si>
    <t>Smlouva o dílo_oprava vozidla tov. značka VWTransporter SPZ 3SU 6604</t>
  </si>
  <si>
    <t>25651931</t>
  </si>
  <si>
    <t>Likvidace odpadu</t>
  </si>
  <si>
    <t>S-028/75030926/24</t>
  </si>
  <si>
    <t>Svoz odpadu_komunál_plast_papír_sklo_kovy Krásná Hora 2024</t>
  </si>
  <si>
    <t>Sml.o spolupraci</t>
  </si>
  <si>
    <t>S-029/75030926/24</t>
  </si>
  <si>
    <t>Spolupráce v oblasti spec. vzdělávání lékařů v oboru Urgentní medicína</t>
  </si>
  <si>
    <t>Nájem prostor</t>
  </si>
  <si>
    <t>S-030/75030926/24</t>
  </si>
  <si>
    <t>Smlouva o nájmu prostor občanského vybavení č. 2024-011/SEK Benátky nad Jizerou</t>
  </si>
  <si>
    <t>25660083</t>
  </si>
  <si>
    <t>S-031/75030926/24</t>
  </si>
  <si>
    <t>25662351</t>
  </si>
  <si>
    <t>S-032/75030926/24</t>
  </si>
  <si>
    <t>Smlouva o nájmu užívání KD Plzeňka 31.1.2024</t>
  </si>
  <si>
    <t>S-034/75030926/24</t>
  </si>
  <si>
    <t>Zajištění stáže, MUDr. Martin Blahovský, 1,2/2024 Mělník</t>
  </si>
  <si>
    <t>S-035/75030926/24</t>
  </si>
  <si>
    <t>Zajištění stáže, MUDr. Helena Charbuláková, 3-6/24</t>
  </si>
  <si>
    <t>S-036/75030926/24</t>
  </si>
  <si>
    <t>Zajištění stáže, Jakub Sadílek, 2-6/2024</t>
  </si>
  <si>
    <t>S-037/75030926/24</t>
  </si>
  <si>
    <t>Zajištění stáže, Adéla Horká, 15.4.-17.5.2024</t>
  </si>
  <si>
    <t>S-038/75030926/24</t>
  </si>
  <si>
    <t>Zajištění stáže, Martin Dědič, 2024</t>
  </si>
  <si>
    <t>S-039/75030926/24</t>
  </si>
  <si>
    <t>Zajištění stáže, Bc. Kateřina Dandová, 6.-16.2.2024</t>
  </si>
  <si>
    <t>S-040/75030926/24</t>
  </si>
  <si>
    <t>Zdravonický dozor, 16.3., VZ Rakovník</t>
  </si>
  <si>
    <t>00/01/001</t>
  </si>
  <si>
    <t>nájem VZ Vlašim + tep. energie, teplá voda, vodné a stočné, elektřina, odpad</t>
  </si>
  <si>
    <t>nájem nebytových prostor VZ Vlašim + tep</t>
  </si>
  <si>
    <t>00/09/005</t>
  </si>
  <si>
    <t>provádění oprav a kontrol výměníku VZ Mělník</t>
  </si>
  <si>
    <t>provádění oprav a kontrol výměníku</t>
  </si>
  <si>
    <t>00/10/008</t>
  </si>
  <si>
    <t>smlouva o zřízení věcného břemene - prostory VZ Městec Králové</t>
  </si>
  <si>
    <t>smlouva o zřízení věcného břemene - pros</t>
  </si>
  <si>
    <t>01/04/003</t>
  </si>
  <si>
    <t>ZZS hl. m. Prahy pomoc na vyžádání</t>
  </si>
  <si>
    <t>zajištění PNP</t>
  </si>
  <si>
    <t>03/03/017</t>
  </si>
  <si>
    <t>LPS Nymburk</t>
  </si>
  <si>
    <t>lékařské pohotovostní služby MUDr. Zikmunda</t>
  </si>
  <si>
    <t>LSPP pro dospělé</t>
  </si>
  <si>
    <t>03/04/039</t>
  </si>
  <si>
    <t>služby VZ Benešov (el.energie,voda,tel.ústředna,převozy pacientů)</t>
  </si>
  <si>
    <t>03/05/066</t>
  </si>
  <si>
    <t>servis pohonu vrat VZ Nymburk</t>
  </si>
  <si>
    <t>prohlídka a údržba automat. pohonu u gar</t>
  </si>
  <si>
    <t>03/07/081</t>
  </si>
  <si>
    <t>nájem VZ Nymburk + vytápění, el. energie, vodné, stočné, úklid, ostraha, odpad</t>
  </si>
  <si>
    <t>nájem nebytových prostor VZ Nymburk + vy</t>
  </si>
  <si>
    <t>5533711</t>
  </si>
  <si>
    <t>03/09/082</t>
  </si>
  <si>
    <t>smlouva o spolupráci při pokytování ZZS</t>
  </si>
  <si>
    <t>spolupráce při poskytování PNP</t>
  </si>
  <si>
    <t>03/12/086</t>
  </si>
  <si>
    <t>telekomunikační služby T-Mobile (velká smlouva)</t>
  </si>
  <si>
    <t>telekomunikační služby</t>
  </si>
  <si>
    <t>04/01/001</t>
  </si>
  <si>
    <t>programové vybavení</t>
  </si>
  <si>
    <t>programové vybavení - účetnictví VEMA</t>
  </si>
  <si>
    <t>programové vybavení - účetnictví</t>
  </si>
  <si>
    <t>397337</t>
  </si>
  <si>
    <t>04/01/002</t>
  </si>
  <si>
    <t>tepelná energie</t>
  </si>
  <si>
    <t>tepelná energie VZ Kostelec nad Černými lesy</t>
  </si>
  <si>
    <t>tepelná energie VZ Kostelec nad Černými</t>
  </si>
  <si>
    <t>04/02/007</t>
  </si>
  <si>
    <t>programové vybavení - Profia</t>
  </si>
  <si>
    <t>04/05/011</t>
  </si>
  <si>
    <t>programové vybavení - personalistika a mzdy Flux</t>
  </si>
  <si>
    <t>programové vybavení - personalistika a m</t>
  </si>
  <si>
    <t>1593966</t>
  </si>
  <si>
    <t>04/07/017</t>
  </si>
  <si>
    <t>smlouva o spolupráci při poskytování ZZS</t>
  </si>
  <si>
    <t>zajištění primárních výjezdů - OS Turnov</t>
  </si>
  <si>
    <t>04/09/024</t>
  </si>
  <si>
    <t>směsný komunální odpad z VZ Říčany</t>
  </si>
  <si>
    <t>směsný komunální odpad z výjezdového sta</t>
  </si>
  <si>
    <t>04/11/029</t>
  </si>
  <si>
    <t>nájem převaděče Záhrabská</t>
  </si>
  <si>
    <t>04/11/030</t>
  </si>
  <si>
    <t>nájem VZ Jesenice</t>
  </si>
  <si>
    <t>nájem nebytových prostor VZ Jesenice</t>
  </si>
  <si>
    <t>4261368</t>
  </si>
  <si>
    <t>04/12/040</t>
  </si>
  <si>
    <t>nájem prostor</t>
  </si>
  <si>
    <t>nájem věžového vodojemu Slaný Háje pro umístění převaděče</t>
  </si>
  <si>
    <t>pronájem věžového vodojemu Slaný Háje pr</t>
  </si>
  <si>
    <t>04/12/050</t>
  </si>
  <si>
    <t>nájem převaděče Cukrák</t>
  </si>
  <si>
    <t>05/01/001</t>
  </si>
  <si>
    <t>směsný komunální odpad z VZ Kostelec nad Černými lesy</t>
  </si>
  <si>
    <t>05/03/003</t>
  </si>
  <si>
    <t>nájem převaděče Mělník</t>
  </si>
  <si>
    <t>05/03/004</t>
  </si>
  <si>
    <t>nájem převaděče Doubek</t>
  </si>
  <si>
    <t>05/03/006</t>
  </si>
  <si>
    <t>servis radiokomunikačních technologií</t>
  </si>
  <si>
    <t>05/04/013</t>
  </si>
  <si>
    <t>služba ADSL Contact VZ Lysá nad Labem</t>
  </si>
  <si>
    <t>služba ADSL Contact</t>
  </si>
  <si>
    <t>05/05/016</t>
  </si>
  <si>
    <t>nájem převaděče Džbány</t>
  </si>
  <si>
    <t>pronájem převaděče Džbány</t>
  </si>
  <si>
    <t>05/11/022</t>
  </si>
  <si>
    <t>služby VZ Ml. Boleslav - drobné údrž. práce, obsluha kotle, energie, odpad</t>
  </si>
  <si>
    <t>služby spojené s užíváním prostor VZ Mla</t>
  </si>
  <si>
    <t>06/01/001</t>
  </si>
  <si>
    <t>voda</t>
  </si>
  <si>
    <t>dodávky pitné vody a odvod odpadních vod VZ Beroun</t>
  </si>
  <si>
    <t>dodávky pitné vody a odvod odpadních vod</t>
  </si>
  <si>
    <t>06/03/004</t>
  </si>
  <si>
    <t>Nemocnice Čáslav pomoc na vyžádání</t>
  </si>
  <si>
    <t>spolupráce v poskytování automobilů DZS</t>
  </si>
  <si>
    <t>06/08/013</t>
  </si>
  <si>
    <t>nájem VZ Krásná Hora</t>
  </si>
  <si>
    <t>nájem nebytových prostor VZ Krásná Hora</t>
  </si>
  <si>
    <t>06/11/014</t>
  </si>
  <si>
    <t>tepelná energie Příbram - Březové Hory</t>
  </si>
  <si>
    <t>06/11/015</t>
  </si>
  <si>
    <t>úhrada péče</t>
  </si>
  <si>
    <t>smlouva o poskytování a úhradě zdravotní péče č.j. UT-55-34/2006 - Bělá</t>
  </si>
  <si>
    <t>Smlouva o poskytování a úhradě hrazené z</t>
  </si>
  <si>
    <t>06/12/018</t>
  </si>
  <si>
    <t>smlouva o poskytování a úhradě zdravotní péče Pojišťovny VZP 22108000</t>
  </si>
  <si>
    <t>Smlouva o poskytování a úhradě zdravotní</t>
  </si>
  <si>
    <t>06/12/019</t>
  </si>
  <si>
    <t>smlouva o poskytování a úhradě zdravotní péče Pojišťovny VZP 22107000</t>
  </si>
  <si>
    <t>07/02/002</t>
  </si>
  <si>
    <t>spolupráce při realizaci Rallye Rejvíz</t>
  </si>
  <si>
    <t>07/03/003</t>
  </si>
  <si>
    <t>spolupráce - přístupové komunikace v areálu kladenské nemocnice</t>
  </si>
  <si>
    <t>spolupráce - přístupové komunikace v are</t>
  </si>
  <si>
    <t>07/03/201</t>
  </si>
  <si>
    <t>provádění oprav a úd</t>
  </si>
  <si>
    <t>provádění oprav a údržby vozidel  ZZS</t>
  </si>
  <si>
    <t>provádění oprav a údržby vozidel ZZS</t>
  </si>
  <si>
    <t>07/04/005</t>
  </si>
  <si>
    <t>pronájem zařízení</t>
  </si>
  <si>
    <t>pronájem a provoz tepelného zařízení Kladno - ITES</t>
  </si>
  <si>
    <t>pronájem a provoz tepelného zařízení</t>
  </si>
  <si>
    <t>07/04/006</t>
  </si>
  <si>
    <t>tepelná energie VZ Kladno a ředitelství</t>
  </si>
  <si>
    <t>07/04/007</t>
  </si>
  <si>
    <t>dodávka vody + odvod odpadních vod VZ Kladno a ředitelství</t>
  </si>
  <si>
    <t>pitná voda VZ Kladno a ředitelství</t>
  </si>
  <si>
    <t>07/07/013</t>
  </si>
  <si>
    <t>nájem + služby</t>
  </si>
  <si>
    <t>nájem VZ Český Brod + el. energie, studená voda + ostaní služby</t>
  </si>
  <si>
    <t>07/12/024</t>
  </si>
  <si>
    <t>spolupráce s MP Kladno</t>
  </si>
  <si>
    <t>07/12/025</t>
  </si>
  <si>
    <t>pitná voda + odvod odpadních vod VZ Krásná Hora</t>
  </si>
  <si>
    <t>pitná voda + odvod odpadních vod VZ Krás</t>
  </si>
  <si>
    <t>08/02/033</t>
  </si>
  <si>
    <t>nájem nádob na odpad</t>
  </si>
  <si>
    <t>nájem nádob na směsný komunální odpad na VZ Zbraslavice</t>
  </si>
  <si>
    <t>nájem nádob na směsný komunální odpad na</t>
  </si>
  <si>
    <t>08/03/048</t>
  </si>
  <si>
    <t>nájem VZ Rakovník + odpad, vodné a stočné, el. energie, teplo</t>
  </si>
  <si>
    <t>nájem nebytových prostor VZ Rakovník + o</t>
  </si>
  <si>
    <t>2986170</t>
  </si>
  <si>
    <t>08/03/209</t>
  </si>
  <si>
    <t>nebezpečný odpad (léčiva) ze všech výjezdových stanovišť</t>
  </si>
  <si>
    <t>nebezpečný odpad (léčiva) ze všech výjez</t>
  </si>
  <si>
    <t>08/04/055</t>
  </si>
  <si>
    <t>poskytování informací o poloze volajícího</t>
  </si>
  <si>
    <t>poskytování informací o poloze volajícíh</t>
  </si>
  <si>
    <t>08/04/059</t>
  </si>
  <si>
    <t>dodávka tepelné energie VZ Benešov</t>
  </si>
  <si>
    <t>08/08/131</t>
  </si>
  <si>
    <t>nájem části střechy</t>
  </si>
  <si>
    <t>nájem části střechy - Lužanská 2500, Rakovník</t>
  </si>
  <si>
    <t>pronájem části střechy - Lužanská 2500,</t>
  </si>
  <si>
    <t>08/09/145</t>
  </si>
  <si>
    <t>směsný komunální odpad z VZ Roztoky u Křivoklátu</t>
  </si>
  <si>
    <t>08/09/161</t>
  </si>
  <si>
    <t>nájem VZ Březnice + teplo</t>
  </si>
  <si>
    <t>09/01/001</t>
  </si>
  <si>
    <t>směsný komunální odpad z VZ Městec Králové</t>
  </si>
  <si>
    <t>09/02/027</t>
  </si>
  <si>
    <t>Ambulance Meditrans pomoc na vyžádání</t>
  </si>
  <si>
    <t>sekundární převozy</t>
  </si>
  <si>
    <t>09/04/055</t>
  </si>
  <si>
    <t>výpůjčka vozidlová a ruční radiostanice (D02041809, D09080303)</t>
  </si>
  <si>
    <t>vozidllová a ruční radiostanice (inv.č.D</t>
  </si>
  <si>
    <t>09/08/148</t>
  </si>
  <si>
    <t>zdravotnický materiá</t>
  </si>
  <si>
    <t>zdravotnický materiál</t>
  </si>
  <si>
    <t>09/09/156</t>
  </si>
  <si>
    <t>callcentrum 800 888 155</t>
  </si>
  <si>
    <t>09/09/160</t>
  </si>
  <si>
    <t>služby spojené s nájmem VZ Březnice (el.energie + voda)</t>
  </si>
  <si>
    <t>10/01/006</t>
  </si>
  <si>
    <t>nebezpečný odpad z VZ Kutná Hora</t>
  </si>
  <si>
    <t>nebezpečný odpad z výjezdového stanovišt</t>
  </si>
  <si>
    <t>10/01/010</t>
  </si>
  <si>
    <t>ZZS ASČR Kralupy pomoc na vyžádání</t>
  </si>
  <si>
    <t>spolupráce při řešení  mimořádných situa</t>
  </si>
  <si>
    <t>10/01/011</t>
  </si>
  <si>
    <t>monitoring</t>
  </si>
  <si>
    <t>monitoring medií</t>
  </si>
  <si>
    <t>10/03/036</t>
  </si>
  <si>
    <t>ČVUT FBMI memorandum o budoucí spolupráci - v oblasti UM</t>
  </si>
  <si>
    <t>Memorandum o budoucí spolupráci - v obla</t>
  </si>
  <si>
    <t>10/05/069</t>
  </si>
  <si>
    <t>Nemocnice Kladno pomoc na vyžádání</t>
  </si>
  <si>
    <t>dohoda o vzájemné spolupráci ZOS SčK a D</t>
  </si>
  <si>
    <t>10/05/070</t>
  </si>
  <si>
    <t>specializační vzdělávání lékařů v oboru UM</t>
  </si>
  <si>
    <t>specializační vzdělávání lékařů v oboru</t>
  </si>
  <si>
    <t>10/05/075</t>
  </si>
  <si>
    <t>výpůjčka 1x nosítka Galileo (UH1040063)</t>
  </si>
  <si>
    <t>1x nosítka Galileo, inv.č.UH1040063</t>
  </si>
  <si>
    <t>10/07/096</t>
  </si>
  <si>
    <t>zajištění přednemocniční péče VZ Mníšek pod Brdy, Davle, Zbraslav</t>
  </si>
  <si>
    <t>zajištění přednemocniční péče Mníšek pod</t>
  </si>
  <si>
    <t>10/07/097</t>
  </si>
  <si>
    <t>zajištění přednemocniční péče VZ Kralupy nad Vltavou, Slaný</t>
  </si>
  <si>
    <t>zajištění přednemocniční péče v oblasti</t>
  </si>
  <si>
    <t>10/07/100</t>
  </si>
  <si>
    <t>nájem VZ Zdice + el.energie, plyn, vodné a stočné, telefon, internet</t>
  </si>
  <si>
    <t>10/07/101</t>
  </si>
  <si>
    <t>výpůjčka nafukovací člun T35 (D09060321) lodní motor BF 5A4 SU (D09060320)</t>
  </si>
  <si>
    <t>Nafukovací člun T35 - inv.č. D09060321 L</t>
  </si>
  <si>
    <t>10/08/108</t>
  </si>
  <si>
    <t>nájem převaděče Háje</t>
  </si>
  <si>
    <t>10/08/111</t>
  </si>
  <si>
    <t>zajištění odborné praxe v oboru Urgentní</t>
  </si>
  <si>
    <t>10/08/113</t>
  </si>
  <si>
    <t>údržba výtahu ZZS Kladno č. 31392093</t>
  </si>
  <si>
    <t>údržba výtahu ÚSZS č. 31392093</t>
  </si>
  <si>
    <t>1851630</t>
  </si>
  <si>
    <t>10/08/114</t>
  </si>
  <si>
    <t>údržba výtahu ZZS Kladno č. 31392057</t>
  </si>
  <si>
    <t>údržba výtahu ÚSZS č. 31392057</t>
  </si>
  <si>
    <t>1851706</t>
  </si>
  <si>
    <t>10/11/169</t>
  </si>
  <si>
    <t>nájem VZ Roztoky u Prahy + el.energie,teplo,vodné a stočné,tefon,úklid</t>
  </si>
  <si>
    <t>nájem nebytových prostor VZ Roztoky u Pr</t>
  </si>
  <si>
    <t>6064883</t>
  </si>
  <si>
    <t>10/12/178</t>
  </si>
  <si>
    <t>nebezpečný odpad z VZ Benešov, Votice, Vlašim, Vranov, Sedlčany, Nymburk</t>
  </si>
  <si>
    <t>nebezpečný odpad z výjezdových stanovišť</t>
  </si>
  <si>
    <t>11/01/004</t>
  </si>
  <si>
    <t>GTS profesionální internet - Kladno služba číslo: 815000000096554</t>
  </si>
  <si>
    <t>GTS profesionální internet - Kladno služ</t>
  </si>
  <si>
    <t>11/01/006</t>
  </si>
  <si>
    <t>součinnost při poukazování finančních prostředků penzijního připojištění</t>
  </si>
  <si>
    <t>11/02/030</t>
  </si>
  <si>
    <t>mytí služebních vozidel Hostivice</t>
  </si>
  <si>
    <t>11/04/052</t>
  </si>
  <si>
    <t>nájem převaděče Velké Přílepy</t>
  </si>
  <si>
    <t>11/04/053</t>
  </si>
  <si>
    <t>nájem převaděče Roztoky u Křivoklátu</t>
  </si>
  <si>
    <t>11/04/054</t>
  </si>
  <si>
    <t>nájem převaděče Modletice</t>
  </si>
  <si>
    <t>11/04/057</t>
  </si>
  <si>
    <t>služby spojené s nájmem VZ Kolín - el.energie, vodné, stočné</t>
  </si>
  <si>
    <t>smlouvy s VZ Kolín - dodávky energií</t>
  </si>
  <si>
    <t>2408146</t>
  </si>
  <si>
    <t>11/05/069</t>
  </si>
  <si>
    <t>TRANS HOSPITAL pomoc na vyžádání</t>
  </si>
  <si>
    <t>spolupráce v poskytování zdravotní péče</t>
  </si>
  <si>
    <t>11/05/070</t>
  </si>
  <si>
    <t>pitná voda + odvod odpadních vod VZ Mělník</t>
  </si>
  <si>
    <t>pitná voda + odvod odpadních vod VZ Měln</t>
  </si>
  <si>
    <t>11/06/091</t>
  </si>
  <si>
    <t>údržba kominikačního zařízení SIEMENS HiPath 3800</t>
  </si>
  <si>
    <t>údržba kominikačního zařízení SIEMENS Hi</t>
  </si>
  <si>
    <t>11/09/129</t>
  </si>
  <si>
    <t>věcného břemeno - pozemek okolo budovy ZZS SčK</t>
  </si>
  <si>
    <t>smlouva o zřízení věcného břemene - poze</t>
  </si>
  <si>
    <t>11/09/134</t>
  </si>
  <si>
    <t>výpůjčka plovoucího mola (UH1040054)</t>
  </si>
  <si>
    <t>plovoucí molo (inv.č.UH1040054)</t>
  </si>
  <si>
    <t>11/10/154</t>
  </si>
  <si>
    <t>nájem převaděče Miskovice</t>
  </si>
  <si>
    <t>11/11/178</t>
  </si>
  <si>
    <t>mytí služebních vozidel Rakovník</t>
  </si>
  <si>
    <t>11/11/182</t>
  </si>
  <si>
    <t>výpůjčka movitých věcí a zdrav. prostředků v prostorách bývalé LPS Ml. Boleslav</t>
  </si>
  <si>
    <t>movité věci a zdravotnické prostředky v</t>
  </si>
  <si>
    <t>11/11/184</t>
  </si>
  <si>
    <t>dodávka mobilních jednotek LUPUS a poskytování služby WEB dispečink</t>
  </si>
  <si>
    <t>dodávka mobilních jednotek LUPUS a posky</t>
  </si>
  <si>
    <t>11/12/207</t>
  </si>
  <si>
    <t>stravenky</t>
  </si>
  <si>
    <t>poukázky Ticket Multi Beroun</t>
  </si>
  <si>
    <t>12/02/005</t>
  </si>
  <si>
    <t>tepelná energie VZ Český Brod, Energie AG Kolín</t>
  </si>
  <si>
    <t>tepelná energie VZ Český Brod</t>
  </si>
  <si>
    <t>12/04/025</t>
  </si>
  <si>
    <t>transportní křeslo - stair pro model 6252 - výrobní číslo SN 101040679</t>
  </si>
  <si>
    <t>transportní křeslo - stair pro model 625</t>
  </si>
  <si>
    <t>12/04/055</t>
  </si>
  <si>
    <t>smlouva o zajišťování prohlídek těl zemřelých, ev.č.3658/ZDR/2012</t>
  </si>
  <si>
    <t>Smlouva o zajišťování prohlídek těl zemř</t>
  </si>
  <si>
    <t>12/07/051</t>
  </si>
  <si>
    <t>nájem s protiplněním</t>
  </si>
  <si>
    <t>nájem VZ Nové Strašecí + teplo, el. energie, vodné a stočné</t>
  </si>
  <si>
    <t>6227775</t>
  </si>
  <si>
    <t>12/09/070</t>
  </si>
  <si>
    <t>pitná voda VZ Mnichovo Hradiště</t>
  </si>
  <si>
    <t>12/10/078</t>
  </si>
  <si>
    <t>odvod odpadních vod VZ Mnichovo Hradiště</t>
  </si>
  <si>
    <t>12/10/079</t>
  </si>
  <si>
    <t>pitná voda + odvod odpadních vod VZ Mladá Boleslav</t>
  </si>
  <si>
    <t>pitná voda + odvod odpadních vod VZ Mlad</t>
  </si>
  <si>
    <t>12/12/097</t>
  </si>
  <si>
    <t>voda VZ Kutná Hora</t>
  </si>
  <si>
    <t>13/01/002</t>
  </si>
  <si>
    <t>nebezpečný odpad + lapoly, plast, papír VZ Kutná Hora, Zruč, Uhl. Janovice</t>
  </si>
  <si>
    <t>nebezpečný odpad + lapoly z výjezdových</t>
  </si>
  <si>
    <t>13/01/015</t>
  </si>
  <si>
    <t>pracovnělékařské služby ZZS Příbram atd. (MUDr. Stanislav Urban)</t>
  </si>
  <si>
    <t>13/02/023</t>
  </si>
  <si>
    <t>poskytování inf.</t>
  </si>
  <si>
    <t>poskytování elektronických online zdrojů umístěných na doméně www.zachranka.cz</t>
  </si>
  <si>
    <t>Smlouva o poskytování elektronických onl</t>
  </si>
  <si>
    <t>13/04/199</t>
  </si>
  <si>
    <t>13/05/062</t>
  </si>
  <si>
    <t>mytí služebních vozidel Český Brod</t>
  </si>
  <si>
    <t>13/05/198</t>
  </si>
  <si>
    <t>Medevac pomoc na vyžádání</t>
  </si>
  <si>
    <t>smlouva o vzájemné spolupráci</t>
  </si>
  <si>
    <t>13/06/109</t>
  </si>
  <si>
    <t>13/06/197</t>
  </si>
  <si>
    <t>nájem VZ Čáslav + el.energie,teplo,vodné,kom. odpad</t>
  </si>
  <si>
    <t>nájem nebytových prostor VZ Čáslav</t>
  </si>
  <si>
    <t>13/07/086</t>
  </si>
  <si>
    <t>licence</t>
  </si>
  <si>
    <t>licenční smlouva k užívání digitálních map Shapefile č._600_LS_JJe_13_010</t>
  </si>
  <si>
    <t>licenční smlouva k užívání digitálních m</t>
  </si>
  <si>
    <t>13/07/087</t>
  </si>
  <si>
    <t>licenční smlouva k užívání digitálních map Shapefile č._600_LS_JJe_13_009</t>
  </si>
  <si>
    <t>13/07/088</t>
  </si>
  <si>
    <t>licenční smlouva k užívání digitálních map TiF, TFW č._600_LS_JJe_13_008</t>
  </si>
  <si>
    <t>13/08/193</t>
  </si>
  <si>
    <t>13/08/194</t>
  </si>
  <si>
    <t>13/08/195</t>
  </si>
  <si>
    <t>13/08/196</t>
  </si>
  <si>
    <t>smlouva o spolupráci při poskytování ZZS + LZS</t>
  </si>
  <si>
    <t>13/09/183</t>
  </si>
  <si>
    <t>směsný komunální odpad z VZ Lysá nad Labem</t>
  </si>
  <si>
    <t>13/10/170</t>
  </si>
  <si>
    <t>13/10/206</t>
  </si>
  <si>
    <t>licenční smlouva k užívání digitálních map TiF, TFW č._600_LS_JJe_13_011</t>
  </si>
  <si>
    <t>13/12/208</t>
  </si>
  <si>
    <t>babyboxy</t>
  </si>
  <si>
    <t>14/02/012</t>
  </si>
  <si>
    <t>mytí služebních vozidel Nové Strašecí</t>
  </si>
  <si>
    <t>14/04/062</t>
  </si>
  <si>
    <t>zasílatelská smlouva - přeprava zásilek PPL</t>
  </si>
  <si>
    <t>Zasílatelská smlouva - přeprava zásilek</t>
  </si>
  <si>
    <t>14/05/076</t>
  </si>
  <si>
    <t>mytí služebních vozidel Sedlčany</t>
  </si>
  <si>
    <t>14/05/095</t>
  </si>
  <si>
    <t>pitná voda + odvod odpadních vod  VZ Neratovice</t>
  </si>
  <si>
    <t>pitná voda + odvod odpadních vod  VZ Ner</t>
  </si>
  <si>
    <t>14/05/097</t>
  </si>
  <si>
    <t>výpůjčka 3x AED (UH1140005, UH1140006, UH1140007)</t>
  </si>
  <si>
    <t>3x automatický externí defibrilátor (inv</t>
  </si>
  <si>
    <t>14/05/098</t>
  </si>
  <si>
    <t>výpůjčka 1x AED (UH1140008)</t>
  </si>
  <si>
    <t>automatický externí defibrilátor (inv.č.</t>
  </si>
  <si>
    <t>14/05/099</t>
  </si>
  <si>
    <t>výpůjčka 1x AED (UH1140004)</t>
  </si>
  <si>
    <t>14/05/100</t>
  </si>
  <si>
    <t>výpůjčka 1x AED (UH1140040)</t>
  </si>
  <si>
    <t>14/05/101</t>
  </si>
  <si>
    <t>výpůjčka 1x AED (UH1140041)</t>
  </si>
  <si>
    <t>14/05/102</t>
  </si>
  <si>
    <t>výpůjčka 1x AED (UH1140033)</t>
  </si>
  <si>
    <t>14/05/103</t>
  </si>
  <si>
    <t>výpůjčka 1x AED (UH1140003)</t>
  </si>
  <si>
    <t>14/05/104</t>
  </si>
  <si>
    <t>výpůjčka 1x AED (UH1140042)</t>
  </si>
  <si>
    <t>14/05/105</t>
  </si>
  <si>
    <t>výpůjčka 1x AED (UH1140047)</t>
  </si>
  <si>
    <t>14/05/106</t>
  </si>
  <si>
    <t>výpůjčka 1x AED (UH1140001)</t>
  </si>
  <si>
    <t>14/05/107</t>
  </si>
  <si>
    <t>výpůjčka 1x AED (UH1140002)</t>
  </si>
  <si>
    <t>14/06/118</t>
  </si>
  <si>
    <t>výpůjčka 1x AED (UH1140038)</t>
  </si>
  <si>
    <t>14/06/119</t>
  </si>
  <si>
    <t>výpůjčka 3x AED (UH1140043,UH1140044,UH1140045)</t>
  </si>
  <si>
    <t>14/06/120</t>
  </si>
  <si>
    <t>výpůjčka 1x AED (UH1140010)</t>
  </si>
  <si>
    <t>14/06/121</t>
  </si>
  <si>
    <t>výpůjčka 1x AED (UH1140050)</t>
  </si>
  <si>
    <t>14/06/122</t>
  </si>
  <si>
    <t>výpůjčka 1x AED (UH1140009)</t>
  </si>
  <si>
    <t>14/06/123</t>
  </si>
  <si>
    <t>výpůjčka 1x AED (UH1140032)</t>
  </si>
  <si>
    <t>14/06/124</t>
  </si>
  <si>
    <t>výpůjčka 1x AED (UH1140046)</t>
  </si>
  <si>
    <t>14/06/125</t>
  </si>
  <si>
    <t>výpůjčka 1x AED (UH1140054)</t>
  </si>
  <si>
    <t>14/06/126</t>
  </si>
  <si>
    <t>výpůjčka 1x AED (UH1140039)</t>
  </si>
  <si>
    <t>14/07/015</t>
  </si>
  <si>
    <t>výpůjčka 1x AED (UH1140055)</t>
  </si>
  <si>
    <t>14/07/017</t>
  </si>
  <si>
    <t>telekomunikační služby, číslo oprávnění 211202/TI</t>
  </si>
  <si>
    <t>8632443</t>
  </si>
  <si>
    <t>14/09/109</t>
  </si>
  <si>
    <t>tepelná energie VZ Sedlčany</t>
  </si>
  <si>
    <t>1197549</t>
  </si>
  <si>
    <t>14/09/126</t>
  </si>
  <si>
    <t>dohoda o bezhotovostní úhradě cen poštovních služeb č. 982807-1627/2014</t>
  </si>
  <si>
    <t>dohoda o bezhotovostní úhradě cen poštov</t>
  </si>
  <si>
    <t>15/02/001</t>
  </si>
  <si>
    <t>nájem garáže VZ Sedlčany</t>
  </si>
  <si>
    <t>15/02/008</t>
  </si>
  <si>
    <t>rámcová smlouva 38 BES 2015 / PB - měřáka tepla Příbram Březové Hory</t>
  </si>
  <si>
    <t>Rámcová smlouva 38 BES 2015 / PB</t>
  </si>
  <si>
    <t>15/02/009</t>
  </si>
  <si>
    <t>výpůjčka 1x AED (UH1150019)</t>
  </si>
  <si>
    <t>15/02/010</t>
  </si>
  <si>
    <t>výpůjčka 1x AED (UH1150012)</t>
  </si>
  <si>
    <t>automatický externí defobrilátor (inv.č.</t>
  </si>
  <si>
    <t>15/02/013</t>
  </si>
  <si>
    <t>výpůjčka 1x AED (UH1150011)</t>
  </si>
  <si>
    <t>15/02/015</t>
  </si>
  <si>
    <t>výpůjčka 1x AED (UH1150028)</t>
  </si>
  <si>
    <t>15/02/016</t>
  </si>
  <si>
    <t>výpůjčka 1x AED (UH1150025)</t>
  </si>
  <si>
    <t>15/02/018</t>
  </si>
  <si>
    <t>výpůjčka 2x AED (UH1150026, UH1150027)</t>
  </si>
  <si>
    <t>2x automatický externí defibrilátor (inv</t>
  </si>
  <si>
    <t>1100469</t>
  </si>
  <si>
    <t>15/02/019</t>
  </si>
  <si>
    <t>výpůjčka 3x AED (UH1150015, UH1150016, UH1150017)</t>
  </si>
  <si>
    <t>1185145</t>
  </si>
  <si>
    <t>15/02/020</t>
  </si>
  <si>
    <t>rámcová smlouva 39 BES 2015 / BN - měřáky tepla Benešov</t>
  </si>
  <si>
    <t>Rámcová smlouva 39 BES 2015 / BN</t>
  </si>
  <si>
    <t>15/02/039</t>
  </si>
  <si>
    <t>nebezpečný odpad (léčiva) z VZ Kladno</t>
  </si>
  <si>
    <t>nebezpečný odpad (léčiva) z výjezdového</t>
  </si>
  <si>
    <t>15/03/001</t>
  </si>
  <si>
    <t>výpůjčka 1x AED (UH1150018)</t>
  </si>
  <si>
    <t>15/03/013</t>
  </si>
  <si>
    <t>tepelná energie VZ Mělník</t>
  </si>
  <si>
    <t>15/04/001</t>
  </si>
  <si>
    <t>směsný komunální odpad z VZ Český Brod</t>
  </si>
  <si>
    <t>15/04/005</t>
  </si>
  <si>
    <t>výpůjčka 1x AED (UH1150032)</t>
  </si>
  <si>
    <t>15/04/011</t>
  </si>
  <si>
    <t>výpůjčka 1x AED (UH1150029)</t>
  </si>
  <si>
    <t>15/04/012</t>
  </si>
  <si>
    <t>výpůjčka 1x AED (UH1150030)</t>
  </si>
  <si>
    <t>15/04/014</t>
  </si>
  <si>
    <t>výpůjčka 5x AED(UH1150020,UH1150021,UH1150022,UH1150023,UH1150024)</t>
  </si>
  <si>
    <t>5x automatický externí defibrilátor (inv</t>
  </si>
  <si>
    <t>1429374</t>
  </si>
  <si>
    <t>15/05/006</t>
  </si>
  <si>
    <t>výpůjčka 1x tréninkového AED s přísl. (D09130327)</t>
  </si>
  <si>
    <t>tréninkový automatický externí defibrilá</t>
  </si>
  <si>
    <t>15/05/008</t>
  </si>
  <si>
    <t>internet UVTairmax B - Benešov</t>
  </si>
  <si>
    <t>internet UVTairmax B</t>
  </si>
  <si>
    <t>2283782</t>
  </si>
  <si>
    <t>15/06/012</t>
  </si>
  <si>
    <t>Sanitní automobily</t>
  </si>
  <si>
    <t>Sanitní automobily (12 ks)</t>
  </si>
  <si>
    <t>15/06/026</t>
  </si>
  <si>
    <t>smlouva o spolupráci "Karta mého srdce"</t>
  </si>
  <si>
    <t>Smlouva o spolupráci "Karta mého srdce"</t>
  </si>
  <si>
    <t>15/07/002</t>
  </si>
  <si>
    <t>smlouva o spolupráci VITAKARTA portál online</t>
  </si>
  <si>
    <t>Smlouva o spolupráci VITAKARTA portál on</t>
  </si>
  <si>
    <t>15/07/003</t>
  </si>
  <si>
    <t>sdílení informací</t>
  </si>
  <si>
    <t>smlouva o sdílení a poskytování dopravních informací v rámci "JSDI"</t>
  </si>
  <si>
    <t>smlouva o sdílení a poskytování dopravní</t>
  </si>
  <si>
    <t>15/07/004</t>
  </si>
  <si>
    <t>výpůjčka 1x AED (UH1150033)</t>
  </si>
  <si>
    <t>15/07/008</t>
  </si>
  <si>
    <t>spolupráce při realizaci programu specializačního vzdělávání v oboru UM</t>
  </si>
  <si>
    <t>spolupráce při realizaci programu specia</t>
  </si>
  <si>
    <t>15/07/009</t>
  </si>
  <si>
    <t>15/07/015</t>
  </si>
  <si>
    <t>eHealth</t>
  </si>
  <si>
    <t>Nákup služeb eHealth - pořízení - IOP 23</t>
  </si>
  <si>
    <t>15/07/016</t>
  </si>
  <si>
    <t>Nákup služeb eHealth - servis - IOP 23</t>
  </si>
  <si>
    <t>15/08/017</t>
  </si>
  <si>
    <t>Nákup sanitních automobilů (16 ks) - IOP 23</t>
  </si>
  <si>
    <t>15/10/007</t>
  </si>
  <si>
    <t>výpůjčka 2x tréninkového AED (D09150081, D09150082)</t>
  </si>
  <si>
    <t>smlouva o výpůjčce trénink. AED 2 ks (in</t>
  </si>
  <si>
    <t>15/10/012</t>
  </si>
  <si>
    <t>smlouva o přístupu</t>
  </si>
  <si>
    <t>smlouva o přístupu ke komunikační infrastruktuře eMeDocS</t>
  </si>
  <si>
    <t>Smlouva o přístupu ke komunikační infras</t>
  </si>
  <si>
    <t>15/11/011</t>
  </si>
  <si>
    <t>smlouva o přístupu ke komunikační infrastruktuře a k projektu eHealth (IOP23)</t>
  </si>
  <si>
    <t>smlouva o přístupu ke komunikační infras</t>
  </si>
  <si>
    <t>15/11/013</t>
  </si>
  <si>
    <t>umístění zařízení</t>
  </si>
  <si>
    <t>umístění telekomunikačních zařízení TS NGN (Vančurova, Kladno)</t>
  </si>
  <si>
    <t>Smlouva o umístění telekomunikačních zař</t>
  </si>
  <si>
    <t>15/11/016</t>
  </si>
  <si>
    <t>připojení</t>
  </si>
  <si>
    <t>připojení k distribuční soustavě VZ Uhlířské Janovice</t>
  </si>
  <si>
    <t>připojení k distribuční soustavě VZ Uhlí</t>
  </si>
  <si>
    <t>15/12/012</t>
  </si>
  <si>
    <t>nebezpečný, směsný kom. a tříděný odpad + lapoly VZ Benešov, Kladno, Mělník</t>
  </si>
  <si>
    <t>nebezpečný odpad, směsný komunální odpad</t>
  </si>
  <si>
    <t>1593958</t>
  </si>
  <si>
    <t>16/01/011</t>
  </si>
  <si>
    <t>technické zhodnocení</t>
  </si>
  <si>
    <t>smlouva o úhradě technického zhodnocení a jeho odepisování - VZ Sedlčany</t>
  </si>
  <si>
    <t>Smlouva o úhradě technického zhodnocení</t>
  </si>
  <si>
    <t>16/01/013</t>
  </si>
  <si>
    <t>směsný komunální odpad + papír + plast z VZ Brandýs nad Labe</t>
  </si>
  <si>
    <t>směsný komunální odpad + papír + plast z</t>
  </si>
  <si>
    <t>16/01/022</t>
  </si>
  <si>
    <t>výpůjčka 1x AED (UH1160021)</t>
  </si>
  <si>
    <t>automatický externí defibrilátor (UH1160</t>
  </si>
  <si>
    <t>16/01/023</t>
  </si>
  <si>
    <t>16/01/024</t>
  </si>
  <si>
    <t>výpůjčka 1x AED (UH1160018)</t>
  </si>
  <si>
    <t>16/01/025</t>
  </si>
  <si>
    <t>výpůjčka 1x AED (UH1160025)</t>
  </si>
  <si>
    <t>16/01/026</t>
  </si>
  <si>
    <t>výpůjčka 1x AED (UH1160027)</t>
  </si>
  <si>
    <t>16/01/027</t>
  </si>
  <si>
    <t>výpůjčka 3x AED (UH1160022, UH1160023, UH1160024)</t>
  </si>
  <si>
    <t>3x automatický externí defibrilátor (UH1</t>
  </si>
  <si>
    <t>4157540</t>
  </si>
  <si>
    <t>16/01/028</t>
  </si>
  <si>
    <t>výpůjčka 1x AED (UH1160033)</t>
  </si>
  <si>
    <t>16/01/029</t>
  </si>
  <si>
    <t>výpůjčka 1x AED (UH1160019)</t>
  </si>
  <si>
    <t>16/01/030</t>
  </si>
  <si>
    <t>výpůjčka 1x AED (UH1160026)</t>
  </si>
  <si>
    <t>16/02/045</t>
  </si>
  <si>
    <t>výpůjčka 7x AED (UH1160034,UH1160035,UH1160036,UH1160037,UH1160038,UH1160039,40)</t>
  </si>
  <si>
    <t>7x automatický externí defibrilátor (UH1</t>
  </si>
  <si>
    <t>4157680</t>
  </si>
  <si>
    <t>16/03/048</t>
  </si>
  <si>
    <t>výpůjčka pozemku pro přístřešek na VS Sedlčany</t>
  </si>
  <si>
    <t>smlouva o výpůjčce pozemku pro přístřeše</t>
  </si>
  <si>
    <t>16/03/050</t>
  </si>
  <si>
    <t>výpůjčka 1x vakuové matrace Vakuform (D09160034)</t>
  </si>
  <si>
    <t>výpůjčka vakuové matrace Vakuform (inv.č</t>
  </si>
  <si>
    <t>16/03/062</t>
  </si>
  <si>
    <t>smlouva o spolupráci při provozování mobilní aplikace</t>
  </si>
  <si>
    <t>Smlouva o spolupráci při provozování mob</t>
  </si>
  <si>
    <t>16/05/099</t>
  </si>
  <si>
    <t>smlouva o úhradě technického zhodnocení a jeho odepisování - Uhl.Janovice</t>
  </si>
  <si>
    <t>16/05/117</t>
  </si>
  <si>
    <t>výpůjčka zdravotnického vybavení</t>
  </si>
  <si>
    <t>16/05/143</t>
  </si>
  <si>
    <t>rámcová smlouva - služeby elektronických komunikací UPC</t>
  </si>
  <si>
    <t>Rámcová smlouva o poskytování veřejně do</t>
  </si>
  <si>
    <t>16/06/114</t>
  </si>
  <si>
    <t>odvoz použitých pneu</t>
  </si>
  <si>
    <t>odvoz použitých pneumatik - dílny Benešov</t>
  </si>
  <si>
    <t>odvoz použitých pneumatik dle zákona</t>
  </si>
  <si>
    <t>16/06/127</t>
  </si>
  <si>
    <t>výpůjčka 1x plicní ventilátor Medumat (UH1040082) 1x držák Life Base (D05040713)</t>
  </si>
  <si>
    <t>plicní ventilátor Medumat UH1040082 držá</t>
  </si>
  <si>
    <t>16/06/128</t>
  </si>
  <si>
    <t>pojistná smlouva</t>
  </si>
  <si>
    <t>smlouva o hav. pojištění plavidel a o pojištění odpovědnosti z provozu plavidel</t>
  </si>
  <si>
    <t>Smlouva o havarijním pojištění plavidel</t>
  </si>
  <si>
    <t>2154946</t>
  </si>
  <si>
    <t>168/75030926/16</t>
  </si>
  <si>
    <t>výpůjčka 3x vakuová matrace EM, 3x vakuová dlaha na HK, 3x vakuová dlaha na DK</t>
  </si>
  <si>
    <t>3x vakuová matrace EM - 10/7RL, 3x vakuo</t>
  </si>
  <si>
    <t>171/75030926/16</t>
  </si>
  <si>
    <t>směsný komunální odpad + plast VZ Březnice</t>
  </si>
  <si>
    <t>směsný komunální odpad + plast VZ Březni</t>
  </si>
  <si>
    <t>plná moc</t>
  </si>
  <si>
    <t>205/75030926/16</t>
  </si>
  <si>
    <t>plná moc zřizovatele ke zveřejňování smluv v Registru smluv</t>
  </si>
  <si>
    <t>Plná moc zřizovatele ke zveřejňování sml</t>
  </si>
  <si>
    <t>287729</t>
  </si>
  <si>
    <t>288/75030926/16</t>
  </si>
  <si>
    <t>směsný komunální odpad VZ Roztoky</t>
  </si>
  <si>
    <t>95/09/001</t>
  </si>
  <si>
    <t>směsný komunální odpad + plasty z VZ Mělník, směsný kom. odpad z VZ Neratovice</t>
  </si>
  <si>
    <t>směsný komunální odpad + plasty z výjezd</t>
  </si>
  <si>
    <t>97/11/003</t>
  </si>
  <si>
    <t>nájem VZ Uhlířské Janovice</t>
  </si>
  <si>
    <t>nájem nebytových prostor VZ Uhlířské Jan</t>
  </si>
  <si>
    <t>98/10/003</t>
  </si>
  <si>
    <t>nájem (bezplatný) garáže VZ Uhlířské Janovice</t>
  </si>
  <si>
    <t>nájem (bezplatný) garáže VZ Uhlířské Jan</t>
  </si>
  <si>
    <t>98/11/001</t>
  </si>
  <si>
    <t>servisní činnost - ČOV VZ Mělník</t>
  </si>
  <si>
    <t>servisní činnost - ČOV</t>
  </si>
  <si>
    <t>99/03/004</t>
  </si>
  <si>
    <t>služby spojené s nájmem VZ Říčany - teplo, voda, el. energie, telefon, odpad</t>
  </si>
  <si>
    <t>služby spojené s nájmem nebytových prost</t>
  </si>
  <si>
    <t>99/03/005</t>
  </si>
  <si>
    <t>nájem VZ Říčany</t>
  </si>
  <si>
    <t>nájem nebytových prostor  VZ Říčany</t>
  </si>
  <si>
    <t>99/09/007</t>
  </si>
  <si>
    <t>nájem VZ Kolín</t>
  </si>
  <si>
    <t>nájem nebytových prostor VZ Kolín</t>
  </si>
  <si>
    <t>N</t>
  </si>
  <si>
    <t>S-229/75030926/20</t>
  </si>
  <si>
    <t>Darovací smlouva, 10.000,-Kč</t>
  </si>
  <si>
    <t>Smlouva o zabezpečen</t>
  </si>
  <si>
    <t>S-002/75030926/21</t>
  </si>
  <si>
    <t>Smlouva o zabezpečení skladu ZZS SK Příbram na Brodě</t>
  </si>
  <si>
    <t>S-004/75030926/21</t>
  </si>
  <si>
    <t>Bezúpl.převod - 50 ks obleků XXL, 50 ks obleků XXXL</t>
  </si>
  <si>
    <t>S-005/75030926/21</t>
  </si>
  <si>
    <t>Pojistná smlouva 899-14419-17 o pojištění odpovědnosti</t>
  </si>
  <si>
    <t>S-006/75030926/21</t>
  </si>
  <si>
    <t>S-009/75030926/21</t>
  </si>
  <si>
    <t>Smlouva o likvidaci a svozu komunálního odpadu</t>
  </si>
  <si>
    <t>S-010/75030926/21</t>
  </si>
  <si>
    <t>svoz směsného komunálního odpadu + plast + sklo VZ Kladno a Nové Strašecí</t>
  </si>
  <si>
    <t>Pomoc na vyžádání</t>
  </si>
  <si>
    <t>S-011/75030926/21</t>
  </si>
  <si>
    <t>Medevac - Dohoda o spolupráci, zajištění PPNP - nepodepsáné</t>
  </si>
  <si>
    <t>S-012/75030926/21</t>
  </si>
  <si>
    <t>Dohoda o narovnání - Modrá loděnice</t>
  </si>
  <si>
    <t>S-014/75030926/21</t>
  </si>
  <si>
    <t>Příkazní smlouva</t>
  </si>
  <si>
    <t>S-015/75030926/21</t>
  </si>
  <si>
    <t>Příkazní smlouva na zpracování daňového přiznání za rok 2020</t>
  </si>
  <si>
    <t>S-016/75030926/21</t>
  </si>
  <si>
    <t>úklidové služby VZ Kutná Hora</t>
  </si>
  <si>
    <t>S-017/75030926/21</t>
  </si>
  <si>
    <t>úklidové služby VZ Mladá boleslav</t>
  </si>
  <si>
    <t>S-019/75030926/21</t>
  </si>
  <si>
    <t>Poskytování právních služeb - všeobecné právo</t>
  </si>
  <si>
    <t>S-021/75030926/21</t>
  </si>
  <si>
    <t>Kupní smlouva "lineární dávkovače" 10 ks</t>
  </si>
  <si>
    <t>S-022/75030926/21</t>
  </si>
  <si>
    <t>Rámcová Kupní smlouva - papírové ručníky</t>
  </si>
  <si>
    <t>S-023/75030926/21</t>
  </si>
  <si>
    <t>Smlouva o dílo, oprava vozu VW T6, 2SD 2578</t>
  </si>
  <si>
    <t>S-024/75030926/21</t>
  </si>
  <si>
    <t>Smlouva o dílo, oprava vozu VW T6, 3SU 6604</t>
  </si>
  <si>
    <t>S-025/75030926/21</t>
  </si>
  <si>
    <t>pronájem lahví</t>
  </si>
  <si>
    <t>S-026/75030926/21</t>
  </si>
  <si>
    <t>předplacení dlouhodobého pronájmu lahví na stračený plyn</t>
  </si>
  <si>
    <t>S-027/75030926/21</t>
  </si>
  <si>
    <t>Zajištění stáže, MUDr. Kristina Čechalová, FN KV, 10 dní</t>
  </si>
  <si>
    <t>S-028/75030926/21</t>
  </si>
  <si>
    <t>Bezúplatný převod majetku</t>
  </si>
  <si>
    <t>S-030/75030926/21</t>
  </si>
  <si>
    <t>Smlouva o dílo, oprava VW T5, rz 7S4 0484</t>
  </si>
  <si>
    <t>S-031/75030926/21</t>
  </si>
  <si>
    <t>Smlouva o dílo, oprava VW T6, 3SU 6708</t>
  </si>
  <si>
    <t>Finance z FZŠ</t>
  </si>
  <si>
    <t>S-032/75030926/21</t>
  </si>
  <si>
    <t>Finance z FZŠ na rok 2021</t>
  </si>
  <si>
    <t>čistící prostředky</t>
  </si>
  <si>
    <t>S-034/75030926/21</t>
  </si>
  <si>
    <t>rámcová kupní smlouva - čistící prostředky a drogistické zboží</t>
  </si>
  <si>
    <t>Letní pneu a disky</t>
  </si>
  <si>
    <t>S-035/75030926/21</t>
  </si>
  <si>
    <t>Kupní smlouva - letní pneumatiky a disky</t>
  </si>
  <si>
    <t>REACT</t>
  </si>
  <si>
    <t>S-036/75030926/21</t>
  </si>
  <si>
    <t>Zpracování žádosti o dotaci REACT, IROP</t>
  </si>
  <si>
    <t>S-037/75030926/21</t>
  </si>
  <si>
    <t>nájem + služby Mladá boleslav</t>
  </si>
  <si>
    <t>S-040/75030926/21</t>
  </si>
  <si>
    <t>Darovací smlouva - energetické kapsičky Pastee</t>
  </si>
  <si>
    <t>S-041/75030926/21</t>
  </si>
  <si>
    <t>Pojistná smlouva 8603544227 - skupinové úrazové pojištění</t>
  </si>
  <si>
    <t>S-042/75030926/21</t>
  </si>
  <si>
    <t>Zdravotnický dozor, ZZS Mladá Boleslav, 18.3.-13.4., 5 dozorů</t>
  </si>
  <si>
    <t>S-046/75030926/21</t>
  </si>
  <si>
    <t>Rámcová kupní smlouva - intraoseální jehly s příslušenstvím</t>
  </si>
  <si>
    <t>S-047/75030926/21</t>
  </si>
  <si>
    <t>S-048/75030926/21</t>
  </si>
  <si>
    <t>S-050/75030926/21</t>
  </si>
  <si>
    <t>Rámcová kupní smlouva - infuzní roztoky - nepodepsáno</t>
  </si>
  <si>
    <t>S-051/75030926/21</t>
  </si>
  <si>
    <t>Zdravotnický dozor, 16.5., RZP Nymburk</t>
  </si>
  <si>
    <t>Oprava</t>
  </si>
  <si>
    <t>S-053/75030926/21</t>
  </si>
  <si>
    <t>Oprava vozu VW T6, rz 3SU 6705</t>
  </si>
  <si>
    <t>S-054/75030926/21</t>
  </si>
  <si>
    <t>Dar - 150 kg kávy</t>
  </si>
  <si>
    <t>prostěradla</t>
  </si>
  <si>
    <t>S-055/75030926/21</t>
  </si>
  <si>
    <t>Rámcová kupní smlouva - jednorázová prostěradla</t>
  </si>
  <si>
    <t>S-056/75030926/21</t>
  </si>
  <si>
    <t>Zajištění praxe, MUDr. Lenka Maršíčková, červen, Brandýs</t>
  </si>
  <si>
    <t>S-057/75030926/21</t>
  </si>
  <si>
    <t>zajištění praxe Lada Mrštíková, Příbram, 06/2021</t>
  </si>
  <si>
    <t>S-058/75030926/21</t>
  </si>
  <si>
    <t>zajištění praxe, Petr Jirků, Benešov, 5-8/2021</t>
  </si>
  <si>
    <t>S-059/75030926/21</t>
  </si>
  <si>
    <t>Bezúplatný převod - Škoda Superb, rz 1AM 5085</t>
  </si>
  <si>
    <t>S-061/75030926/21</t>
  </si>
  <si>
    <t>Kupní - adaptéry ke kapnometru EMMA</t>
  </si>
  <si>
    <t>S-062/75030926/21</t>
  </si>
  <si>
    <t>Rámcová kupní smlouva - jednorázové elektrody</t>
  </si>
  <si>
    <t>S-063/75030926/21</t>
  </si>
  <si>
    <t>Svoz odpadu - komunální - Beroun</t>
  </si>
  <si>
    <t>S-064/75030926/21</t>
  </si>
  <si>
    <t>Svoz odpadu - plast - Beroun</t>
  </si>
  <si>
    <t>S-065/75030926/21</t>
  </si>
  <si>
    <t>Zdravotnický dozor "Bezpečně do prázdnin" 25.6., Konopoště, Benešov</t>
  </si>
  <si>
    <t>S-066/75030926/21</t>
  </si>
  <si>
    <t>Zdravotnický dozor pro členy představenstva, Mladá Boleslav</t>
  </si>
  <si>
    <t>S-067/75030926/21</t>
  </si>
  <si>
    <t>Zajištění praxe, Jana Kočová, 7 směn 06/2021, Zdiby</t>
  </si>
  <si>
    <t>S-068/7503926/21</t>
  </si>
  <si>
    <t>Zajištění praxe, Anna Blehová, 7 dní 7.-8./2021, Příbram</t>
  </si>
  <si>
    <t>S-069/75030926/21</t>
  </si>
  <si>
    <t>Zajištění praxe, MUDr. Tereza Urzová, 10 směn, 06/2021, Kladno</t>
  </si>
  <si>
    <t>S-070/75030926/21</t>
  </si>
  <si>
    <t>Zajištění stáže, MUDr. Iva Jandurová, 7 směn, 06/2021, Beroun</t>
  </si>
  <si>
    <t>S-071/75030926/21</t>
  </si>
  <si>
    <t>Zajištění stáže, MUDr. Jaroslav Pícha, 10 směn, 07/2021, Příbram</t>
  </si>
  <si>
    <t>S-072/75030926/21</t>
  </si>
  <si>
    <t>Svoz odpadu Beroun - papír</t>
  </si>
  <si>
    <t>Podnájem</t>
  </si>
  <si>
    <t>S-074/75030926/21</t>
  </si>
  <si>
    <t>Smlouva o podnájmu nemovité věci - prostory Slapy</t>
  </si>
  <si>
    <t>S-075/75030926/21</t>
  </si>
  <si>
    <t>Dohoda o narovnání za období bez smlouvy 4/2015-4/2021</t>
  </si>
  <si>
    <t>Oprava vozu</t>
  </si>
  <si>
    <t>s-076/75030926/21</t>
  </si>
  <si>
    <t>Oprava vozu VW T6, rz 2SD 2578, pojistná událost</t>
  </si>
  <si>
    <t>S-077/75030926/21</t>
  </si>
  <si>
    <t>Oprava vozu VW T6, rz 5SE 8608, pojistná událost</t>
  </si>
  <si>
    <t>S-078/75030926/21</t>
  </si>
  <si>
    <t>Oprava vozu VW T6, rz 2SK 4979, pojistná událost</t>
  </si>
  <si>
    <t>s-079/75030926/21</t>
  </si>
  <si>
    <t>Darovací smlouva, 200 ks nutričních past, Lysá, Nymburk</t>
  </si>
  <si>
    <t>S-080/75030926/21</t>
  </si>
  <si>
    <t>Rámcová kupní smlouva - infuzní roztok</t>
  </si>
  <si>
    <t>S-081/75030926/21</t>
  </si>
  <si>
    <t>Poskytování právních služeb</t>
  </si>
  <si>
    <t>S-082/75030926/21</t>
  </si>
  <si>
    <t>Zdravotnický dozor, 17.6., Vyšehrad, ZZS Rakovník</t>
  </si>
  <si>
    <t>S-083/75030926/21</t>
  </si>
  <si>
    <t>Zdravotnický dozor, 4.9.2021 Jánské v Loděnici, RZP Beroun</t>
  </si>
  <si>
    <t>S-084/75030926/21</t>
  </si>
  <si>
    <t>Zajištění praxe, Martin Novotný, 6.-10./2021</t>
  </si>
  <si>
    <t>S-085/75030926/21</t>
  </si>
  <si>
    <t>Zajištění praxe, Jakub Procházka, 3.-23.7., Sedlčany</t>
  </si>
  <si>
    <t>S-086/75030926/21</t>
  </si>
  <si>
    <t>Zajištění praxe, Bc. Barbora Zámostná, 9-12/2021, Sedlčany</t>
  </si>
  <si>
    <t>S-087/75030926/21</t>
  </si>
  <si>
    <t>Zajištění praxe, MUDr. Ondřej Toman, Kolín, 14.-27.6.2021</t>
  </si>
  <si>
    <t>S-088/75030926/21</t>
  </si>
  <si>
    <t>Zajištění praxem MUDr. Nikola Sojková, 14.-27.6.2021, Kolín</t>
  </si>
  <si>
    <t>S-089/75030926/21</t>
  </si>
  <si>
    <t>Zajištění stáže MUDr. Klára Frantová, 7-8/2021, Kladno</t>
  </si>
  <si>
    <t>s-090/75030926/21</t>
  </si>
  <si>
    <t>Zajištění praxe Viktoria Paladič, 7.-18.6.2021, Příbram</t>
  </si>
  <si>
    <t>S-091/75030926/21</t>
  </si>
  <si>
    <t>Obsluha plyn.kotelny Mnichovo Hradiště</t>
  </si>
  <si>
    <t>S-092/75030926/21</t>
  </si>
  <si>
    <t>Dohoda o ukončení smlouvy o nájmu pozemku</t>
  </si>
  <si>
    <t>S-093/75030926/21</t>
  </si>
  <si>
    <t>Zajištění praxe, Tomáš Krejčí, Příbram, 6-8/2021</t>
  </si>
  <si>
    <t>S-094/75030926/21</t>
  </si>
  <si>
    <t>Zajištění praxe Monika Tikovská, Zdice, 7-12/2021</t>
  </si>
  <si>
    <t>S-095/75030926/21</t>
  </si>
  <si>
    <t>Zajištění praxe, Štěpán Ota Schutz, 7-11/2021</t>
  </si>
  <si>
    <t>S-096/75030926/21</t>
  </si>
  <si>
    <t>Zdravotnický dozor, 22.6.2021, Všetaty</t>
  </si>
  <si>
    <t>S-097/75030926/21</t>
  </si>
  <si>
    <t>Zdravotnický dozor Kostelec nad Černými lesy, 27.6.2021</t>
  </si>
  <si>
    <t>S-099/75030926/21</t>
  </si>
  <si>
    <t>Spolupráce - poskytování první pomoci Orlík</t>
  </si>
  <si>
    <t>S-100/75030926/21</t>
  </si>
  <si>
    <t>Svoz odpadu Mladá Boleslav</t>
  </si>
  <si>
    <t>S-101/75030926/21</t>
  </si>
  <si>
    <t>výpůjčka transportní techniky</t>
  </si>
  <si>
    <t>Darovací smlouva</t>
  </si>
  <si>
    <t>S-102/75030926/21</t>
  </si>
  <si>
    <t>Darovací smlouva - kávovar Kolín</t>
  </si>
  <si>
    <t>S-103/75030926/21</t>
  </si>
  <si>
    <t>Dohoda o spoluprácí - první pomoc Slapy, Orlík</t>
  </si>
  <si>
    <t>S-104/75030926/21</t>
  </si>
  <si>
    <t>S-105/75030926/21</t>
  </si>
  <si>
    <t>Rámcová kupní smlouva - celotělový ochranný oděv - A</t>
  </si>
  <si>
    <t>S-106/75030926/21</t>
  </si>
  <si>
    <t>Rámcová kupní smlouva - celotělový ochranný oděv - B</t>
  </si>
  <si>
    <t>S-107/75030926/21</t>
  </si>
  <si>
    <t>Zdravotnický dozor, prezentace, 13.7.2021, ZZS Kolín</t>
  </si>
  <si>
    <t>S-108/75030926/21</t>
  </si>
  <si>
    <t>Zdravotnický dozor "Zdravotnický záchranář"</t>
  </si>
  <si>
    <t>S-109/75030926/21</t>
  </si>
  <si>
    <t>Zajištění praxe, Michaela Vokurková, 7-8/2021, Hostivice</t>
  </si>
  <si>
    <t>S-110/75030926/21</t>
  </si>
  <si>
    <t>Rámcová kupní smlouva - kancelářské potřeby a papírenské zboží</t>
  </si>
  <si>
    <t>s-111/75030926/21</t>
  </si>
  <si>
    <t>Zajištění praxe, MgA.Daniel Tuček, 8-9/2021, Lysá nad Labem</t>
  </si>
  <si>
    <t>S-112/75030926/21</t>
  </si>
  <si>
    <t>Zajištění praxe Vaňková Anna, 7-8/2021, Benešov</t>
  </si>
  <si>
    <t>S-113/75030926/21</t>
  </si>
  <si>
    <t>Zajištění praxe, Miroslav Šindelář,7/2021, Benešov</t>
  </si>
  <si>
    <t>S-114/75030926/21</t>
  </si>
  <si>
    <t>Zajištění praxe, Tomáš Hajný, 7-8/2021, Brandýs nad Labem</t>
  </si>
  <si>
    <t>S-115/75030926/21</t>
  </si>
  <si>
    <t>právní služby ve věci ochrany dobrého jména</t>
  </si>
  <si>
    <t>S-116/75030926/21</t>
  </si>
  <si>
    <t>kupní smlouva - 2 ks plničky klimatizace - autodílna Benešov</t>
  </si>
  <si>
    <t>S-117/75030926/21</t>
  </si>
  <si>
    <t>Zajištění stáže, MUDr. Onřej Rataj, Hostivice</t>
  </si>
  <si>
    <t>S-118/75030926/21</t>
  </si>
  <si>
    <t>Zajištění stáže, MUDr. Lucie Baxová, Říčany</t>
  </si>
  <si>
    <t>S-119/75030926/21</t>
  </si>
  <si>
    <t>Zajištění stáže, Martin Filimonov, Zdiby</t>
  </si>
  <si>
    <t>S-120/75030926/21</t>
  </si>
  <si>
    <t>Zajištění stáže, Lubomír Jirků, Kolín</t>
  </si>
  <si>
    <t>S-121/75030926/21</t>
  </si>
  <si>
    <t>Zdravotnický dozor, 28.8.2021, ZZS Benešov</t>
  </si>
  <si>
    <t>S-122/75030926/21</t>
  </si>
  <si>
    <t>Zdravotnický dozor, 4 hokejové zápasy, Mladá Boleslav</t>
  </si>
  <si>
    <t>S-123/75030926/21</t>
  </si>
  <si>
    <t>Zdravotnický dozor, prezentace techniky, ZZS Benešov</t>
  </si>
  <si>
    <t>S-124/75030926/21</t>
  </si>
  <si>
    <t>Zdravotnický dozor, Benešov, zajištění akce Kavčák u Benešova</t>
  </si>
  <si>
    <t>S-125/75030926/21</t>
  </si>
  <si>
    <t>Kupní smlouva, 3ks výukové celotělové modely pro KPR</t>
  </si>
  <si>
    <t>S-126/75030926/21</t>
  </si>
  <si>
    <t>Smlouva o dílo, oprava VW Transporter, rz 5SB 1803</t>
  </si>
  <si>
    <t>S-127/75030926/21</t>
  </si>
  <si>
    <t>Smlouva o dílo, oprava VW Transporter, rz 2SD 2567</t>
  </si>
  <si>
    <t>S-128/75030926/21</t>
  </si>
  <si>
    <t>Smlouva o dílo, oprava VW Transporter, rz 3SU 6707</t>
  </si>
  <si>
    <t>S-129/75030926/21</t>
  </si>
  <si>
    <t>Smlouva o dílo, oprava VW Transporter, rz 3SU 6701</t>
  </si>
  <si>
    <t>S-130/75030926/21</t>
  </si>
  <si>
    <t>Darovací smlouva - finance na kyslíkový batoh, Jesenice</t>
  </si>
  <si>
    <t>S-131/75030926/21</t>
  </si>
  <si>
    <t>Zajištění stáže, Martin Lhotan, 8,9/2021, Uhlířské Janovice</t>
  </si>
  <si>
    <t>S-132/75030926/21</t>
  </si>
  <si>
    <t>Zajištění stáže, Stanislav Klejna, 8,9/2021, Beroun</t>
  </si>
  <si>
    <t>S-133/75030926/21</t>
  </si>
  <si>
    <t>Zajištění stáže, MgA. Tomáš uček, 8,9/2021, Lysá nad Labem</t>
  </si>
  <si>
    <t>S-134/75030926/21</t>
  </si>
  <si>
    <t>Zajištění stáže, MUDr. Vojtěch Šonka, 9/2021, Kolín</t>
  </si>
  <si>
    <t>S-135/75030926/21</t>
  </si>
  <si>
    <t>Zajištění výuky, Diplomovaný zdravotnický záchranář, 1.9.2021-31.1.2022</t>
  </si>
  <si>
    <t>S-136/75030926/21</t>
  </si>
  <si>
    <t>Zdravotnický dozor, 11.9.2021, Trhový Štěpánov</t>
  </si>
  <si>
    <t>S-137/75030926/21</t>
  </si>
  <si>
    <t>Zdravotnický dozor, 18.9.2021, Mělník</t>
  </si>
  <si>
    <t>S-138/75030926/21</t>
  </si>
  <si>
    <t>Zdravotnický dozor, 28.8.2021, Liblice</t>
  </si>
  <si>
    <t>S-139/75030926/21</t>
  </si>
  <si>
    <t>Zdravotnický dozor, 21-22.8.2021, ZZS Příbram</t>
  </si>
  <si>
    <t>S-140/75030926/21</t>
  </si>
  <si>
    <t>Zdravotnický dozor, 21.8.2021, Bystřicefest, ZZS Benešov</t>
  </si>
  <si>
    <t>S-141/75030926/21</t>
  </si>
  <si>
    <t>Zdravotnický dozor, hokejový dozor 2021/2022</t>
  </si>
  <si>
    <t>S-142/75030926/21</t>
  </si>
  <si>
    <t>Zdravotnický dozor, baseball Kladno, 10-11.9.2021</t>
  </si>
  <si>
    <t>S-143/75030926/21</t>
  </si>
  <si>
    <t>Zdravotnický dozor, Třebotov, 11.9.2021</t>
  </si>
  <si>
    <t>S-144/75030926/21</t>
  </si>
  <si>
    <t>Smlouva o přefakturaci spotřeby elektřiny ZZS Kostelec nad Černými lesy</t>
  </si>
  <si>
    <t>S-145/75030926/21</t>
  </si>
  <si>
    <t>Rámcová kupní smlouva - testovací proužky do glukometru</t>
  </si>
  <si>
    <t>S-146/75030926/21</t>
  </si>
  <si>
    <t>Rámcová kupní smlouva - ušní kloboučky k teploměrům</t>
  </si>
  <si>
    <t>S-148/75030926/21</t>
  </si>
  <si>
    <t>Kupní smlouva - zimní pneumatiky</t>
  </si>
  <si>
    <t>rukavice</t>
  </si>
  <si>
    <t>S-149/75030926/21</t>
  </si>
  <si>
    <t>Rámcová kupní smlouva - rukavice</t>
  </si>
  <si>
    <t>S-150/75030926/21</t>
  </si>
  <si>
    <t>Zajištění stáže/výuky, zdravotnické záchranářství</t>
  </si>
  <si>
    <t>S-151/75030926/21</t>
  </si>
  <si>
    <t>zajištění stáže, Marcela Sikorová, 10/2021-1/2022, Říčany</t>
  </si>
  <si>
    <t>S-152/75030926/21</t>
  </si>
  <si>
    <t>Zajištění stáže, Miroslav Baroch, 10-11/2021, Rakovník</t>
  </si>
  <si>
    <t>S-153/75030926/21</t>
  </si>
  <si>
    <t>Zajištění stáže, Jindřich Koďousek, 9-12/2021, Brandýs nad Labem</t>
  </si>
  <si>
    <t>S-154/75030926/21</t>
  </si>
  <si>
    <t>Zajištění stáže, Simona Hrdinová, 9-12/2021, Vlašim</t>
  </si>
  <si>
    <t>S-155/75030926/21</t>
  </si>
  <si>
    <t>Zajištění stáže, Petr Petečel, 10-11/2021, Hostivice</t>
  </si>
  <si>
    <t>S-156/75030926/21</t>
  </si>
  <si>
    <t>Zajištění stáže, Mariya Kalantay, 10/2021-2/2022, Říčany</t>
  </si>
  <si>
    <t>S-157/75030926/21</t>
  </si>
  <si>
    <t>Zajištění stáže, Lada Mrštíková, 10/2021, Příbram</t>
  </si>
  <si>
    <t>S-158/75030926/21</t>
  </si>
  <si>
    <t>Zajištění stáže, Lunomír Jirků, 10-11/2021, Kolín</t>
  </si>
  <si>
    <t>S-159/75030926/21</t>
  </si>
  <si>
    <t>Zajištění stáže, Klára Westfálová, Benešov, 7/2021-6/2022</t>
  </si>
  <si>
    <t>S-160/75030926/21</t>
  </si>
  <si>
    <t>Zajištění stáže, Hříbalová Pavla, 9-12/2021, Hořovice</t>
  </si>
  <si>
    <t>S-161/75030926/21</t>
  </si>
  <si>
    <t>Zdravotnický dozor, hokejová utkání, 10/2021, Příbram</t>
  </si>
  <si>
    <t>S-162/75030926/21</t>
  </si>
  <si>
    <t>Rámcová kupní smlouva - respirátory</t>
  </si>
  <si>
    <t>S-163/75030926/21</t>
  </si>
  <si>
    <t>Dodávka vody, Kostelec nad Černými lesy</t>
  </si>
  <si>
    <t>S-165/75030926/21</t>
  </si>
  <si>
    <t>Smlouva o dílo - oprava VW transporter 3SV 7626</t>
  </si>
  <si>
    <t>S-166/75030926/21</t>
  </si>
  <si>
    <t>Smlouva o dílo - oprava VW Transporter, 3SU 6602</t>
  </si>
  <si>
    <t>S-168/75030926/21</t>
  </si>
  <si>
    <t>Darovací smlouva - sbírka Tornádo</t>
  </si>
  <si>
    <t>S-169/75030926/21</t>
  </si>
  <si>
    <t>Kupní smlouva - nábytek ZZS Kostelec nad Černými lesy</t>
  </si>
  <si>
    <t>S-170/75030926/21</t>
  </si>
  <si>
    <t>Zajištění stáže, Anna Blehová, 20-31.12.2021, Příbram</t>
  </si>
  <si>
    <t>S-171/75030926/21</t>
  </si>
  <si>
    <t>Zdravotnický dozor, hasičská soutěž, 30.10.2021, Příbram</t>
  </si>
  <si>
    <t>S-172/75030926/21</t>
  </si>
  <si>
    <t>Rámcová kupní smlouva - léky</t>
  </si>
  <si>
    <t>S-173/75030926/21</t>
  </si>
  <si>
    <t>Zajištění praxe, MUDr. Jan Lukša, VZ Kladno, prosinec 2021</t>
  </si>
  <si>
    <t>S-174/75030926/21</t>
  </si>
  <si>
    <t>Zajištění praxe, npor.MUDr. Antonín Buršík, VZ Kladno, listopad 2021</t>
  </si>
  <si>
    <t>S-175/75030926/21</t>
  </si>
  <si>
    <t>Zajištění praxe, Petr Jirků, VZ Lysá nad Labem, 10,11/2021</t>
  </si>
  <si>
    <t>S-176/75030926/21</t>
  </si>
  <si>
    <t>Zajištění praxe, Jakub Procházka, VZ Sedlčany, 11-12/2021</t>
  </si>
  <si>
    <t>S-177/75030926/21</t>
  </si>
  <si>
    <t>Zajištění praxe, Dan Kysilka, VZ Benešov, 2021/2022</t>
  </si>
  <si>
    <t>S-178/75030926/21</t>
  </si>
  <si>
    <t>Zajištění praxe, Tomáš Kymla, VZ Sedlčany, 11-12/2021</t>
  </si>
  <si>
    <t>S-182/75030926/21</t>
  </si>
  <si>
    <t>Darovací smlouva, 2 ks sanitního vozidla (UH1120094, UH1160014)</t>
  </si>
  <si>
    <t>S-183/75030926/21</t>
  </si>
  <si>
    <t>Právní služby - zastoupení ve věci práv a povinností z dohody o spolupráci</t>
  </si>
  <si>
    <t>S-184/75030926/21</t>
  </si>
  <si>
    <t>S-185/75030926/21</t>
  </si>
  <si>
    <t>zajištění NIS</t>
  </si>
  <si>
    <t>S-186/75030926/21</t>
  </si>
  <si>
    <t>Smlouva o zajištění národního informačního systému IZS</t>
  </si>
  <si>
    <t>S-188/75030926/21</t>
  </si>
  <si>
    <t>Kupní smlouva - notebooky</t>
  </si>
  <si>
    <t>S-189/75030926/21</t>
  </si>
  <si>
    <t>Kupní smlouva - videolaryngoskopy</t>
  </si>
  <si>
    <t>S-190/75030926/21</t>
  </si>
  <si>
    <t>Kupní smlouva - sanitní automobily typu B</t>
  </si>
  <si>
    <t>S-191/75030926/21</t>
  </si>
  <si>
    <t>Darovací smlouva, 3 ks sanitního vozu VW Transporter</t>
  </si>
  <si>
    <t>S-192/75030926/21</t>
  </si>
  <si>
    <t>Zajištění stáže, MUDr. Marcel Truelle, 12/2021</t>
  </si>
  <si>
    <t>S-194/75030926/21</t>
  </si>
  <si>
    <t>Kupní smlouva - 15 ks automatické defibrilátory</t>
  </si>
  <si>
    <t>S-197/75030926/21</t>
  </si>
  <si>
    <t>Darovací smlouva - vozidlo Toyota RAV4</t>
  </si>
  <si>
    <t>S-198/75030926/21</t>
  </si>
  <si>
    <t>Závěrkový list - dodávky zemního plynu</t>
  </si>
  <si>
    <t>S-199/75030926/21</t>
  </si>
  <si>
    <t>Závěrkový list - dodávky elektřiny</t>
  </si>
  <si>
    <t>Dohoda o ukončení</t>
  </si>
  <si>
    <t>S-200/75030926/21</t>
  </si>
  <si>
    <t>Dohoda o ukončení - RKS papírové ručníky</t>
  </si>
  <si>
    <t>S-202/75030926/21</t>
  </si>
  <si>
    <t>Zajištění praxe, MUDr. Jan Hadač, vz Mladá Boleslav, rok 2022</t>
  </si>
  <si>
    <t>S-203/7503026/21</t>
  </si>
  <si>
    <t>Dohoda o ukončení nájemní smlouvy č. S-025/75030926/21</t>
  </si>
  <si>
    <t>S-204/75030926/21</t>
  </si>
  <si>
    <t>Dohoda o ukončení smlouvy o nájmu S-092/75030926/20</t>
  </si>
  <si>
    <t>S-205/75030926/21</t>
  </si>
  <si>
    <t>Dohoda o ukončení nájemní smlouvy č. S-014/75030926/21</t>
  </si>
  <si>
    <t>S-206/75030926/21</t>
  </si>
  <si>
    <t>Dohoda o ukončení nájemní smlouvy č. S-037/75030926/21</t>
  </si>
  <si>
    <t>S-207/75030926/21</t>
  </si>
  <si>
    <t>Dohoda o ukončení nájemní smlouvy č. 12/06/048</t>
  </si>
  <si>
    <t>S-209/75030926/21</t>
  </si>
  <si>
    <t>pronájem prostor zubní LPS Mladá Boleslav</t>
  </si>
  <si>
    <t>S-212/75030926/21</t>
  </si>
  <si>
    <t>Pronájem lahví</t>
  </si>
  <si>
    <t>S-213/75030926/21</t>
  </si>
  <si>
    <t>předplacení dlouhodobého pronájmu lahví na stlačený plyn (FIN/KP)</t>
  </si>
  <si>
    <t>S-215/75030926/21</t>
  </si>
  <si>
    <t>P21V00001330</t>
  </si>
  <si>
    <t>Smlouva o dílo, oprava střechy ZZS Kladno</t>
  </si>
  <si>
    <t>S-001/75030926/22</t>
  </si>
  <si>
    <t>Zajištění praxe Jakub Šára, Votice, 1-6/2022</t>
  </si>
  <si>
    <t>Poskytnutí služeb</t>
  </si>
  <si>
    <t>S-002/75030926/22</t>
  </si>
  <si>
    <t>Poskytnutí služeb při zpracování účetní závěrky</t>
  </si>
  <si>
    <t>S-003/75030926/22</t>
  </si>
  <si>
    <t>Smlouva o dílo na mytí vozů záchranné služby</t>
  </si>
  <si>
    <t>S-004/75030926/22</t>
  </si>
  <si>
    <t>Kupní smlouva Automatické defibrilátory II</t>
  </si>
  <si>
    <t>Jednorázová prostěra</t>
  </si>
  <si>
    <t>S-005/75030926/22</t>
  </si>
  <si>
    <t>Rámcová kupní smlouva - Jednorázová prostěra</t>
  </si>
  <si>
    <t>S-006/75030926/22</t>
  </si>
  <si>
    <t>Smlouva o dílo oprava VW Transporter SPZ 3SU 6602</t>
  </si>
  <si>
    <t>S-008/75030926/22</t>
  </si>
  <si>
    <t>Smlouva o spolupráci 3. ročník otužileckých závodů na Jizeře 15.1.2022</t>
  </si>
  <si>
    <t>S-009/75030926/22</t>
  </si>
  <si>
    <t>Zajištění praxe - kurz "Řidič zdravotnické dopravní služby" - 11.1.-31.12.2022</t>
  </si>
  <si>
    <t>Nábor</t>
  </si>
  <si>
    <t>S-010/75030926/22</t>
  </si>
  <si>
    <t>Poskytování služeb náboru zaměstnanců</t>
  </si>
  <si>
    <t>S-011/75030926/22</t>
  </si>
  <si>
    <t>Smlouva o zajištění stáže, A.Paholíková,11/2021-11/2022</t>
  </si>
  <si>
    <t>S-012/75030926/22</t>
  </si>
  <si>
    <t>Rámcová smlouva o dílo - Stavebně-technická činnost</t>
  </si>
  <si>
    <t>Smlouva o společném</t>
  </si>
  <si>
    <t>S-015/75030926/22</t>
  </si>
  <si>
    <t>Smlouva o společném zadávání VZ Studie proveditelnosti kyber. bezpečnosti</t>
  </si>
  <si>
    <t>S-016/75030926/22</t>
  </si>
  <si>
    <t>Kupní smlouva Zimní pneumatiky 2</t>
  </si>
  <si>
    <t>S-017/75030926/22</t>
  </si>
  <si>
    <t>Zdravotnický dozor, hokejové zápasy Mladá Boleslav, 1-2/2022</t>
  </si>
  <si>
    <t>S-018/75030926/22</t>
  </si>
  <si>
    <t>Zdravotnický dozor - zajištění jízd představenstva v Mladé boleslavi, rok 2022</t>
  </si>
  <si>
    <t>S-019/75030926/22</t>
  </si>
  <si>
    <t>Darovací smlouva - peněžitý dar ve výši 10.000,- Kč</t>
  </si>
  <si>
    <t>S-021/75030926/22</t>
  </si>
  <si>
    <t>Svoz odpadu - komunál, platst, papír, sklo, kovy</t>
  </si>
  <si>
    <t>Ekonomické služby</t>
  </si>
  <si>
    <t>S-022/75030926/22</t>
  </si>
  <si>
    <t>Smlouva o poskytnutí ekonomických služeb</t>
  </si>
  <si>
    <t>Injekční dávkovače</t>
  </si>
  <si>
    <t>S-024/75030926/22</t>
  </si>
  <si>
    <t>Rámcová kupní smlouva - Injekční dávkovače</t>
  </si>
  <si>
    <t>Transportní odsávačk</t>
  </si>
  <si>
    <t>S-025/75030926/22</t>
  </si>
  <si>
    <t>Rámcová smlouva Transportní odsávačka</t>
  </si>
  <si>
    <t>Transportní křeslo</t>
  </si>
  <si>
    <t>S-026/75030926/22</t>
  </si>
  <si>
    <t>Rámcová kupní smlouva - Transportní křeslo</t>
  </si>
  <si>
    <t>S-027/75030926/22</t>
  </si>
  <si>
    <t>Rámcová smlouva o poskytování právních služeb</t>
  </si>
  <si>
    <t>lidské zdroje</t>
  </si>
  <si>
    <t>S-028/75030926/22</t>
  </si>
  <si>
    <t>Smlouva o poskytování služeb analýzy řízení lidských zdrojů</t>
  </si>
  <si>
    <t>S-032/75030926/22</t>
  </si>
  <si>
    <t>Smlouva o přefakturaci el. energie v objektu Sedlčany čp. 159</t>
  </si>
  <si>
    <t>S-033/75030926/22</t>
  </si>
  <si>
    <t>Smlouva o zajištění odborné praxe - kurz Řidič zdravotnické dopravní služby</t>
  </si>
  <si>
    <t>S-034/75030926/22</t>
  </si>
  <si>
    <t>Smlouva  o zabezpečení odborné praxe studentů Martina Holá</t>
  </si>
  <si>
    <t>S-035/75030926/22</t>
  </si>
  <si>
    <t>smlouva o pronájmu</t>
  </si>
  <si>
    <t>S-036/75030926/22</t>
  </si>
  <si>
    <t>Smlouva o pronájmu reklamní plochy</t>
  </si>
  <si>
    <t>S-037/75030926/22</t>
  </si>
  <si>
    <t>Dohoda o narovnání APEX Computer s.r.o._reklamní plocha</t>
  </si>
  <si>
    <t>Jednoráz. přikrývky</t>
  </si>
  <si>
    <t>S-038/75030926/22</t>
  </si>
  <si>
    <t>Rámcová kupní smlouva - Jednorázové lůžkoviny - ČÁST A - Jednorázové přikrývky</t>
  </si>
  <si>
    <t>povlak na deku</t>
  </si>
  <si>
    <t>S-039/75030926/22</t>
  </si>
  <si>
    <t>Rámcová kupní smlouva  - Jednoráz. lůžkoviny - ČÁST C - Jednoráz.povlak na deku</t>
  </si>
  <si>
    <t>S-040/75030926/22</t>
  </si>
  <si>
    <t>Darovací smlouva_AZZS ČR_71 428,-</t>
  </si>
  <si>
    <t>S-042/75030926/22</t>
  </si>
  <si>
    <t>Smlouva o zajištění stáže - MUDr. Martina Křečková</t>
  </si>
  <si>
    <t>S-043/75030926/22</t>
  </si>
  <si>
    <t>Smlouva o zajištění stáže_Kapustová Zuzana</t>
  </si>
  <si>
    <t>S-044/75030926/22</t>
  </si>
  <si>
    <t>Smlouva o zajištění stáže_Marek Sléha, DiS.</t>
  </si>
  <si>
    <t>S-046/75030926/22</t>
  </si>
  <si>
    <t>Darovací smlouva STADA PHARMA CZ s.r.o._ViruProtect</t>
  </si>
  <si>
    <t>smlouva Dezinfekce</t>
  </si>
  <si>
    <t>S-047/75030926/22</t>
  </si>
  <si>
    <t>Rámcová kupní smlouva Dezinfekce</t>
  </si>
  <si>
    <t>S-048/75030926/22</t>
  </si>
  <si>
    <t>Kupní smlouva_ZZS STŘEDOČESKÉHO KRAJE – VOZIDLO ZDRAVOTNICKÉ ZÁCHRANNÉ SLUŽBY</t>
  </si>
  <si>
    <t>Z FZŠ</t>
  </si>
  <si>
    <t>S-050/75030926/22</t>
  </si>
  <si>
    <t>Finance z FZŠ na rok 2022_tablety, tiskárny, systémy přenosu dat</t>
  </si>
  <si>
    <t>S-052/75030926/22</t>
  </si>
  <si>
    <t>Smlouva o dílo oprava Škoda Karoq SPZ 4SY 7701</t>
  </si>
  <si>
    <t>S-053/75030926/22</t>
  </si>
  <si>
    <t>Smlouva o spolupráci_prezentace záchranářské techniky při akci "Den s IZS"</t>
  </si>
  <si>
    <t>S-054/75030926/22</t>
  </si>
  <si>
    <t>Smlouva o spolupráci_poskytnutí sanit. vozidla vč. zdrav. posádky_chodec. závody</t>
  </si>
  <si>
    <t>S-055/75030926/22</t>
  </si>
  <si>
    <t>Smlouva o spolupráci_san.vozidlo "Sem. AMOK-Ozbrojený útočník ve škole"</t>
  </si>
  <si>
    <t>S-056/75030926/22</t>
  </si>
  <si>
    <t>Smlouva o spolupráci_sanit.vozidlo_zajištění hasičské soutěže</t>
  </si>
  <si>
    <t>S-057/75030926/22</t>
  </si>
  <si>
    <t>Smlouva o zajištění odborné stáže_Michalec Martin</t>
  </si>
  <si>
    <t>S-058/75030926/22</t>
  </si>
  <si>
    <t>Smlouva o zajištění stáže_Kudlová Zuzana</t>
  </si>
  <si>
    <t>S-059/75030926/22</t>
  </si>
  <si>
    <t>Smlouva o dílo_oprava vozidla VW Transporter T5 SPZ 2SD 2561</t>
  </si>
  <si>
    <t>S-060/75030926/22</t>
  </si>
  <si>
    <t>Smlouva o posk. poradens. a konzul. v oblasti zajiš. komunik. s krajsk. úřady</t>
  </si>
  <si>
    <t>S-062/75030926/22</t>
  </si>
  <si>
    <t>Smlouva o zajištění stáže_Šafránek Vladimír</t>
  </si>
  <si>
    <t>S-063/75030926/22</t>
  </si>
  <si>
    <t>Smlouva o zajištění odborné stáže_Mošanská Eliška</t>
  </si>
  <si>
    <t>S-064/75030926/22</t>
  </si>
  <si>
    <t>Smlouva o zajištění odborné stáže_Pech Radek</t>
  </si>
  <si>
    <t>S-065/75030926/22</t>
  </si>
  <si>
    <t>Smlouva o zajištění odborné stáže_Procházka Jakub</t>
  </si>
  <si>
    <t>S-066/75030926/22</t>
  </si>
  <si>
    <t>Smlouva o spolupráci_mezinárodní hokej. utkání (U20)</t>
  </si>
  <si>
    <t>S-067/75030926/22</t>
  </si>
  <si>
    <t>Smlouva o spolupráci_Dětský de_28.5.2022</t>
  </si>
  <si>
    <t>S-068/75030926/22</t>
  </si>
  <si>
    <t>Smlouva o spolupráci_prezentace na Dni bezpečnosti_21.4.2022</t>
  </si>
  <si>
    <t>S-069/75030926/22</t>
  </si>
  <si>
    <t>S-070/75030926/22</t>
  </si>
  <si>
    <t>Kupní smlouva "Motor včetně komponentů"</t>
  </si>
  <si>
    <t>S-071/75030926/22</t>
  </si>
  <si>
    <t>Smlouva o dílo oprava VW Transporter SPZ 5SE 8607</t>
  </si>
  <si>
    <t>S-074/75030926/22</t>
  </si>
  <si>
    <t>zajištění stáže Kubias Vojtěch 4,5/2022</t>
  </si>
  <si>
    <t>S-075/75030926/22</t>
  </si>
  <si>
    <t>zajištění stáže Šulková Zdeňka 2-15 5. 2022</t>
  </si>
  <si>
    <t>S-076/75030926/22</t>
  </si>
  <si>
    <t>S-077/75030926/22</t>
  </si>
  <si>
    <t>spolupráce_110. výročí založení SDH_11.06.2022_Býchory</t>
  </si>
  <si>
    <t>S-078/75030926/22</t>
  </si>
  <si>
    <t>spolupráce _ poskytnutí sanitního voz._Vítání léta na pivovarském dvoře 18.06.22</t>
  </si>
  <si>
    <t>S-079/75030926/22</t>
  </si>
  <si>
    <t>Kupní smlouva "Dodávka letních pneumatik"</t>
  </si>
  <si>
    <t>sk.úraz.pojištění</t>
  </si>
  <si>
    <t>S-080/75030926/22</t>
  </si>
  <si>
    <t>Pojistná smlouva č. 2202344222_skupinové úrazové pojištění</t>
  </si>
  <si>
    <t>smlouva o dílo</t>
  </si>
  <si>
    <t>S-081/75030926/22</t>
  </si>
  <si>
    <t>Smlouva o dílo_oprava vozidla VW Transporter T6 SPZ 5SE 8608</t>
  </si>
  <si>
    <t>S-083/75030926/22</t>
  </si>
  <si>
    <t>Dohoda o narovnání ke smlouvě 023/75030926/19 mytí služebních aut Roztoky</t>
  </si>
  <si>
    <t>S-084/75030926/22</t>
  </si>
  <si>
    <t>Smlouva o spolupráci_zajištění kurzu Cerberus 26.4. a 28.4.222_v SÚJCHBO</t>
  </si>
  <si>
    <t>S-085/75030926/22</t>
  </si>
  <si>
    <t>Smlouva o zajištění stáže_Jenčová Tereza_05-09/2022</t>
  </si>
  <si>
    <t>S-086/75030926/22</t>
  </si>
  <si>
    <t>zajištění stáže MUDr. Ján Šoltés  1.5.2022 - 31.5.2022</t>
  </si>
  <si>
    <t>S-087/75030926/22</t>
  </si>
  <si>
    <t>ZSmlouva o zajištění stáže_MUDr. Kombercová Petra_2.5.-13.5.2022</t>
  </si>
  <si>
    <t>S-088/75030926/22</t>
  </si>
  <si>
    <t>Smlouva o zajištění stáže_Plechatý Jan_12.-16.9.2022</t>
  </si>
  <si>
    <t>S-089/75030926/22</t>
  </si>
  <si>
    <t>Kupní smlouva "Vozidlové jednotky s přijímačem GPS"</t>
  </si>
  <si>
    <t>S-090/75030926/22</t>
  </si>
  <si>
    <t>Smlouva o zajištění stáže _ Martin Filimonov _ 5 a 7/2022</t>
  </si>
  <si>
    <t>S-091/75030926/22</t>
  </si>
  <si>
    <t>Smlouva o spolupráci_akce "Dopravní den v Liblicích"_21.5.2022 od 13:: do 16:00</t>
  </si>
  <si>
    <t>S-092/75030926/22</t>
  </si>
  <si>
    <t>Slmouva o zajištění stáže_Jana Kočová _ 6-27/5 2022</t>
  </si>
  <si>
    <t>S-093/75030926/22</t>
  </si>
  <si>
    <t>Smlouva o zajištění stáže_MUDr. Sigmundová Věra_16.-29.5.2022</t>
  </si>
  <si>
    <t>S-094/75030926/22</t>
  </si>
  <si>
    <t>zajištění stáže MUDr. Milan Pešek _15.06.-23.06.2022</t>
  </si>
  <si>
    <t>S-095/75030926/22</t>
  </si>
  <si>
    <t>Smlouva o zajištění stáže_MUDr. Omáčka David_1.5.-30.6.2022</t>
  </si>
  <si>
    <t>S-097/75030926/22</t>
  </si>
  <si>
    <t>zajištění stáže_ MUDr. Ivana Matušicová _23.05.-22.07. 2022</t>
  </si>
  <si>
    <t>S-098/75030926/22</t>
  </si>
  <si>
    <t>zajištění stáže_ Georgie Iliev_ 10.-26. 5 2022</t>
  </si>
  <si>
    <t>S-099/75030926/22</t>
  </si>
  <si>
    <t>zajištění stáže_Adam Gabriel_9.-27.5.2022</t>
  </si>
  <si>
    <t>S-100/75030926/22</t>
  </si>
  <si>
    <t>zajištění stáže_Michal Klapuch_9.-27.5.2022</t>
  </si>
  <si>
    <t>S-101/75030926/22</t>
  </si>
  <si>
    <t>Smlouva o spolupráci _zajištění hokejových zápasů TELH 2021/2022</t>
  </si>
  <si>
    <t>S-102/75030926/22</t>
  </si>
  <si>
    <t>Rámcová kupní smlouva "Intravenózní kanyly"</t>
  </si>
  <si>
    <t>S-103/75030926/22</t>
  </si>
  <si>
    <t>zajištění praxe_MUDr. Marcel Truelle_2.5.2022-31.5.2022</t>
  </si>
  <si>
    <t>S-104/75030926/22</t>
  </si>
  <si>
    <t>Smlouva o spolupráci_sanitní vozidlo_"Bezpečně do prázdnin"</t>
  </si>
  <si>
    <t>S-105/75030926/22</t>
  </si>
  <si>
    <t>Smlouva o spolupráci_sanitní vozidlo_"Rodinné odpoledne na dopravním hřišti"</t>
  </si>
  <si>
    <t>S-106/75030926/22</t>
  </si>
  <si>
    <t>Smlouva o spolupráci_sanitní vozidlo_prezentace techniky-otevření nové zbrojnice</t>
  </si>
  <si>
    <t>S-107/75030926/22</t>
  </si>
  <si>
    <t>Smlouva o spolupráci_sanitní vozidlo_"Operace VEGE"</t>
  </si>
  <si>
    <t>S-108/75030926/22</t>
  </si>
  <si>
    <t>Smlouva o zajištění odborné stáže_Pečený Radek:14 dní během 5 - 7/2022</t>
  </si>
  <si>
    <t>S-109/75030926/22</t>
  </si>
  <si>
    <t>Smlouva o dílo_oprava vozidla VW Transporter T6 SPZ 5SB1801</t>
  </si>
  <si>
    <t>S-110/75030926/22</t>
  </si>
  <si>
    <t>zajištění stáže_Karolína Zdichová_6-9 2022</t>
  </si>
  <si>
    <t>S-111/75030926/22</t>
  </si>
  <si>
    <t>zajištění praxe_Martin Čapek_4-5 2022</t>
  </si>
  <si>
    <t>S-112/75030926/22</t>
  </si>
  <si>
    <t>Smlouva o spolupráci_ukázky sanitního vazidla při"Záchranářském dnu v Rosicích"</t>
  </si>
  <si>
    <t>S-113/7503926/22</t>
  </si>
  <si>
    <t>Smlouva o spolupráci_prezentace záchranářské technikyv rámci Dne dětí</t>
  </si>
  <si>
    <t>S-114/75030926/22</t>
  </si>
  <si>
    <t>Smlouva o spolupráci_sanitná vozidlo_smuteční obřad</t>
  </si>
  <si>
    <t>S-115/75030926/22</t>
  </si>
  <si>
    <t>Právní služby_VZ Sanitní vozidla - typ C</t>
  </si>
  <si>
    <t>S-116/75030926/22</t>
  </si>
  <si>
    <t>Smlouva o spolupráci_sanitní vozidlo,prezentace záchranářské techniky,Dětský den</t>
  </si>
  <si>
    <t>S-117/75030926/22</t>
  </si>
  <si>
    <t>Smlouva o spolupráci_sanitná vozidlo_prezentace techniky_"Ochrana člověka"</t>
  </si>
  <si>
    <t>S-118/75030926/22</t>
  </si>
  <si>
    <t>Smlouva o zajištění stáže_MUDr. Kateřina Bruderová_1.-15.07.2022</t>
  </si>
  <si>
    <t>S-120/75030926/22</t>
  </si>
  <si>
    <t>Smlouva o spolupráci_sanitní vozidlo_Krajská soutěž v požárním sportu</t>
  </si>
  <si>
    <t>S-121/75030926/22</t>
  </si>
  <si>
    <t>Smlouva o spolupráci_sanitní vozidlo_asistence při soutěži TFA-O pohár ředitele</t>
  </si>
  <si>
    <t>S-122/75030926/22</t>
  </si>
  <si>
    <t>Smlouva o spolupráci_poskytování odborné první pomoci_VD Slapy a VD Orlík</t>
  </si>
  <si>
    <t>dodávky el.</t>
  </si>
  <si>
    <t>S-123/75030926/22</t>
  </si>
  <si>
    <t>Omlouva o sdružení dodávkách elektřiny Kostelec nad Č.l.</t>
  </si>
  <si>
    <t>S-124/75030926/22</t>
  </si>
  <si>
    <t>Kupní smlouva "Ventilátory 2022" část A - Transportní plicní ventilátory</t>
  </si>
  <si>
    <t>S-126/75030926/22</t>
  </si>
  <si>
    <t>Kupní smlouva Transportní defibrilátory</t>
  </si>
  <si>
    <t>S-127/75030926/22</t>
  </si>
  <si>
    <t>Smlouva o spolupráci_sanitní vozidlo_zajištění MS SU-DS sportovců s DS</t>
  </si>
  <si>
    <t>S-128/75030926/22</t>
  </si>
  <si>
    <t>Smlouva o spolupráci_sanitní vozidlo_prezentace záchranářské techniky</t>
  </si>
  <si>
    <t>S-129/75030926/22</t>
  </si>
  <si>
    <t>Zajištění stáže_Antonín Lukeš, DiS._1.6.-31.12.2022</t>
  </si>
  <si>
    <t>S-130/75030926/22</t>
  </si>
  <si>
    <t>Smlouva o zajištění stáže_MUDr. Kristina Čechalová_1.6.-30.6. 2022</t>
  </si>
  <si>
    <t>S-131/75030926/22</t>
  </si>
  <si>
    <t>Smlouva o spolupráci_sanitní vozidlo_asistence při Běhu pro Jedličku</t>
  </si>
  <si>
    <t>S-133/75030926/22</t>
  </si>
  <si>
    <t>Smlouva o vzájemné spolupráci při zajištění přech. ubytov. uprchlíkům z Ukrajiny</t>
  </si>
  <si>
    <t>S-134/75030926/22</t>
  </si>
  <si>
    <t>Smlouva o podnájmu nemovité věci_prostory Slapy</t>
  </si>
  <si>
    <t>S-137/75030926/22</t>
  </si>
  <si>
    <t>Smlouva o spolupráci_sanitní vozidlo_prezentace záchranářské techniky_MŠ Pyšely</t>
  </si>
  <si>
    <t>S-138/75030926/22</t>
  </si>
  <si>
    <t>Smlouva o spolupráci_sanitní vozidlo_prezentace záchranářské techniky před OÚ</t>
  </si>
  <si>
    <t>S-142/75030926/22</t>
  </si>
  <si>
    <t>Kupní smlouva "Ventilátory 2022" Část B - Transportní plicní ventilátory</t>
  </si>
  <si>
    <t>kyber. bezpečnost</t>
  </si>
  <si>
    <t>S-143/75030926/22</t>
  </si>
  <si>
    <t>Smlouva na "Poskytnutí služeb_IROP_v oblasti kybernetické bezpečnosti</t>
  </si>
  <si>
    <t>S-145/75030926/22</t>
  </si>
  <si>
    <t>Smlouva o zajištění stáže_Vojtěch Andrlík_4.-8.7.2022</t>
  </si>
  <si>
    <t>S-146/75030926/22</t>
  </si>
  <si>
    <t>Smlouva o spolupráci_prezentace záchran. techniky při Dni záchranářů v Říčanech</t>
  </si>
  <si>
    <t>S-147/75030926/22</t>
  </si>
  <si>
    <t>Smlouva o spolupráci_prezentace techniky na Dětském dnu u Kolína</t>
  </si>
  <si>
    <t>S-152/75030926/22</t>
  </si>
  <si>
    <t>Smlouva o zajištění stáže_MUDr. Irina Kasatkina</t>
  </si>
  <si>
    <t>S-153/75030926/22</t>
  </si>
  <si>
    <t>Smlouva o zajištění stáže_Andrea Orlovs_6-8/2022</t>
  </si>
  <si>
    <t>S-157/75030926/22</t>
  </si>
  <si>
    <t>Smlouva o zajištění stáže_nrtm. Michaela Kubíčková</t>
  </si>
  <si>
    <t>S-158/75030926/22</t>
  </si>
  <si>
    <t>Smlouva o poskytování práv. služeb_Technologie vybavení zdr. operač.stř. - 2021</t>
  </si>
  <si>
    <t>S-159/75030926/22</t>
  </si>
  <si>
    <t>Kupní smlouva "MOTOR VČETNĚ KOMPONENTŮ 2"</t>
  </si>
  <si>
    <t>S-160/75030926/22</t>
  </si>
  <si>
    <t>SML o zajištění odborné specializační stáže_MUDr. Kristina Čechalová_1-31.7.2022</t>
  </si>
  <si>
    <t>S-161/75030926/22</t>
  </si>
  <si>
    <t>S-164/75030926/22</t>
  </si>
  <si>
    <t>Smlouva o spolupráci_snitní vozidlo_3.ročník"Freestyle Battle Lišany 2022"</t>
  </si>
  <si>
    <t>S-165/75030926/22</t>
  </si>
  <si>
    <t>Smlouva o spolupráci_sanitní vozidlo_"Posedlí Dakarem Open Air"</t>
  </si>
  <si>
    <t>S-167/75030926/22</t>
  </si>
  <si>
    <t>S-168/75030926/22</t>
  </si>
  <si>
    <t>SML o spolupráci_sanitní vozidlo_prezentace techniky na LDT u Mnichova Hradiště</t>
  </si>
  <si>
    <t>S-169/75030926/22</t>
  </si>
  <si>
    <t>Smlouva o zajištění stáže_Ondřej Dittrich_22.-24.8.2022</t>
  </si>
  <si>
    <t>S-170/75030926/22</t>
  </si>
  <si>
    <t>Smlouva o zajištění stáže_Jan Mondek_8., 9., 10., 15., 16., 18., 19.8.2022</t>
  </si>
  <si>
    <t>S-171/75030926/22</t>
  </si>
  <si>
    <t>Smlouva o zajištění stáže_7-8/2022</t>
  </si>
  <si>
    <t>S-172/75030926/22</t>
  </si>
  <si>
    <t>Smlouva o zajištění stáže_ Jan Petrtýl_7-8/2022</t>
  </si>
  <si>
    <t>S-173/75030926/22</t>
  </si>
  <si>
    <t>Smlouva o nájmu prostor občanského vybavení č. 2/NB/2022</t>
  </si>
  <si>
    <t>S-174/75030926/22</t>
  </si>
  <si>
    <t>Dohoda o spolupráci ZZS SčK a ZS ASČR PZ (vodní dílo Orlík)</t>
  </si>
  <si>
    <t>S-176/75030926/22</t>
  </si>
  <si>
    <t>Smlouva o bezúplatném převodu_Škoda Yeti RZ 1SK 37 10</t>
  </si>
  <si>
    <t>S-177/75030926/22</t>
  </si>
  <si>
    <t>Smlouva o dílo_oprava vozidla VW Transporter T6 SPZ 3SU 6710</t>
  </si>
  <si>
    <t>S-178/75030926/22</t>
  </si>
  <si>
    <t>Kupní smlouva_Zimní čepice pro členy výjezdových skupin</t>
  </si>
  <si>
    <t>S-180/75030926/22</t>
  </si>
  <si>
    <t>Smlouva o zajištění odborné stáže_Tomáš Krejčí_25.7.-7.8.2022</t>
  </si>
  <si>
    <t>S-181/75030926/22</t>
  </si>
  <si>
    <t>Smlouva o zajištění odborné stáže_Petr Dvořák_7/8 2022</t>
  </si>
  <si>
    <t>S-182/75030926/22</t>
  </si>
  <si>
    <t>Smlouva o zajištění odborné stáže stáže_Petra Šťastná_7/8 2022</t>
  </si>
  <si>
    <t>S-183/75030926/22</t>
  </si>
  <si>
    <t>Smlouva o zajištění stáže_MUDr. Klára Westfálová_1.7.2022-30.6.2023</t>
  </si>
  <si>
    <t>S-184/75030926/22</t>
  </si>
  <si>
    <t>Smlouva o zajištění stáže_Dan Kysilka_1.7.2022-30.6.2023</t>
  </si>
  <si>
    <t>S-185/75030926/22</t>
  </si>
  <si>
    <t>SML o spolupráci_sanitní vozidlo_utkání Rytíři Kladno x Motor České Budějovice</t>
  </si>
  <si>
    <t>S-186/75030926/22</t>
  </si>
  <si>
    <t>Smlouva o spolupráci_sanitní vozidlo_prezentace techniky na Dětském dnu</t>
  </si>
  <si>
    <t>S-188/75030926/22</t>
  </si>
  <si>
    <t>Kupní smlouva_Vozidlo rychlé lékařské pomoci v setkáv. systému s rozšíř. výbavou</t>
  </si>
  <si>
    <t>AUTA - Babiš</t>
  </si>
  <si>
    <t>S-189/75030926/22</t>
  </si>
  <si>
    <t>Kupní smlouva_Babiš_odprodej nepotřebných dopravních prostředků</t>
  </si>
  <si>
    <t>S-190/75030926/22</t>
  </si>
  <si>
    <t>Smlouva o zajištění odborné stáže_MUDr. Marcel Truelle_1.7.-31.7.2022</t>
  </si>
  <si>
    <t>S-191/75030926/22</t>
  </si>
  <si>
    <t>Smlouva o spolupráci_sanitní vozidlo_asistence při soutěži jednotek SDH 3.9.2022</t>
  </si>
  <si>
    <t>S-192/75030926/22</t>
  </si>
  <si>
    <t>SML o spolupráci_sanitní vozidlo_zdravot. zajištění fotbal. turnaje FK Říčany</t>
  </si>
  <si>
    <t>S-193/75030926/22</t>
  </si>
  <si>
    <t>Smlouva o zajištění stáže_Anna Blehová_8-9/2022</t>
  </si>
  <si>
    <t>S-194/75030926/22</t>
  </si>
  <si>
    <t>Smlouva o zajištění stáže_Anna Blehová_3 dn během 9/2022</t>
  </si>
  <si>
    <t>S-195_75030926-22</t>
  </si>
  <si>
    <t>Smlouva o zajištění odborné stáže_Lukáš Vačlena_8-9/2022</t>
  </si>
  <si>
    <t>S-196/75030926/22</t>
  </si>
  <si>
    <t>Smlouva o zajištění stáže_MUDr. Andrea Kárníková_19.9-30.9.2022</t>
  </si>
  <si>
    <t>S-197/75030926/22</t>
  </si>
  <si>
    <t>bezúplatný převod_nákladní vůz VW Transporter (skříňový), RZ PBA 6304</t>
  </si>
  <si>
    <t>S-198/75030926/22</t>
  </si>
  <si>
    <t>bezúplatný převod_9S5 0678 – sanitní vůz VW Transporter</t>
  </si>
  <si>
    <t>rezervace bytu</t>
  </si>
  <si>
    <t>S-199/75030926/22</t>
  </si>
  <si>
    <t>Smlouva o rezervaci bytu_Tampierovi_S-197/75030926/22</t>
  </si>
  <si>
    <t>S-200/75030926/22</t>
  </si>
  <si>
    <t>Smlouva o spolupráci_sanitní vozidlo-akce Rock n ride 2022 - 9.-10.9 2022</t>
  </si>
  <si>
    <t>S-201/75030926/22</t>
  </si>
  <si>
    <t>Smluva o zajištění odborné stáže_Adéla Tlustá_15.,18.08.2022</t>
  </si>
  <si>
    <t>S-203/75030926/22</t>
  </si>
  <si>
    <t>Smlouva o zajištění stáže_MUDr. Marcel Truelle_1.8.2022-31.8.2022</t>
  </si>
  <si>
    <t>S-205/75030926/22</t>
  </si>
  <si>
    <t>Kupní smlouva_4 ks navigačních tabletů pro instalaci do dosahových vozidel</t>
  </si>
  <si>
    <t>S-206/75030926/22</t>
  </si>
  <si>
    <t>Smlouva o dílo_VW Transporter T6 SPZ 4SF 0525</t>
  </si>
  <si>
    <t>S-208/75030926/22</t>
  </si>
  <si>
    <t>Kupní smlouva_Přístroje pro automatickou nepřímou srdeční masáž</t>
  </si>
  <si>
    <t>S-209/75030926/22</t>
  </si>
  <si>
    <t>Smlouva o zajištění odborné stáže_Ondřej Kudělka_8/2022</t>
  </si>
  <si>
    <t>S-210/75030926/22</t>
  </si>
  <si>
    <t>Smlouva o zajištění odborné stáže_Martin Dědič_8-12/2022</t>
  </si>
  <si>
    <t>S-211/75030926/22</t>
  </si>
  <si>
    <t>Kupní smlouva_Kamery do vozidel ZZS SK</t>
  </si>
  <si>
    <t>S-212/75030926/22</t>
  </si>
  <si>
    <t>Smlouva o zajištšní odborné stáže_Martin Filimonov_ 9/2022</t>
  </si>
  <si>
    <t>S-213/75030926/22</t>
  </si>
  <si>
    <t>Smlova o zajištění stáže_Daniel Turovský, DiS_21.09.-23.09.2022</t>
  </si>
  <si>
    <t>S-214/75030926/22</t>
  </si>
  <si>
    <t>Smlouva o zajištění odborné stáže_Marcel Truelle_1.-30. 11. 2022</t>
  </si>
  <si>
    <t>S-215/75030926/22</t>
  </si>
  <si>
    <t>Kupní smlouva_"Celotělový výukový model pro KPR"</t>
  </si>
  <si>
    <t>S-217/75030926/22</t>
  </si>
  <si>
    <t>SML o spolupráci_sanitní vozidlo_hokejoví zápasy_11.,16.,25.,8.,1.9.2022</t>
  </si>
  <si>
    <t>S-218/75030926/22</t>
  </si>
  <si>
    <t>SML o spolupráci_sanitní vozidlo_akce "Během Třebotovem" 19.09.2022</t>
  </si>
  <si>
    <t>S-219/75030926/22</t>
  </si>
  <si>
    <t>Kupní smlouva_Zařízení na přenos dat</t>
  </si>
  <si>
    <t>S-220/75030926/22</t>
  </si>
  <si>
    <t>SML o spolupráci_sanitní vozidlo_Den hasiču-prezentace techniky</t>
  </si>
  <si>
    <t>S-221/75030926/22</t>
  </si>
  <si>
    <t>SML o spolupráci_sanitní vozidlo_135.výročí založení SDH-prezentace techniky</t>
  </si>
  <si>
    <t>S-222/75030926/22</t>
  </si>
  <si>
    <t>SML o spolupráci_sanitní vozidlo_"Den pro děti"-prezentace záchranářské techniky</t>
  </si>
  <si>
    <t>S-223/75030926/22</t>
  </si>
  <si>
    <t>Smlouva o zajištění stáže_Petra Šťastná_9/2022</t>
  </si>
  <si>
    <t>S-224/75030926/22</t>
  </si>
  <si>
    <t>Smlouva o zajištění stáže_Jan Syrovátka_8-12/2022</t>
  </si>
  <si>
    <t>S-225/75030926/22</t>
  </si>
  <si>
    <t>Smlouva o zajištění odborné stáže_Mgr. Pavel Krampol_9-12/2022</t>
  </si>
  <si>
    <t>S-226/75030926/22</t>
  </si>
  <si>
    <t>Smlouva o zajištění odborné stáže_Petra Šťastná_29.,30.8.2022</t>
  </si>
  <si>
    <t>S-227/75030926/22</t>
  </si>
  <si>
    <t>Smlouva o zajištění stáže_Tomáš Krejčí_3.,4., 10.9.2022</t>
  </si>
  <si>
    <t>S-228/75030926/22</t>
  </si>
  <si>
    <t>Smlouva o zajištění stáže_Pavel Táborský_10-12/2022</t>
  </si>
  <si>
    <t>S-229/75030926/22</t>
  </si>
  <si>
    <t>Kupní smlouva_Tablety posádek</t>
  </si>
  <si>
    <t>S-230/75030926/22</t>
  </si>
  <si>
    <t>Kupní smlouva_"Vozidlo rychlé lékařské pomoci v setkávacím systému"</t>
  </si>
  <si>
    <t>S-231/75030926/22</t>
  </si>
  <si>
    <t>Kupní smlouva_Taktické vesty pro výjezdové skupiny</t>
  </si>
  <si>
    <t>Smlouva_školení</t>
  </si>
  <si>
    <t>S-234/75030926/22</t>
  </si>
  <si>
    <t>Smlouva o provedení školení_kurz Zdravotnický záchranář_Urgentní medicína</t>
  </si>
  <si>
    <t>S-236/75030926/22</t>
  </si>
  <si>
    <t>Smlouva o zajištění stáže_Miloš Dušek_8-11/2022</t>
  </si>
  <si>
    <t>S-237/75030926/22</t>
  </si>
  <si>
    <t>Smlouva o zajištění stáže_Josef Šperer_8-11/2022</t>
  </si>
  <si>
    <t>S-238/75030926/22</t>
  </si>
  <si>
    <t>Kupní smlouva_Přímotopy</t>
  </si>
  <si>
    <t>S-241/75030926/22</t>
  </si>
  <si>
    <t>Kupní smlouva "Speciální vozidlo ZZS – Servisní vozidlo typ A"</t>
  </si>
  <si>
    <t>S-242/75030926/22</t>
  </si>
  <si>
    <t>Kupní smlouva "Speciální vozidlo ZZS – Servisní vozidlo typ B"</t>
  </si>
  <si>
    <t>S-243/75030926/22</t>
  </si>
  <si>
    <t>Kupní smlouva "Sanitní vozidlo ZZS – typ C"</t>
  </si>
  <si>
    <t>S-244/75030926/22</t>
  </si>
  <si>
    <t>Smlouva o dílo_služby spojené se zpracováním projektových dokumentací</t>
  </si>
  <si>
    <t>S-245/75030926/22</t>
  </si>
  <si>
    <t>SML o spolupráci_sanitní vozidlo_hokehové zápasy TELH 20/23</t>
  </si>
  <si>
    <t>S-246/75030926/22</t>
  </si>
  <si>
    <t>SML o spolupráci_sanitní vozidlo_hokejové zápasy TEHL 22/23</t>
  </si>
  <si>
    <t>S-247/75030926/22</t>
  </si>
  <si>
    <t>Smlouva o spolupráci_sanitní vozidlo_Mistrovství ČR v běhu na 60 metrů překážek</t>
  </si>
  <si>
    <t>S-248/75030926/22</t>
  </si>
  <si>
    <t>Smlouva o spolupráci_sanitní vozidlo_ohňostroj-Mělnické vinobraní na Aušperku</t>
  </si>
  <si>
    <t>S-249/75030926/22</t>
  </si>
  <si>
    <t>Smlouva o zajištění stáže_Dr. Med. Anna Taborovcová,MBA_1.10-31.10.2022</t>
  </si>
  <si>
    <t>S-251/75030926/22</t>
  </si>
  <si>
    <t>Nájemní smlouva_Galerie Středočeského kraje, p.o.</t>
  </si>
  <si>
    <t>S-252/75030926/22</t>
  </si>
  <si>
    <t>Smlouva o výpůjčce pozemku za účelem uspořádání akce_Benešovský den IZS</t>
  </si>
  <si>
    <t>S-253/75030926/22</t>
  </si>
  <si>
    <t>Smlouva o zajištění stáže_MUDr. Anna Mačková_17.10-28.10.2022</t>
  </si>
  <si>
    <t>S-254/75030926/22</t>
  </si>
  <si>
    <t>Smlouva o zajištění stáže_MUDr. Marta Bartošová_19.9.-30.9.2022</t>
  </si>
  <si>
    <t>S-255/75030926/22</t>
  </si>
  <si>
    <t>Smlouva o zajištění stáže_Dina Simakova, promovaný lékař_6.10.-19.10.2022</t>
  </si>
  <si>
    <t>S-257/75030926/22</t>
  </si>
  <si>
    <t>Smlouva o zajištění stáže_MUDr. Sylvie Kubánková_12.9.-30.9.2022</t>
  </si>
  <si>
    <t>S-258/75030926/22</t>
  </si>
  <si>
    <t>Smlouva o spolupráci_sanitní vozidlo"Den se složkami IZS"_24.9.2022</t>
  </si>
  <si>
    <t>S-259/75030926/22</t>
  </si>
  <si>
    <t>Smlouva o spolupráce_sanitní vozidlo_Tipsport extraligy 22/23_25.9.2022</t>
  </si>
  <si>
    <t>umělecký výkon</t>
  </si>
  <si>
    <t>S-260/75030926/22</t>
  </si>
  <si>
    <t>Smlouva o vytvoření umělec.výkonu a poskytnutí licence_Hlubučková</t>
  </si>
  <si>
    <t>S-261/75030926/22</t>
  </si>
  <si>
    <t>Smlouva o zajištění stáže_Andrea Orlovs_10-12/2022</t>
  </si>
  <si>
    <t>S-262/75030926/22</t>
  </si>
  <si>
    <t>Smlouva o zajištění stáže_Andrea Orlovs_10/2022-8/2023</t>
  </si>
  <si>
    <t>S-263/75030926/22</t>
  </si>
  <si>
    <t>Bezúplatný převod_VW Transporter, RZ 9S5 0681</t>
  </si>
  <si>
    <t>S-264/75030926/22</t>
  </si>
  <si>
    <t>Kupní smlouva - Extenzní dlahy/45 kusů</t>
  </si>
  <si>
    <t>S-267/75030926/22</t>
  </si>
  <si>
    <t>Smlouva o zajištění stáže_MUDr. Šatná Eva_1.-9.11.2022</t>
  </si>
  <si>
    <t>S-268/75030926/22</t>
  </si>
  <si>
    <t>Smlouva o zajištění stáže_Mariya Kalantay_10/12 2022</t>
  </si>
  <si>
    <t>S-269/75030926/22</t>
  </si>
  <si>
    <t>Smlouva o zajištění stáže_Radek Pečený_10-12/2022</t>
  </si>
  <si>
    <t>S-270/75030926/22</t>
  </si>
  <si>
    <t>Smlouva o bezúplatném převodu_ŠKODA OCTAVIA - SPZ 6S0 0116</t>
  </si>
  <si>
    <t>S-271/75030926/22</t>
  </si>
  <si>
    <t>Bezúplatný převod_odsávačky 4 ks</t>
  </si>
  <si>
    <t>S-272/75030926/22</t>
  </si>
  <si>
    <t>Dohoda o narovnání ke smlouvě o výpůjčce_14/07/016</t>
  </si>
  <si>
    <t>S-273/75030926/22</t>
  </si>
  <si>
    <t>Bezúplatný převod_odsávačky_2 ks</t>
  </si>
  <si>
    <t>Sítový banner</t>
  </si>
  <si>
    <t>S-275/75030926/22</t>
  </si>
  <si>
    <t>Kupní smlouva_Síťový banner</t>
  </si>
  <si>
    <t>S-276/75030926/22</t>
  </si>
  <si>
    <t>Nájemní smlouva_zasedací místnost_jednorázová jednodenní školení</t>
  </si>
  <si>
    <t>S-277/75030926/22</t>
  </si>
  <si>
    <t>Smlouva o zajištění stáže_MUDr. Schmidtmayerová Blanka_16.11-28.12.2022</t>
  </si>
  <si>
    <t>zajištění výuky</t>
  </si>
  <si>
    <t>S-278/75030926/22</t>
  </si>
  <si>
    <t>Smlouva o zajištění praktické výuky</t>
  </si>
  <si>
    <t>S-280/75030926/22</t>
  </si>
  <si>
    <t>Rámcová kupní smlouva_Příslušenství kdefibrilátoru Corpuls3</t>
  </si>
  <si>
    <t>S-282/75030926/22</t>
  </si>
  <si>
    <t>Smlouva o bezúplatném převodu_JEEP GRAND CHEROKEE_7S3 9808</t>
  </si>
  <si>
    <t>S-284/75030926/22</t>
  </si>
  <si>
    <t>Kupní smlouva_Motor 3</t>
  </si>
  <si>
    <t>S-285/75030926/22</t>
  </si>
  <si>
    <t>Smlouva o zajištění stáže_MUDr. Sylvie Kubánková_5.-31.10.2022</t>
  </si>
  <si>
    <t>S-286/75030926/22</t>
  </si>
  <si>
    <t>Kupní smlouva "Tiskárny do sanitních vozidel"</t>
  </si>
  <si>
    <t>S-288/75030926/22</t>
  </si>
  <si>
    <t>SML o spolupráci_sanitní vozidlo_zajištění výcviku s chemickými látkami_8.-10.11</t>
  </si>
  <si>
    <t>S-289/75030926/22</t>
  </si>
  <si>
    <t>Smlouva o zajištění stáže_MUDr. Anna Kočovská_10/2022</t>
  </si>
  <si>
    <t>S-290/75030926/22</t>
  </si>
  <si>
    <t>Smlouva o zajištění stáže_MUDr. Hynek Sedláček1.-11.11.2022</t>
  </si>
  <si>
    <t>S-291/75030926/22</t>
  </si>
  <si>
    <t>Smlouva o zajištění stáže_Eliška Mošanská_9-12/2022</t>
  </si>
  <si>
    <t>S-292/75030926/22</t>
  </si>
  <si>
    <t>Smlouva o zajištění stáže_Martin Michalec_14.10.2022</t>
  </si>
  <si>
    <t>S-293/75030926/22</t>
  </si>
  <si>
    <t>Smlouva o zajištění stáže_Miloslav Debelka_10-11/2022</t>
  </si>
  <si>
    <t>S-294/75030926/22</t>
  </si>
  <si>
    <t>Dohoda o narovnání ke sml. o pron.neb.prostor z 18.9.2018_č. 223/75030926/18</t>
  </si>
  <si>
    <t>S-296/75030926/22</t>
  </si>
  <si>
    <t>Smlouva o zajištění stáže_Radovat Staněk_11,12/2022</t>
  </si>
  <si>
    <t>S-297/75030926/22</t>
  </si>
  <si>
    <t>Dohoda o ukončení Sml. o výpůjčce dop.prostředku VW Transporter_3SY 1421</t>
  </si>
  <si>
    <t>Audiovizuální dílo</t>
  </si>
  <si>
    <t>S-298/75030926/22</t>
  </si>
  <si>
    <t>Smlouva o výrobě audiovizuálního díla</t>
  </si>
  <si>
    <t>S-299/75030926/22</t>
  </si>
  <si>
    <t>Kupní smlouva_Dodávka zimních pneumatik</t>
  </si>
  <si>
    <t>S-300/75030926/22</t>
  </si>
  <si>
    <t>Smlouva o zajištění stáže_Martin Filimonov_11,12/2022</t>
  </si>
  <si>
    <t>S-302/75030926/22</t>
  </si>
  <si>
    <t>S-303/75030926/22</t>
  </si>
  <si>
    <t>Smlouva o zajištění stáže_MUDr. Diana Havelková_31.10.-11.11.2022</t>
  </si>
  <si>
    <t>S-304/75030926/22</t>
  </si>
  <si>
    <t>Smlouva o zajištění stáže_MUDr. Anna LedErerová_14.11.-30.11.2022</t>
  </si>
  <si>
    <t>S-305/75030926/22</t>
  </si>
  <si>
    <t>Smlouva o zajištění stáže_Michaela Vokurková_31.10.-8.11.2022</t>
  </si>
  <si>
    <t>S-306/75030926/22</t>
  </si>
  <si>
    <t>Smlouva o zajištění stáže_Jan Vševid_11-12/2022</t>
  </si>
  <si>
    <t>S-307/75030926/22</t>
  </si>
  <si>
    <t>Smlouva o dílo_oprava vozidla VW Transporter SPZ 5SB 1805</t>
  </si>
  <si>
    <t>Poskytnutí licence</t>
  </si>
  <si>
    <t>S-308/75030926/22</t>
  </si>
  <si>
    <t>Smlouva o vytvoření uměleckého výkonu a poskytnutí licence</t>
  </si>
  <si>
    <t>poskytnutí licence</t>
  </si>
  <si>
    <t>S-309/75030926/22</t>
  </si>
  <si>
    <t>Smlouva o vytvoření uměleckého výkonu a poskytnutí licence_Vojtěch Franců</t>
  </si>
  <si>
    <t>S-310/75030926/22</t>
  </si>
  <si>
    <t>S-311/75030926/22</t>
  </si>
  <si>
    <t>Kupní smlouva_Dýchací vaky</t>
  </si>
  <si>
    <t>S-312/75030926/22</t>
  </si>
  <si>
    <t>Smlouva o zajištění bezplatných stáží</t>
  </si>
  <si>
    <t>Provedení auditu</t>
  </si>
  <si>
    <t>S-313/75030926/22</t>
  </si>
  <si>
    <t>Smlouva o provedení auditu_2021_2022</t>
  </si>
  <si>
    <t>S-314/75030926/22</t>
  </si>
  <si>
    <t>Dosahová vozidla včetně vybavení Část A – Dosahové referentské vozidlo</t>
  </si>
  <si>
    <t>S-315/75030926/22</t>
  </si>
  <si>
    <t>Dosahová vozidla včetně vybavení Část B – Dosahové velitelské vozidlo</t>
  </si>
  <si>
    <t>S-316/75030926/22</t>
  </si>
  <si>
    <t>Rámcová kupní smlouva_Papírové ručníky 3</t>
  </si>
  <si>
    <t>S-318/75030926/22</t>
  </si>
  <si>
    <t>Smlouva o spolupráci_sanitní vozidlo_hokejové utkání v Příbrami</t>
  </si>
  <si>
    <t>S-319/75030926/22</t>
  </si>
  <si>
    <t>Smlouva o zajištění stáže_Anna Blehová_12/2022-1/2023</t>
  </si>
  <si>
    <t>S-320/75030926/22</t>
  </si>
  <si>
    <t>Smouva o zajištění stáže_Karolina Bagarová_5.-9.12.2022</t>
  </si>
  <si>
    <t>S-321/75030926/22</t>
  </si>
  <si>
    <t>Smlouva o zajištění stáže_MUDr. Eliška Salingerová_1.1.2023_30.4.2023</t>
  </si>
  <si>
    <t>S-322/75030926/22</t>
  </si>
  <si>
    <t>Smlouva o zajištění stáže_Vladimír Šafránek_12/2022</t>
  </si>
  <si>
    <t>S-323/75030926/22</t>
  </si>
  <si>
    <t>Smlouva o zajištění stáže_Karolina Bagarová_16.-20.1.2023</t>
  </si>
  <si>
    <t>S-324/75030926/22</t>
  </si>
  <si>
    <t>Smlouva o zajištění stáže_Zuzana Brůhová1.2.-31.3.2023</t>
  </si>
  <si>
    <t>S-325/75030926/22</t>
  </si>
  <si>
    <t>Smlouva o zajištění stáže_MUDr. Sylvie Kubánková_2.-29.11.2022</t>
  </si>
  <si>
    <t>S-326/75030926/22</t>
  </si>
  <si>
    <t>Kupní smlouva_20 ks bannerů s obalem</t>
  </si>
  <si>
    <t>S-327/75030926/22</t>
  </si>
  <si>
    <t>Sml. o dlouhodob. pronájmu lahví na stlač. plyny pro zajiš.kriz. připrav. FIN/KP</t>
  </si>
  <si>
    <t>S-330/75030926/22</t>
  </si>
  <si>
    <t>Dohoda o ukončení sml. o výpůjčce_VW Transporter T5_2SD 2578_019/75030926/20</t>
  </si>
  <si>
    <t>S-331/75030926/22</t>
  </si>
  <si>
    <t>Smlouva o výpůjčce _transportní technika_Volkswagen Transporter RZ: 2SD 2576</t>
  </si>
  <si>
    <t>S-332/75030926/22</t>
  </si>
  <si>
    <t>Smlouva o výpůjčce_transportní technika_Volkswagen Transporter RZ: 2SK 4979</t>
  </si>
  <si>
    <t>S-333/75030926/22</t>
  </si>
  <si>
    <t>Smlouva o výpůjčce_transportní technika_Volkswagen Transporter RZ: 3SU 6708</t>
  </si>
  <si>
    <t>S-335/75030926/22</t>
  </si>
  <si>
    <t>Smlouva o zajištění stáže_doc. MUDr. Petr Budera, Ph.D._5.-18.12.2022</t>
  </si>
  <si>
    <t>S-336/75030926/22</t>
  </si>
  <si>
    <t>Smlouva o zajištění stáže_MUDr. Jana Jírová_1.12.-31.12.2022</t>
  </si>
  <si>
    <t>S-337/75030926/22</t>
  </si>
  <si>
    <t>Smlouva o zajištění stáže_Mgr. Jindřich Havelka, Dis, MBA_12/2022-3/2023</t>
  </si>
  <si>
    <t>S-338/75030926/22</t>
  </si>
  <si>
    <t>Smlouva o dílo_Oprava člunu ZZS SK - Sport utility 644</t>
  </si>
  <si>
    <t>S-339/75030926/22</t>
  </si>
  <si>
    <t>Kupní smlouva_"ZZS SK – technologie vybavení zdravotnic.operač. střediska-2021"</t>
  </si>
  <si>
    <t>S-340/75030926/22</t>
  </si>
  <si>
    <t>Kupní smlouva - Packing - sada pro zástavu krvácení_11 kusů TrueCLOT – sada WPTT</t>
  </si>
  <si>
    <t>Smlouva o zápůjčce</t>
  </si>
  <si>
    <t>S-345/75030926/22</t>
  </si>
  <si>
    <t>Smlouva o zápůjčce zdravotnického materiálu</t>
  </si>
  <si>
    <t>S-346/75030926/22</t>
  </si>
  <si>
    <t>Smlouva o zajištění stáže_MUDr. Sylvie Kubánková_1.12.2022-30.12.2022</t>
  </si>
  <si>
    <t>S-347/75030926/22</t>
  </si>
  <si>
    <t>Smlouva o zajištění stáže_Laura Vosátková_8.,9.,10.11.2022</t>
  </si>
  <si>
    <t>S-348/75030926/22</t>
  </si>
  <si>
    <t>Smlouva o zajištění stáže_Lada Mrštíková_2.,4.,10.,11.1.2023</t>
  </si>
  <si>
    <t>S-349/75030926/22</t>
  </si>
  <si>
    <t>Smlouva o zajištšní stáže_Lada Mrštíková_9.,21.,30.12.2022</t>
  </si>
  <si>
    <t>S-350/75030926/22</t>
  </si>
  <si>
    <t>Smlouva o spolupráci_sanitní vozidlo_Den otevřených dveří v zámku Lány_12/2022</t>
  </si>
  <si>
    <t>S-352/75030926/22</t>
  </si>
  <si>
    <t>Smlouva o dílo_oprava vozidla VW Transporter SPZ 5SB 1804</t>
  </si>
  <si>
    <t>S-355/75030926/22</t>
  </si>
  <si>
    <t>Kupní smlouva - 19 kusů - Vakuové matrace</t>
  </si>
  <si>
    <t>S-358/75030926/22</t>
  </si>
  <si>
    <t>Smlouva o zajištění stáže_Jakub Kasala_12/2022</t>
  </si>
  <si>
    <t>S-359/75030926/22</t>
  </si>
  <si>
    <t>Dohoda o narovnání_smlouva o nájmu nebytových prostor</t>
  </si>
  <si>
    <t>S-360/75030926/22</t>
  </si>
  <si>
    <t>Smlouva o dílo_oprava VW Transporter T6 SPZ 4SF 0515</t>
  </si>
  <si>
    <t>S-362/75030926/22</t>
  </si>
  <si>
    <t>Smlouva o podnájmu prostor MKD</t>
  </si>
  <si>
    <t>Dohoda o ukon.kup.sm</t>
  </si>
  <si>
    <t>S-364/75030926/22</t>
  </si>
  <si>
    <t>Dohoda o ukončení kupní smlouvy_Taktické vesty pro výjezdové skupiny"</t>
  </si>
  <si>
    <t>S-365/75030926/22</t>
  </si>
  <si>
    <t>Smlouva o zajištění stáže_Věra Linhartová_12/2022-3/2023</t>
  </si>
  <si>
    <t>S-366/75030926/22</t>
  </si>
  <si>
    <t>Smlouva o zajištění stáže_MUDr. Václav Ulrych_2/2023</t>
  </si>
  <si>
    <t>S-368/75030926/22</t>
  </si>
  <si>
    <t>Kupní smlouva "Mobilní telefony II"</t>
  </si>
  <si>
    <t>S-370/75030926/22</t>
  </si>
  <si>
    <t>Smlouva o zajištění stáže_MUDr. Martin Malý_12/200-1/2023</t>
  </si>
  <si>
    <t>S-371/75030926/22</t>
  </si>
  <si>
    <t>Kupní smlouva - 205 ks - Taktické vesty</t>
  </si>
  <si>
    <t>S-372_75030926_22</t>
  </si>
  <si>
    <t>Smlouva o spolupráci v rámci IZS na úrovni SK</t>
  </si>
  <si>
    <t>S-003/75030926/23</t>
  </si>
  <si>
    <t>Smlouva o zajištění stáže_Lukáš Stráník_2.-6.1.2023</t>
  </si>
  <si>
    <t>S-004/75030926/23</t>
  </si>
  <si>
    <t>Smlouva o zajištění stáže_Michaela Kubíčková_1.1.2023-31.12.2023</t>
  </si>
  <si>
    <t>S-005/75030926/23</t>
  </si>
  <si>
    <t>Smlouva o zajištění stáže_MUDr. Monika Žohová_1.1.2023-15.1.2023</t>
  </si>
  <si>
    <t>S-006/75030926/23</t>
  </si>
  <si>
    <t>Smlouva o zajištění stáže_Věra Hrušková_1/2023-6/2023</t>
  </si>
  <si>
    <t>S-007/75030926/23</t>
  </si>
  <si>
    <t>Smlouva o zajištění stáže_MUDr. Sylvie Kubánková_4.1-4.2.2023</t>
  </si>
  <si>
    <t>S-008/75030926/23</t>
  </si>
  <si>
    <t>Smlouva o zajištění stáže_Jakub Klasna_1/2023-3/2023</t>
  </si>
  <si>
    <t>S-009/75030926/23</t>
  </si>
  <si>
    <t>Smlouva o spolupráci_sanitní vozidlo_4.ročník soutěže na Jizeře</t>
  </si>
  <si>
    <t>S-010/75030926/23</t>
  </si>
  <si>
    <t>Smlouva o dílo_oprava vozidla VW Transporter T6 SPZ 4SF 0515</t>
  </si>
  <si>
    <t>S-013/75030926/23</t>
  </si>
  <si>
    <t>Smlouva o zajištění stáže_MUDr. Marcel Truelle_1.-31.12.2022</t>
  </si>
  <si>
    <t>S-014/75030926/23</t>
  </si>
  <si>
    <t>Smlouva o zajištění stáže_Andrea Orlovs_1-6/2023</t>
  </si>
  <si>
    <t>S-015/75030926/23</t>
  </si>
  <si>
    <t>Smlouva o zajištění stáže_Kateřina Novotná_30.1.-31.7.2023</t>
  </si>
  <si>
    <t>S-016/75030926/23</t>
  </si>
  <si>
    <t>Smlouva o zajištění stáže_MUDr. Michaela Balejová_1/2023-6/2023</t>
  </si>
  <si>
    <t>S-017/75030926/23</t>
  </si>
  <si>
    <t>Smlouva o zajištění stáže_Mgr. Pavel Krampol_1/2023</t>
  </si>
  <si>
    <t>S-018/75030926/23</t>
  </si>
  <si>
    <t>Smlouva o zajištění stáže_MUDr. Bc. Štěpán Fojtů12/2022-6/2023</t>
  </si>
  <si>
    <t>S-019/75030926/23</t>
  </si>
  <si>
    <t>Smlouva o zajištění stáže_Martin Nedbal</t>
  </si>
  <si>
    <t>S-022/75030926/23</t>
  </si>
  <si>
    <t>Smlouva o zajištění stáže_Martin Šimík_1-5/2023</t>
  </si>
  <si>
    <t>S-024/75030926/23</t>
  </si>
  <si>
    <t>Smlouva o dílo Stavební úpravy – výjezdová základnaZZS SčK Jesenice u Rakovníka"</t>
  </si>
  <si>
    <t>S-025/75030926/23</t>
  </si>
  <si>
    <t>Smlouva o zajištění stáže_Tomáš Rychta_3/2023</t>
  </si>
  <si>
    <t>S-026/75030926/23</t>
  </si>
  <si>
    <t>Smlouva o zajištěí stáže</t>
  </si>
  <si>
    <t>S-027/75030926/23</t>
  </si>
  <si>
    <t>Smlova o zajištění stáže_Martin Filimonov_1-5/2023</t>
  </si>
  <si>
    <t>S-028/75030926/23</t>
  </si>
  <si>
    <t>Smlouva o zajištení stáže_Tomáš Rychta_17.4.-31.5.2023</t>
  </si>
  <si>
    <t>S-029/75030926/23</t>
  </si>
  <si>
    <t>Smlouva o zajištění stáže_Karolina Bagarová_15.-19.5.2023</t>
  </si>
  <si>
    <t>S-030/75030926/23</t>
  </si>
  <si>
    <t>Smlouva o zajištění stáže_1/2023-12/20223</t>
  </si>
  <si>
    <t>S-032/75030926/23</t>
  </si>
  <si>
    <t>Smlouva o dílo_oprava vozidla VW Transporter T6 SPZ 5SB 1802</t>
  </si>
  <si>
    <t>S-034/75030926/23</t>
  </si>
  <si>
    <t>Smlouva o zajištění stáže_MUDr. Natálie Pohunková_23.1.-3.2.2023</t>
  </si>
  <si>
    <t>S-035/75030926/23</t>
  </si>
  <si>
    <t>Smlouva o zajištění stáže_MUDr. Veronika Jurašeková_9.2.-17.2.2023</t>
  </si>
  <si>
    <t>S-036/75030926/23</t>
  </si>
  <si>
    <t>Smlouva o zajištění stáže_MUDr. Alena Štemberová_16.3.-2.4.2023</t>
  </si>
  <si>
    <t>S-037/75030926/23</t>
  </si>
  <si>
    <t>Smlouva o zajištění stáže_Martin Dědič_2023</t>
  </si>
  <si>
    <t>S-040/75030926/23</t>
  </si>
  <si>
    <t>Nájemní smlouva_prostory 2.2.2023_Kongresové centrum</t>
  </si>
  <si>
    <t>S-042/75030926/23</t>
  </si>
  <si>
    <t>S-043/75030926/23</t>
  </si>
  <si>
    <t>Dohoda o ukončení Smlouvy o výpůjčce dop. prostředku a transp. techniky_2SD 2602</t>
  </si>
  <si>
    <t>S-047/75030926/23</t>
  </si>
  <si>
    <t>Smlouva o zajištění stáže_Urbanová Michaela_</t>
  </si>
  <si>
    <t>S-048/75030926/23</t>
  </si>
  <si>
    <t>Smlouva o zajištění stáže_MUDr. Marcel Truelle_2-3/2023</t>
  </si>
  <si>
    <t>S-053/75030926/23</t>
  </si>
  <si>
    <t>Kupní smlouva_"Motor 1"</t>
  </si>
  <si>
    <t>S-054/75030926/23</t>
  </si>
  <si>
    <t>Smlouva o spolupráci_sanitní vozidlo_Operace VEGE III_1.4.2023_u Dobříše</t>
  </si>
  <si>
    <t>S-058/75030926/23</t>
  </si>
  <si>
    <t>Kupní smlouva - Taktické vesty</t>
  </si>
  <si>
    <t>S-059/75030926/23</t>
  </si>
  <si>
    <t>Smlouva o zajištění stáže_Daniel Štych_16.1.-19.2.2023</t>
  </si>
  <si>
    <t>S-060/75030926/23</t>
  </si>
  <si>
    <t>Smlouva o zajištění stáže_Luboš Krumphanzl_2-3/2023</t>
  </si>
  <si>
    <t>S-061/75030926/23</t>
  </si>
  <si>
    <t>Smlouva o dílo_oprava vozidla VW Transporter T6 SPZ 3SU 6621</t>
  </si>
  <si>
    <t>S-062/75030926/23</t>
  </si>
  <si>
    <t>Kupní smlouva_Motor 2</t>
  </si>
  <si>
    <t>S-064/75030926/23</t>
  </si>
  <si>
    <t>RÁMCOVÁ SMLOUVA"POSKYTOVÁNÍ ADVOKÁTNÍCH SLUŽEB"</t>
  </si>
  <si>
    <t>S-066/75030926/23</t>
  </si>
  <si>
    <t>Smlouva o zajištění stáže_MUDr. Lada Nováková_2.5.-19.5.2023</t>
  </si>
  <si>
    <t>S-067/75030926/23</t>
  </si>
  <si>
    <t>Smlouvao zajištění stáže_Pavel Kolář_3,4/2023</t>
  </si>
  <si>
    <t>S-068/75030926/23</t>
  </si>
  <si>
    <t>Smlouva o zajištění stáže_Luboš Krumphanzl_5,6/2023</t>
  </si>
  <si>
    <t>S-069/75030629/23</t>
  </si>
  <si>
    <t>Smlouva o zajištění stáže_Nikola Fohlerová_1.3.-30.6.2023</t>
  </si>
  <si>
    <t>S-070/75030926/23</t>
  </si>
  <si>
    <t>Smlouva o zajištění stáže_Tomáš Mařík_4,5/2023</t>
  </si>
  <si>
    <t>S-071/75030926/23</t>
  </si>
  <si>
    <t>Smlouva o zajištění stáže_Petr Zíka_5,6/2023</t>
  </si>
  <si>
    <t>S-072/75030926/23</t>
  </si>
  <si>
    <t>Smlouva o zajištění stáže_Zíka Matěj_4,5/2023</t>
  </si>
  <si>
    <t>S-073/75030926/23</t>
  </si>
  <si>
    <t>Zajištění stáže_Antonín Lhotský_3,4,5/2023</t>
  </si>
  <si>
    <t>S-074/75030926/23</t>
  </si>
  <si>
    <t>Smlouva o zajištění stáže_David Myšička_5,6/2023</t>
  </si>
  <si>
    <t>S-075/75030926/23</t>
  </si>
  <si>
    <t>Smlouva o zajištění stáže_David Myšička_4,5/2023</t>
  </si>
  <si>
    <t>S-076/75030926/23</t>
  </si>
  <si>
    <t>Smlouva o zajištění stáže_Jakub Urban_11.-28.4.2023</t>
  </si>
  <si>
    <t>S-077/75030926/23</t>
  </si>
  <si>
    <t>Smlouva o zajištění stáže_Andrej Anděl_11.4.-5.5.2023</t>
  </si>
  <si>
    <t>S-078/75030926/23</t>
  </si>
  <si>
    <t>Smlouva o zajištění stáže_Oto Doubrava_6/2023</t>
  </si>
  <si>
    <t>S-079/75030926/23</t>
  </si>
  <si>
    <t>Smlouva o zajištění stáže_Oto Doubrava_5/2023</t>
  </si>
  <si>
    <t>S-081/75030926/23</t>
  </si>
  <si>
    <t>Smlouva o zajištění stáže_Jakub Urban_9.-15.5.2023</t>
  </si>
  <si>
    <t>S-082/75030926/23</t>
  </si>
  <si>
    <t>Smlouva o zajištění stáže_Tomáš Peleška_4-7/2023</t>
  </si>
  <si>
    <t>S-084/75030926/23</t>
  </si>
  <si>
    <t>Smlouva o zajištění stáže_Miloslav Růžička_6/2023</t>
  </si>
  <si>
    <t>S-085/75030926/23</t>
  </si>
  <si>
    <t>Smlouva o zajištění stáže_Radim Červenka_7/2023</t>
  </si>
  <si>
    <t>S-086/75030926/23</t>
  </si>
  <si>
    <t>Smlouva o zajištění stáže_Zíka Matěj_7/2023</t>
  </si>
  <si>
    <t>S-087/75030926/23</t>
  </si>
  <si>
    <t>Smlouva o zajištění stáže_Ladislav Fryček_24.4.-19.5.2023</t>
  </si>
  <si>
    <t>S-088/75030926/23</t>
  </si>
  <si>
    <t>Smlouva o zajištění stáže_Lukáš Vlček_24.4.-19.5.2023</t>
  </si>
  <si>
    <t>S-089/75030926/23</t>
  </si>
  <si>
    <t>Smlouva o zajištění stáže_Zbyněk Toman_4,5/2023</t>
  </si>
  <si>
    <t>S-092/75030926/23</t>
  </si>
  <si>
    <t>Smlouva o zajištění stáže_David Petržílek_5,6,7/2023</t>
  </si>
  <si>
    <t>S-093/75030926/23</t>
  </si>
  <si>
    <t>Smlouva o zajištění stáže_Tomáš Prokop_5,6,7/2023</t>
  </si>
  <si>
    <t>S-094/75030926/23</t>
  </si>
  <si>
    <t>Kupní smlouva "Motor 3"</t>
  </si>
  <si>
    <t>S-095/75030926/23</t>
  </si>
  <si>
    <t>Kupní smlouva "Motor 4"</t>
  </si>
  <si>
    <t>S-096/75030926/23</t>
  </si>
  <si>
    <t>Smlouva o spolu._sanitní vozidlo_cvičení"Seminář AMOK-Ozbrojený útočník ve škole</t>
  </si>
  <si>
    <t>S-097/75030926/23</t>
  </si>
  <si>
    <t>Kupní smlouva - Nákup pevných disků</t>
  </si>
  <si>
    <t>S-099/75030926/23</t>
  </si>
  <si>
    <t>Smlouva o zajištění stáže_MUDr, Poschlová Sabina_19.6.-30.6.2023</t>
  </si>
  <si>
    <t>S-100/75030926/23</t>
  </si>
  <si>
    <t>Smlouva o zajištění stáže_Filip Novák_31.3.2023</t>
  </si>
  <si>
    <t>S-101/75030926/23</t>
  </si>
  <si>
    <t>Smlouva o zajištění stáže_Pavlína Karásková_21.,26.4.2023</t>
  </si>
  <si>
    <t>S-102/75030926/23</t>
  </si>
  <si>
    <t>Smlouva o spolupráci_sanitní vozidlo_hokejový zápas_11.,12.3.2023</t>
  </si>
  <si>
    <t>S-103/75030926/23</t>
  </si>
  <si>
    <t>Smlouva o spolupráci_sanitní vozidlo_hasičská soutěž, Příbram_22.,24.4.2023</t>
  </si>
  <si>
    <t>S-104/75030926/23</t>
  </si>
  <si>
    <t>Smlouva o zajištění stáže_Petr Hrubý_22.5.-16.6.2023</t>
  </si>
  <si>
    <t>S-105/75030926/23</t>
  </si>
  <si>
    <t>Smlouva o zajištění stáže_Jakub Huso_5,6/2023</t>
  </si>
  <si>
    <t>S-106/75030926/23</t>
  </si>
  <si>
    <t>Smlouva o zajištění stáže_Lukáš Pilník_4/2023</t>
  </si>
  <si>
    <t>S-107/75030926/23</t>
  </si>
  <si>
    <t>Smlouva o zajištění stáže_Jakub Huso_3.-14.7.2023</t>
  </si>
  <si>
    <t>S-108/75030926/23</t>
  </si>
  <si>
    <t>Smlouva o dílo_Generální oprava sekčních vrat ZZS Příbram 2</t>
  </si>
  <si>
    <t>S-109/750300926/23</t>
  </si>
  <si>
    <t>Smlouva o zajištění stáže_Lukáš Stráník_17.-21.4.2023</t>
  </si>
  <si>
    <t>S-110/75030926/23</t>
  </si>
  <si>
    <t>Smlouva o zajištění stáže_MUDr. Markéta Bednářová_1.4.-30.4.2023</t>
  </si>
  <si>
    <t>S-112/75030926/23</t>
  </si>
  <si>
    <t>Smlouva o zajištění stáže_MUDr. Jiří Šanda_19.6.-30.06.2023</t>
  </si>
  <si>
    <t>S-113/75030926/23</t>
  </si>
  <si>
    <t>Smlouva o zajištění stáže_MUDr. Šárka Varvařovská_14.4.-28.4.2023</t>
  </si>
  <si>
    <t>S-114/75030926/23</t>
  </si>
  <si>
    <t>Smlouva o zajištění stáže_Adíla Horká_16.5.-25.5.2023</t>
  </si>
  <si>
    <t>S-115/75030926/23</t>
  </si>
  <si>
    <t>bezúplatný převod_automobilu VW Transporter, IČ UH1090013, RZ: 9S5 0677</t>
  </si>
  <si>
    <t>S-117/75030926/23</t>
  </si>
  <si>
    <t>Kupní smlouva_Letní pneumatiky a disky 2023</t>
  </si>
  <si>
    <t>S-119/75030926/23</t>
  </si>
  <si>
    <t>Smlouva o bezúplatném převodu_5SB 1521</t>
  </si>
  <si>
    <t>S-120/75030926/23</t>
  </si>
  <si>
    <t>Smlouva o bezúplatném převodu_3SY 1421</t>
  </si>
  <si>
    <t>S-121/75030926/23</t>
  </si>
  <si>
    <t>Smlouva o bezúplatném převodu_4S3 4691</t>
  </si>
  <si>
    <t>S-122/75030926/23</t>
  </si>
  <si>
    <t>Smlouva o spolupráci_30.4.2023_sanitní vozidlo-Den bezpečnosti-Čáslav</t>
  </si>
  <si>
    <t>S-123/75030926/23</t>
  </si>
  <si>
    <t>Smlouva o spolupráci_Zuzana Beznosková_5-6/2023</t>
  </si>
  <si>
    <t>S-126/75030926/23</t>
  </si>
  <si>
    <t>Kupní smlouva_Motor 5</t>
  </si>
  <si>
    <t>S-127/75030926/23</t>
  </si>
  <si>
    <t>Smlouva o spolupráci_sanitní vozidlo_"Den otevřených dveří,bezpečnoti BESIP"</t>
  </si>
  <si>
    <t>S-128/75030926/23</t>
  </si>
  <si>
    <t>Smlouva o spolupráci_sanitní vozidlo_akce "Pichle 2023"_15.5.2023_obec Dubno</t>
  </si>
  <si>
    <t>S-130/75030926/23</t>
  </si>
  <si>
    <t>Smlouva o zajištšní stáže_MUDr. vladimíra Talliánová_15.-31.5.2023</t>
  </si>
  <si>
    <t>S-131/75030926/23</t>
  </si>
  <si>
    <t>Smlouva o zajištění stáže_Ondřej Dittrich_15.-19.5.2023</t>
  </si>
  <si>
    <t>S-133/75030926/23</t>
  </si>
  <si>
    <t>Kupní smlouva - Plachta do vozů ZZS SK</t>
  </si>
  <si>
    <t>S-134/75030926/23</t>
  </si>
  <si>
    <t>Smlouva o zajištění stáže_MUDr. Kristina Čechalová_4.-31.5.2023</t>
  </si>
  <si>
    <t>S-139/75030926/23</t>
  </si>
  <si>
    <t>Smlouva o zajištění sáže_5-6/2023_</t>
  </si>
  <si>
    <t>S-140/75030926/23</t>
  </si>
  <si>
    <t>Dohoda o spolupráci_ZZS SK a ZS ASČR PZ stanoviště Barrandovská zátoka_Orlík</t>
  </si>
  <si>
    <t>S-141/75030926/23</t>
  </si>
  <si>
    <t>Smlouva o spolupráci_sanitní vozidlo_akce "Kmochův Kolín 2023_9.-11.6 2023</t>
  </si>
  <si>
    <t>S-142/75030926/23</t>
  </si>
  <si>
    <t>Smlouva o spolupráci_sanitní vozidlo_prezentace na "Dni záchranářů_8.5.2023</t>
  </si>
  <si>
    <t>S-143/75030926/23</t>
  </si>
  <si>
    <t>Smlouva o zajištění stáže_Sára Nováková_6.,7./2023</t>
  </si>
  <si>
    <t>S-144/75030926/23</t>
  </si>
  <si>
    <t>Kupní smlouva_Motor 6</t>
  </si>
  <si>
    <t>S-146/75030926/23</t>
  </si>
  <si>
    <t>Smlouva o výpůjčce_akce "Výzva 2023"_02.06.2023 od 15:00 do 03.06.2023 do 15:00</t>
  </si>
  <si>
    <t>S-148/75030926/23</t>
  </si>
  <si>
    <t>Smlouva o zajištění stáže_Radek Linha_5-8/2023</t>
  </si>
  <si>
    <t>S-149/75030926/23</t>
  </si>
  <si>
    <t>Smlouva o zajištění stáže_MUDr. Michal Matoušek_4-12/2023</t>
  </si>
  <si>
    <t>S-150/75030926/2</t>
  </si>
  <si>
    <t>Smlouva o spolupráci_sanitní vozidlo_"Freestyle Battle Rakovník 5.8.2023"</t>
  </si>
  <si>
    <t>S-151/75030926/23</t>
  </si>
  <si>
    <t>Smlouva o spolupráci_sanitní vozidlo_"ME v chůzi týmu 21.05.2023</t>
  </si>
  <si>
    <t>S-152/75030926/23</t>
  </si>
  <si>
    <t>Smlouva o spolupráci_sanitní vozidlo_zdravotní asistence_27.05.2023</t>
  </si>
  <si>
    <t>S-153/75030926/23</t>
  </si>
  <si>
    <t>Smlouva o spolupráci_sanitní vozidlo_závod Evropského poháru BMX_26.-28.5.2023</t>
  </si>
  <si>
    <t>S-154/75030926/23</t>
  </si>
  <si>
    <t>Smlouva o spolupráci_sanitní vozidlo_Dětský den_27.05.2023</t>
  </si>
  <si>
    <t>S-155/75030926/23</t>
  </si>
  <si>
    <t>Smlouva o spolupráci_sanitní vozidlo_Foxconn Family Day 2023_17.6.2023</t>
  </si>
  <si>
    <t>S-156/75030926/23</t>
  </si>
  <si>
    <t>Smlouva o spolupráci_Tomáš Drábek_5-7/2023</t>
  </si>
  <si>
    <t>S-157/75030926/23</t>
  </si>
  <si>
    <t>Smlouva o spolupráci_Jiří Béreš_5-7/2023</t>
  </si>
  <si>
    <t>S-158/75030926/23</t>
  </si>
  <si>
    <t>Smlouva o dílo-oprava VW Transporter T6 SPZ 5SJ 3178</t>
  </si>
  <si>
    <t>S-159/75030926/23</t>
  </si>
  <si>
    <t>S-160/75030926/23</t>
  </si>
  <si>
    <t>Smlouva o spolupráci_sanitní vozidlo_Olympie Kutná Hora_28.5.2023</t>
  </si>
  <si>
    <t>S-161/75030926/23</t>
  </si>
  <si>
    <t>Smlouva o dílo_oprava VW Transporter SPZ 2SD 2585</t>
  </si>
  <si>
    <t>S-162/75030926/23</t>
  </si>
  <si>
    <t>Smlouva o spolupráci_sanitní vozidlo_Den dětí_26.5.2023</t>
  </si>
  <si>
    <t>S-163/75030926/23</t>
  </si>
  <si>
    <t>Smlouva o zajištění stáže_MUDr. Markéta Bednářová_14.6.-27.7.2023</t>
  </si>
  <si>
    <t>S-164/75030926/23</t>
  </si>
  <si>
    <t>S M L O U V U   O ZŘÍZENÍ VĚCNÉHO BŘEMENE-SLUŽEBNOSTI č. RSD-7112/2023-2</t>
  </si>
  <si>
    <t>S-165/75030926/23</t>
  </si>
  <si>
    <t>Smlouva o spolupráci_sanitní vozidlo_Den otevřených dveří letiště Čáslav_20.5.23</t>
  </si>
  <si>
    <t>S-166/75030926/23</t>
  </si>
  <si>
    <t>Smlouva o spolupráci_sanitní vozidlo_fotbalové utkání v Příbrami_1.6.2023</t>
  </si>
  <si>
    <t>S-167/75030926/23</t>
  </si>
  <si>
    <t>Smlouva o spolupráci_sanitní vozidlo_Vítání léta na piv. dvoře_17.6.2023</t>
  </si>
  <si>
    <t>S-168/75030926/23</t>
  </si>
  <si>
    <t>Smlouva o spolupráci_sanitní vozidlo_Běh pro Jedličku_15.6.2023</t>
  </si>
  <si>
    <t>S-169/75030926/23</t>
  </si>
  <si>
    <t>Smlouva o spolupráci_sanitní vozidlo_prezentace techniky-Dětský den_3.6.2023</t>
  </si>
  <si>
    <t>S-172/75030926/23</t>
  </si>
  <si>
    <t>Smlouva o zajištění stáže_Jan Kořínek_3.-21.7.2023</t>
  </si>
  <si>
    <t>S-173/75030926/23</t>
  </si>
  <si>
    <t>Smlouva o zajištění stáže_Vladimír Šafránek_6-7/2023</t>
  </si>
  <si>
    <t>S-174/75030926/23</t>
  </si>
  <si>
    <t>S-175/75030926/23</t>
  </si>
  <si>
    <t>Smlouva o spolupráci_sanitní vozidlo_prezentace techniky při Dni děti s IZS_1.6.</t>
  </si>
  <si>
    <t>S-176/75030926/23</t>
  </si>
  <si>
    <t>Smlouva o spolupráci_sanitní vozidlo_asistence na Dětském dnu_3.6.2023</t>
  </si>
  <si>
    <t>S-177/75030926/23</t>
  </si>
  <si>
    <t>Kupní smlouva "Motor 7"</t>
  </si>
  <si>
    <t>S-178/75030926/23</t>
  </si>
  <si>
    <t>Smlouva o sdružených službách dodávky plynuEd. Urxe 1027, Neratovice</t>
  </si>
  <si>
    <t>S-180/75030926/23</t>
  </si>
  <si>
    <t>Smlouva o spolupráci_sanitní vozidlo_prezentace techniky_Dětský den_4.6.2023</t>
  </si>
  <si>
    <t>S-181/75030926/23</t>
  </si>
  <si>
    <t>Smlouva o spolupráci_sanitní vozidlo_prezentace techniky_Dětský den_10.6.2023</t>
  </si>
  <si>
    <t>S-182/75030926/23</t>
  </si>
  <si>
    <t>Smlouva o zajištění stáže_Petra Kvasničková_5-6/2023</t>
  </si>
  <si>
    <t>S-183/75030926/23</t>
  </si>
  <si>
    <t>Smlouva o zajištění stáže_Natálie Hulešová_6-7/2023</t>
  </si>
  <si>
    <t>S-184/75030926/23</t>
  </si>
  <si>
    <t>Smlouva o spolupráci_sanitní vozidlo_prezentace techniky_Dětský den_9.6.2023</t>
  </si>
  <si>
    <t>S-186/75030926/23</t>
  </si>
  <si>
    <t>Smlouva o zajištění stáže_Miroslav Tlamicha_6/2023</t>
  </si>
  <si>
    <t>S-187/75030926/23</t>
  </si>
  <si>
    <t>Smlouva o spoluprácisanitní vozidlo_prezentace techniky_125. výročí SDH_10.6.202</t>
  </si>
  <si>
    <t>S-188/75030926/23</t>
  </si>
  <si>
    <t>Smlouva o zajištění stáže_MUDr. Michaela Škopová_7.-30.6.2023</t>
  </si>
  <si>
    <t>S-189/75030926/23</t>
  </si>
  <si>
    <t>Smlouva o spolupráci_sanitní vozidlo_prezentace techniky-První pomoc pro všechny</t>
  </si>
  <si>
    <t>S-190/75030926/23</t>
  </si>
  <si>
    <t>Kupní smlouva - Taktické vesty - 3</t>
  </si>
  <si>
    <t>S-191/75030926/23</t>
  </si>
  <si>
    <t>Smlouva o zajištění stáže_MUDr. Monika Partišová_19.6.-30.6.2023</t>
  </si>
  <si>
    <t>S-192/75030926/23</t>
  </si>
  <si>
    <t>Smlouva o spolupráci_sanitní vozidlo_prezentace techniky_Dětský den,24.6.2023</t>
  </si>
  <si>
    <t>S-193/75030926/23</t>
  </si>
  <si>
    <t>Smlouva o zajištění stáže_MUDr. Kateřina Pokorná_12.6.-23.6.2023</t>
  </si>
  <si>
    <t>S-194/75030926/23</t>
  </si>
  <si>
    <t>Smlouva o spolupráci_sanitní vozidlo_asistence při soutěži_17.-18.6.2023</t>
  </si>
  <si>
    <t>S-195/75030926/23</t>
  </si>
  <si>
    <t>Bezúplatný převod_sanitní vůz VW Transporter, RZ: 2SD 2602, IČ UH1120119</t>
  </si>
  <si>
    <t>S-196/75030926/23</t>
  </si>
  <si>
    <t>Smlouva o spolupráci_sanitní vozidlo_prezentace techniky_Dětský den_24.6.2023</t>
  </si>
  <si>
    <t>S-197/75030926/23</t>
  </si>
  <si>
    <t>Smlouva o zajištění stáže_Jakub Klasna_7-11/2023</t>
  </si>
  <si>
    <t>S-198/75030926/23</t>
  </si>
  <si>
    <t>Smlouva o spolupráci_sanitní vozidlo_prezentace techniky_Den děti_17.6.2023</t>
  </si>
  <si>
    <t>S-199/75030926/23</t>
  </si>
  <si>
    <t>Smlouva o spolupráci_sanitní vozidlo_asistence při fotbal.turnaji_24.6.2023</t>
  </si>
  <si>
    <t>S-200/75030926/23</t>
  </si>
  <si>
    <t>Smlouva o spolupráci_sanitní vozidlo_prezentace techniky_1.7.2023</t>
  </si>
  <si>
    <t>S-201/75030926/23</t>
  </si>
  <si>
    <t>Smlouva o spolupráci_sanitní vozidlo_prezentace techniky_800 let založení_1.7.23</t>
  </si>
  <si>
    <t>S-202/75030926/23</t>
  </si>
  <si>
    <t>Smlouva o spolupráci_sanitní vozidlo_prezentace"Bezpečný den"_9.6.2023</t>
  </si>
  <si>
    <t>S-203/75030926/23</t>
  </si>
  <si>
    <t>Smlouva o zajištění stáže_Jan Kořínek_7-8/2023</t>
  </si>
  <si>
    <t>S-204/75030926/23</t>
  </si>
  <si>
    <t>Smlouva o spolupráci_sanitní vozidlo_Posedlí Dakarem Open Air_5.8.2023</t>
  </si>
  <si>
    <t>S-205/75030926/23</t>
  </si>
  <si>
    <t>Smlouva o zajištění stáže_Martin Rataj_26.6-15.9.2023</t>
  </si>
  <si>
    <t>S-206/75030926/23</t>
  </si>
  <si>
    <t>S-207/75030926/23</t>
  </si>
  <si>
    <t>Smlouva o spolupráci_sanitní vozidlo_prezentace techniky_15.6.2023</t>
  </si>
  <si>
    <t>S-212/75030926/23</t>
  </si>
  <si>
    <t>Kupní smlouva "Motor 8"</t>
  </si>
  <si>
    <t>S-213/75030926/23</t>
  </si>
  <si>
    <t>S-214/75030926/23</t>
  </si>
  <si>
    <t>Smlouva o spolupráci_san. vozidlo_prezentace techniky_Mnich.Hradiště_24.7.2023</t>
  </si>
  <si>
    <t>S-215/75030926/23</t>
  </si>
  <si>
    <t>Smlouva o spolupráci_sanitní vozidlo_prezentace techniky_v Kradrubech_5.8.2023</t>
  </si>
  <si>
    <t>S-216/75030926/23</t>
  </si>
  <si>
    <t>Smlouva o zajištění stáže_Miloslav Růžička_7-8/2023</t>
  </si>
  <si>
    <t>S-218/75030926/23</t>
  </si>
  <si>
    <t>Smlouva o bezúplatném převodu_VW Transporter_PBA 6304</t>
  </si>
  <si>
    <t>S-219/75030926/23</t>
  </si>
  <si>
    <t>Smlouva o bezúplatném převodu_ RZ: 3SU 6716_5S7 8498</t>
  </si>
  <si>
    <t>S-220/75030926/23</t>
  </si>
  <si>
    <t>Kupní smlouva_sanitní vůz VW transporter_3SU 6715</t>
  </si>
  <si>
    <t>S-221/75030926/23</t>
  </si>
  <si>
    <t>Smlouva o zajištění stáže_MUDr. Kristina Čechalová_3.-31.7.2023</t>
  </si>
  <si>
    <t>S-222/75030926/23</t>
  </si>
  <si>
    <t>Smlouva o zajištění stáže_Jan Červenka_6-12/2023</t>
  </si>
  <si>
    <t>S-223/75030926/23</t>
  </si>
  <si>
    <t>Smlouva o zajištění stáže_Lukáš Vačlena_7-9/2023</t>
  </si>
  <si>
    <t>S-224/75030926/23</t>
  </si>
  <si>
    <t>Kupní smlouva - Kapnografy</t>
  </si>
  <si>
    <t>S-225/75030926/23</t>
  </si>
  <si>
    <t>Smlouva o dílo_oprava vozidla VW Transporter T5 SPZ 2SD 2556</t>
  </si>
  <si>
    <t>S-228/75030926/23</t>
  </si>
  <si>
    <t>Smlouva o spolupráci_sanitní vozidlo_"Během Třebotovem_9.9.2023</t>
  </si>
  <si>
    <t>S-229/75030926/23</t>
  </si>
  <si>
    <t>Smlouva o spolupráci_sanitní vozidlo_prezentace techniky_140.výročí_23.9.2023</t>
  </si>
  <si>
    <t>S-230/75030926/23</t>
  </si>
  <si>
    <t>Smlouva o spolupráci_sanitní vozidlo_dětský tábor v Soběšíně 76</t>
  </si>
  <si>
    <t>S-231/75030926/23</t>
  </si>
  <si>
    <t>Smlouva o spolupráci_sanitní vozidlo_Den prevence města Benešov_16.9.2023</t>
  </si>
  <si>
    <t>S-232/75030926/23</t>
  </si>
  <si>
    <t>Smlouva o spolupráci_sanitní vozidlo_kurz Hotzone Solutions B.V_28-31-8.2023</t>
  </si>
  <si>
    <t>S-234/75030926/23</t>
  </si>
  <si>
    <t>Smlouva o zajištění stáže_MUDr. Jana Horázná_9-10/2023</t>
  </si>
  <si>
    <t>S-236/75030926/23</t>
  </si>
  <si>
    <t>Smlouva o zajištění stáže_MUDr. Kaateřina Procházková_10/2023</t>
  </si>
  <si>
    <t>S-237/75030926/23</t>
  </si>
  <si>
    <t>Smlouva o zajištění stáže_MUDr. Natálie Křížová, roz. Kavuloková_</t>
  </si>
  <si>
    <t>S-238/75030926/23</t>
  </si>
  <si>
    <t>Kupní smlouva - Alkoholtestery</t>
  </si>
  <si>
    <t>S-240/75030926/23</t>
  </si>
  <si>
    <t>Smlouva o zajištěnrí stáže_MUDr. Kristina Čechalová_1.8.-31.8.2023</t>
  </si>
  <si>
    <t>S-241/75030926/23</t>
  </si>
  <si>
    <t>Smlouva o spolupráci_sanití vozidlo_prezentace techniky_Buštěhrad_26.08.2023</t>
  </si>
  <si>
    <t>S-242/75030926/23</t>
  </si>
  <si>
    <t>Smlouva o zajištění stáže_Petr Nemerád_1.8.-31.12.2023</t>
  </si>
  <si>
    <t>catering</t>
  </si>
  <si>
    <t>S-244/75030926/23</t>
  </si>
  <si>
    <t>Smlouva na zajištění cateringové akce pro kongres ZZS SK II.</t>
  </si>
  <si>
    <t>S-246/75030926/23</t>
  </si>
  <si>
    <t>Smlouva o podnájmu nemovité věci_budova č.p.270, MODRÁ LODĚNICE</t>
  </si>
  <si>
    <t>S-248_75030926_23</t>
  </si>
  <si>
    <t>Smluva o spolupráci_prezentace techniky, Den pro děti, 9.9.2023</t>
  </si>
  <si>
    <t>S-249/75030926/23</t>
  </si>
  <si>
    <t>Smlouva o spolupráci_sanitní vozidlo_OTK Group Kolín _9.9.2023</t>
  </si>
  <si>
    <t>S-250/75030926/23</t>
  </si>
  <si>
    <t>Smlouva o zajištění stáže_MUDr. Pavla Stachoňová_9/2023</t>
  </si>
  <si>
    <t>S-251/75030926/23</t>
  </si>
  <si>
    <t>Smlouva o zajištění stáže_MUDr. Barbora Klinková_9/2023</t>
  </si>
  <si>
    <t>S-252/75030926/23</t>
  </si>
  <si>
    <t>Smlouva o zajištění stáže_Kateřina Novotná_9-12/2023</t>
  </si>
  <si>
    <t>S-253/75030926/23</t>
  </si>
  <si>
    <t>Smlouva o spolupráci_sanitní vozidlo_prezentace techniky_Den se složkami_9.9.23</t>
  </si>
  <si>
    <t>S-254/75030926/23</t>
  </si>
  <si>
    <t>Smlouva o zajištění stáže_Jakub Štefka_10/2023</t>
  </si>
  <si>
    <t>S-255/75030926/23</t>
  </si>
  <si>
    <t>S-256/75030926/23</t>
  </si>
  <si>
    <t>Smlouva o spolupráci_sanitní vozidlo_prezentace techniky_Den hasičů_2.9.2023</t>
  </si>
  <si>
    <t>S-257/75030926/23</t>
  </si>
  <si>
    <t>Smlouva o zajištění stáže_Ing. Matyáš Boháč_9/2023</t>
  </si>
  <si>
    <t>S-258/75030926/23</t>
  </si>
  <si>
    <t>Smlouva o zajištění stáže_Ing. Matyáš Boháč_10/2023</t>
  </si>
  <si>
    <t>S-259/75030926/23</t>
  </si>
  <si>
    <t>Smlouva o spolupráci_sanitní vozidlo_v ARÉNĚ v Mladé Boleslavi_9/2023</t>
  </si>
  <si>
    <t>S-261/75030926/23</t>
  </si>
  <si>
    <t>Smlouva o zajištění stáže_MUDr. Jakub Jurčák_6/2023</t>
  </si>
  <si>
    <t>S-264/75030926/23</t>
  </si>
  <si>
    <t>Smlouva o spolupráci_sanitní voidlo_slavností ohňostroj - Mělnické vinobraní</t>
  </si>
  <si>
    <t>S-265/75030926/23</t>
  </si>
  <si>
    <t>Kupní smlouva_Motor 10</t>
  </si>
  <si>
    <t>S-266/75030926/23</t>
  </si>
  <si>
    <t>Smlouva o dílo_Polep oken objektu ZZS Kladno</t>
  </si>
  <si>
    <t>S-267/75030926/23</t>
  </si>
  <si>
    <t>Kupní smlouva_nákladní přívěs záchranářský</t>
  </si>
  <si>
    <t>S-268/75030926/23</t>
  </si>
  <si>
    <t>Smlouva o dílo - oprava vozidla tov. značka VW Transporter SPZ 5SB 1801</t>
  </si>
  <si>
    <t>S-269/75030926/23</t>
  </si>
  <si>
    <t>Smlouva o dílo - oprava vozidla tov. značka VW Transporter SPZ 3SU 6604</t>
  </si>
  <si>
    <t>S-270/75030926/23</t>
  </si>
  <si>
    <t>Smlouva o dílo - oprava vozidla tov. značka VW Transporter SPZ 4SF 0520</t>
  </si>
  <si>
    <t>S-272/75030926/23</t>
  </si>
  <si>
    <t>Kupní smlouva - Motor 9</t>
  </si>
  <si>
    <t>S-273/75030926/23</t>
  </si>
  <si>
    <t>Smlouva o spolupráci_sanitní vozidlo_Gladiator s fight night_Mladá Bolesla_23.9.</t>
  </si>
  <si>
    <t>S-274/75030926/23</t>
  </si>
  <si>
    <t>Smlouva o zajištění stáže_Veronika Novotná_9-10/2023</t>
  </si>
  <si>
    <t>S-275/75030926/23</t>
  </si>
  <si>
    <t>Nájemní smlouva_Kongresové centrum 14.09.2023 od 13:00 do 20.00</t>
  </si>
  <si>
    <t>S-277/75030926/23</t>
  </si>
  <si>
    <t>Smlouva o spolupráci_sanitní vozidlo_Den otevřených dveří v zámku Lány_14.9.2023</t>
  </si>
  <si>
    <t>S-279/75030926/23</t>
  </si>
  <si>
    <t>Kupní smlouva "Motor 11"</t>
  </si>
  <si>
    <t>S-281/75030926/23</t>
  </si>
  <si>
    <t>Smlouva o zajištění stáže, Zuzana Kapustová, 18.-22.9/2023, Benešov</t>
  </si>
  <si>
    <t>S-282/75030926/23</t>
  </si>
  <si>
    <t>Smlouva o zajištění stáže, Alexandra Birndtová, 9-12/23, Nymburk</t>
  </si>
  <si>
    <t>S-283/75030926/23</t>
  </si>
  <si>
    <t>Smlouva o zajištění zdravotnického dozoru, 8.10.23, ZZS Mladá Boleslav</t>
  </si>
  <si>
    <t>S-284/75030926/23</t>
  </si>
  <si>
    <t>Smlouva o zajištění zdravotnického dozoru, 27.9.23, ZZS Rakovník</t>
  </si>
  <si>
    <t>S-288/75030926/23</t>
  </si>
  <si>
    <t>Smlouva o zajištění stáže, Jan červenka, 10-12/2023, Brandýs nad Labem</t>
  </si>
  <si>
    <t>S-290/75030926/23</t>
  </si>
  <si>
    <t>Kupní smlouva_"Motor 12"</t>
  </si>
  <si>
    <t>S-291/75030926/23</t>
  </si>
  <si>
    <t>Kupní smlouva "Softwarové licence"</t>
  </si>
  <si>
    <t>S-293/75030926/23</t>
  </si>
  <si>
    <t>Kupní smlouva_Figuríny pro výuku BLS - dospělý, kojenec</t>
  </si>
  <si>
    <t>S-294/75030926/23</t>
  </si>
  <si>
    <t>Kupní smlouva_Figuríny pro výuku BLS - junior</t>
  </si>
  <si>
    <t>S-295/75030926/23</t>
  </si>
  <si>
    <t>Kupní smlouva_"Zimní pneumatiky 2023"</t>
  </si>
  <si>
    <t>S-296/75030926/23</t>
  </si>
  <si>
    <t>Smlouva o zajištění stáže_Tomáš Kudrnovský_30.10.-7.11.2023</t>
  </si>
  <si>
    <t>S-297/75030926/23</t>
  </si>
  <si>
    <t>Smlouva o zajištění stáže_Jolana Vršecká_1.-14.11.2023_Sedlčany</t>
  </si>
  <si>
    <t>S-299/75030926/23</t>
  </si>
  <si>
    <t>Smlouva o zajištění zdravotnického dozoru_13.10.2023_prez. zdr.techniky_Příbram</t>
  </si>
  <si>
    <t>S-300/75030926/23</t>
  </si>
  <si>
    <t>Smlouva o zajištění zdravotnického dozoru_3.11.2023_Beroun</t>
  </si>
  <si>
    <t>S-301/75030926/23</t>
  </si>
  <si>
    <t>Smlouva o zajištění stáže_MUDr.Kristýna Vítková_1.-17.11.2023_Kladno</t>
  </si>
  <si>
    <t>S-302/75030926/23</t>
  </si>
  <si>
    <t>Smlouva o zajištění stáže_MUDr.Marcela Chudá_9.-22.10.2023_Beroun</t>
  </si>
  <si>
    <t>S-303/75030926/23</t>
  </si>
  <si>
    <t>Smlouva o zajištění stáže_Magdaléna Sadílková_10.-12./2023_Benešov</t>
  </si>
  <si>
    <t>S-306/75030926/23</t>
  </si>
  <si>
    <t>Smlouva o zajištění stáže, Bc. Roman Pošta, Zdiby, 12/2023</t>
  </si>
  <si>
    <t>S-307/75030926/23</t>
  </si>
  <si>
    <t>Kupní smlouva_Taktická škrtidla Tourniquet CAT 7</t>
  </si>
  <si>
    <t>S-310/75030926/23</t>
  </si>
  <si>
    <t>Zajištění stáže Zuzana Sirotková, 10 dnů, 10-12/2023</t>
  </si>
  <si>
    <t>S-311/75030926/23</t>
  </si>
  <si>
    <t>zajištění stáže, Vojtěch Hambálek, 10 dní stáže, 10-12/2023</t>
  </si>
  <si>
    <t>S-313/75030926/23</t>
  </si>
  <si>
    <t>Zajištění stáže Petr Šimůnek, Příbram, 18.-29.12.23</t>
  </si>
  <si>
    <t>S-314/75030926/23</t>
  </si>
  <si>
    <t>Zajištění stáže, Pavlína Karásková,Březnice, 11/2023</t>
  </si>
  <si>
    <t>S-315/75030926/23</t>
  </si>
  <si>
    <t>Zajištění stáže, MUDr. Kristýna Kopecká, Říčany, 11/2023</t>
  </si>
  <si>
    <t>S-316/75030926/23</t>
  </si>
  <si>
    <t>Zajištění stáže, MUDr. Tereza Bartošová, 10-11/23, Příbram</t>
  </si>
  <si>
    <t>S-317/75030926//23</t>
  </si>
  <si>
    <t>Zdravotnický dozor, 8.11.2023, prezentace techniky, Nymburk</t>
  </si>
  <si>
    <t>S-322/75030926/23</t>
  </si>
  <si>
    <t>Přístroje pro monitoraci SpO2, SpCO, karboxyhemoglobinu a methemoglobin</t>
  </si>
  <si>
    <t>S-324/75030926/23</t>
  </si>
  <si>
    <t>Zdravotnický dozor, VZ Příbram, 27.-30.11.</t>
  </si>
  <si>
    <t>S-326/75030926/23</t>
  </si>
  <si>
    <t>Zajištění praxe, MUDr. Vernerová Barbora, 16.-31.12., Kladno</t>
  </si>
  <si>
    <t>S-327/75030926/23</t>
  </si>
  <si>
    <t>Zajištění stáže, MUDr. Anna Vaňková, 11-12/2023</t>
  </si>
  <si>
    <t>S-336/75030926/23</t>
  </si>
  <si>
    <t>Zajištění stáže, Petra Kvasničková, 10/2023</t>
  </si>
  <si>
    <t>S-341/75030926/23</t>
  </si>
  <si>
    <t>Kupní smlouva_"MOTOR 13"</t>
  </si>
  <si>
    <t>S-342/75030926/23</t>
  </si>
  <si>
    <t>Kupní smlouva_"MOTOR 14"</t>
  </si>
  <si>
    <t>S-348/75030926/23</t>
  </si>
  <si>
    <t>Zajištění stáže, Petra Kvasničková, 6.-17.11.23</t>
  </si>
  <si>
    <t>S-349/75030926/23</t>
  </si>
  <si>
    <t>Zajištění praxe, Patrície Kasíková, 11-12/2023, Kladno</t>
  </si>
  <si>
    <t>S-350/75030926/23</t>
  </si>
  <si>
    <t>Zajištění praxe, Patricie Kasíková, ZOS, 11-12-2023</t>
  </si>
  <si>
    <t>S-351/75030926/23</t>
  </si>
  <si>
    <t>Zajištění praxe, Ing. Tereza Nosková, 10-12/23</t>
  </si>
  <si>
    <t>S-352/75030926/23</t>
  </si>
  <si>
    <t>Zajištění praxe, Jakub Štefka, Mělník, 1/2024</t>
  </si>
  <si>
    <t>S-001/75030926/24</t>
  </si>
  <si>
    <t>Zdravotnický dozor, 6.12.2023, VZ Rakovník</t>
  </si>
  <si>
    <t>S-002/75030926/24</t>
  </si>
  <si>
    <t>Zajištění stáže, Olga Brožková, Vlašim, 8 dnů během 2023</t>
  </si>
  <si>
    <t>S-009/75030926/24</t>
  </si>
  <si>
    <t>Zdravotnický dozor, Otužilecké závody, 13.1. MB</t>
  </si>
  <si>
    <t>Sml.krátkodob.pronáj</t>
  </si>
  <si>
    <t>S-012/75030926/24</t>
  </si>
  <si>
    <t>Sml.o krátkodobém pronájmu KD Svět 12.1.2024_První pomoc se záchranářem Markem</t>
  </si>
  <si>
    <t>S-014/75030926/24</t>
  </si>
  <si>
    <t>S-017/75030926/24</t>
  </si>
  <si>
    <t>Zdravotnický dozor, poskytnutí vozidla a posádky při natáčení, 11.1.2024</t>
  </si>
  <si>
    <t>S-018/75030926/24</t>
  </si>
  <si>
    <t>Zdravotnický dozor, RLP Příbram, 27.1.2024</t>
  </si>
  <si>
    <t>S-023/75030926/24</t>
  </si>
  <si>
    <t>Zajištění praxe, Aneta Pučanová, PV, 1/2024</t>
  </si>
  <si>
    <t>ĆEKÁ NA PODPIS</t>
  </si>
  <si>
    <t>S-033/75030926/24</t>
  </si>
  <si>
    <t>Smlouva o svozu a likvidaci odpadu Město Krásná Hora 2024</t>
  </si>
  <si>
    <t>No.</t>
  </si>
  <si>
    <t>A / N</t>
  </si>
  <si>
    <t>ČÍSLO SML - ZZS SK</t>
  </si>
  <si>
    <t>ÚSEK</t>
  </si>
  <si>
    <t>DRUH</t>
  </si>
  <si>
    <t>NÁZEV FIRMY</t>
  </si>
  <si>
    <t>IČO</t>
  </si>
  <si>
    <t>NÁZEV SML</t>
  </si>
  <si>
    <t>POPIS SML</t>
  </si>
  <si>
    <t>PŘEDMĚT SML</t>
  </si>
  <si>
    <t>DATUM UZAVŘENÍ</t>
  </si>
  <si>
    <t>DATUM OD</t>
  </si>
  <si>
    <t>DATUM DO</t>
  </si>
  <si>
    <t>PERIODA</t>
  </si>
  <si>
    <t>HODNOTA</t>
  </si>
  <si>
    <t>UKONČENÍ</t>
  </si>
  <si>
    <t>HODNOTA S DPH V RS</t>
  </si>
  <si>
    <t>ID REGISTR SMLUV</t>
  </si>
  <si>
    <t>DATUM ZVEŘEJNĚNÍ</t>
  </si>
  <si>
    <t>číslo jednací</t>
  </si>
  <si>
    <t>Kontrola</t>
  </si>
  <si>
    <t>LICENCE</t>
  </si>
  <si>
    <t>Mgr. Lenka Daňková</t>
  </si>
  <si>
    <t>76141227</t>
  </si>
  <si>
    <t>A</t>
  </si>
  <si>
    <t>ÚNLZP</t>
  </si>
  <si>
    <t>VÝPŮJČKA</t>
  </si>
  <si>
    <t>Krajské ředitelství policie Středočeského kraje</t>
  </si>
  <si>
    <t>75151481</t>
  </si>
  <si>
    <t>OK</t>
  </si>
  <si>
    <t>BEZÚPL. PŘEVOD</t>
  </si>
  <si>
    <t>SPOLUPRÁCE</t>
  </si>
  <si>
    <t>ÚLé</t>
  </si>
  <si>
    <t>PRACOVNĚLÉKAŘSKÉ SLUŽBY</t>
  </si>
  <si>
    <t xml:space="preserve"> MUDr. Jana Bačovská</t>
  </si>
  <si>
    <t>STÁŽ</t>
  </si>
  <si>
    <t>MUDr. Helena Veselá</t>
  </si>
  <si>
    <t>75095432</t>
  </si>
  <si>
    <t>Národní zemědělské muzeum, s.p.o.</t>
  </si>
  <si>
    <t>75075741</t>
  </si>
  <si>
    <t xml:space="preserve">Asociace TOM ČR, TOM 19195 TÁBORNÍCI </t>
  </si>
  <si>
    <t>DOZOR</t>
  </si>
  <si>
    <t>Základní škola a mateřská škola Všetaty - okres Mělník, příspěvková organizace</t>
  </si>
  <si>
    <t>75033861</t>
  </si>
  <si>
    <t>Mateřská škola Pyšely, okres Benešov</t>
  </si>
  <si>
    <t>75031671</t>
  </si>
  <si>
    <t>Zdravotnická záchranná služba Středočeského kraje, příspěvková organizace</t>
  </si>
  <si>
    <t xml:space="preserve">Základní škola a Mateřská škola Kosova Hora </t>
  </si>
  <si>
    <t>ÚPT</t>
  </si>
  <si>
    <t>PRONÁJEM</t>
  </si>
  <si>
    <t>Úřad práce České republiky</t>
  </si>
  <si>
    <t>72496991</t>
  </si>
  <si>
    <t>NÁJEM - DOHODA O UKONČENÍ</t>
  </si>
  <si>
    <t>Krajské ředitelství policie Pardubického kraje</t>
  </si>
  <si>
    <t>OIT</t>
  </si>
  <si>
    <t>SLUŽBY</t>
  </si>
  <si>
    <t>PRÁVNÍ SLUŽBY</t>
  </si>
  <si>
    <t>Mgr. Vladimír Kolář</t>
  </si>
  <si>
    <t>Právní služby_nemajetková újma</t>
  </si>
  <si>
    <t>ÚPer</t>
  </si>
  <si>
    <t>Olejníček Jan, JUDr., advokát</t>
  </si>
  <si>
    <t>NÁJEM</t>
  </si>
  <si>
    <t>MKSH, příspěvková organizace , Hostivice</t>
  </si>
  <si>
    <t>JEDNA A TA SAMÁ SMLOUVA POD DVĚMA ČÍSLY?</t>
  </si>
  <si>
    <t>NÁJEM - DOHODA O NAROVNÁNÍ</t>
  </si>
  <si>
    <t>ZOS</t>
  </si>
  <si>
    <t>VÝPŮJČKA - AED</t>
  </si>
  <si>
    <t xml:space="preserve">Generální ředitelství cel </t>
  </si>
  <si>
    <t>Domov seniorů Nové Strašecí, poskytovatel sociálních služeb</t>
  </si>
  <si>
    <t>Záchranný sbor Česká republika - jednotka Náchod</t>
  </si>
  <si>
    <t xml:space="preserve">VÝPŮJČKA </t>
  </si>
  <si>
    <t>Mateřská škola Kouřim, okres Kolín příspěvková organizace</t>
  </si>
  <si>
    <t>Základní škola Tuchlovice , okres Kladno</t>
  </si>
  <si>
    <t>Základní škola a Mateřská škola Kolešovice, okres Rakovník</t>
  </si>
  <si>
    <t>Pardubický kraj</t>
  </si>
  <si>
    <t>Ústecký kraj</t>
  </si>
  <si>
    <t>Liberecký kraj</t>
  </si>
  <si>
    <t>ÚEko</t>
  </si>
  <si>
    <t>Středočeský kraj</t>
  </si>
  <si>
    <t>ENERGIE</t>
  </si>
  <si>
    <t>SPOLUPRÁCE - POMOC NA VYŽÁDÁNÍ</t>
  </si>
  <si>
    <t>PLNÁ MOC</t>
  </si>
  <si>
    <t>POJIŠTĚNÍ</t>
  </si>
  <si>
    <t>24484475</t>
  </si>
  <si>
    <t>PŘÍSTUP DO APLIKACE</t>
  </si>
  <si>
    <t>Kraj Vysočina</t>
  </si>
  <si>
    <t>Jihočeský kraj</t>
  </si>
  <si>
    <t>Plzeňský kraj</t>
  </si>
  <si>
    <t>Povodí Vltavy, státní podnik</t>
  </si>
  <si>
    <t>Královéhradecký kraj</t>
  </si>
  <si>
    <t xml:space="preserve">Hasičský záchranný sbor Středočeského kraje </t>
  </si>
  <si>
    <t>VÝPŮJČKA + ENERGIE</t>
  </si>
  <si>
    <t>15264215</t>
  </si>
  <si>
    <t xml:space="preserve">15264235, 18357711 </t>
  </si>
  <si>
    <t>28.4.2021, 21.03.2022</t>
  </si>
  <si>
    <t>NÁJEM + SLUŽBY</t>
  </si>
  <si>
    <t>Dětský domov a Školní jídelna, Zruč nad Sázavou, Poštovní 593</t>
  </si>
  <si>
    <t>zveřejnila protistrana_ID 17613439</t>
  </si>
  <si>
    <t xml:space="preserve">RALLYE REJVÍZ z.s. </t>
  </si>
  <si>
    <t>POSLEDNÍ DODATEK V ROCE 2012, STÁLE ÚZEMNÍ SŘEDISKO</t>
  </si>
  <si>
    <t>PRAXE</t>
  </si>
  <si>
    <t>MUDr. Lucie JORDÁKOVÁ</t>
  </si>
  <si>
    <t xml:space="preserve">Jagello 2000, z.s. </t>
  </si>
  <si>
    <t>Státní ústav jaderné, chemické a biologické ochrany, v. v. i.</t>
  </si>
  <si>
    <t>KOMUNIKAČNÍ SLUŽBY</t>
  </si>
  <si>
    <t xml:space="preserve">Český telekomunikační úřad </t>
  </si>
  <si>
    <t>ÚŘe</t>
  </si>
  <si>
    <t>FZŠ_VOZY</t>
  </si>
  <si>
    <t>Česká kancelář pojistitelů</t>
  </si>
  <si>
    <t>70099618</t>
  </si>
  <si>
    <t>22449789, 26382671</t>
  </si>
  <si>
    <t>13.04.2023, 5.4.2024</t>
  </si>
  <si>
    <t>FZŠ_TABLETY</t>
  </si>
  <si>
    <t>PROJEKTOVÁ DOKUMENTACE</t>
  </si>
  <si>
    <t>Mag.arch. Jaroslav Trávníček</t>
  </si>
  <si>
    <t>SPOLUPRÁCE - MEMORANDUM</t>
  </si>
  <si>
    <t>České vysoké učení technické v Praze</t>
  </si>
  <si>
    <t>MUDr. Petr SIROTEK</t>
  </si>
  <si>
    <t>Sportovní klub policie Kolín, z.s.</t>
  </si>
  <si>
    <t>Ředitelství silnic a dálnic s. p.</t>
  </si>
  <si>
    <t>PRÁVA A POVINNISTI - STAVBA</t>
  </si>
  <si>
    <t>Smlouva o smlouvě budoucí</t>
  </si>
  <si>
    <t>VĚCNÉ BŘEMENO</t>
  </si>
  <si>
    <t>SH ČMS - Sbor dobrovolných hasičů Svatý Mikuláš</t>
  </si>
  <si>
    <t>Richard Vyšata</t>
  </si>
  <si>
    <t>Vodní záchranná služba ČČK Praha 6, pobočný spolek</t>
  </si>
  <si>
    <t>SH ČMS - Sbor dobrovolných hasičů Trhový Štěpánov</t>
  </si>
  <si>
    <t>SH ČMS - Sbor dobrovolných hasičů Rohozec</t>
  </si>
  <si>
    <t xml:space="preserve">T-Mobile Czech Republic a.s. </t>
  </si>
  <si>
    <t>11 DODATKŮ, NUTNO ZKONTROLOVAT A ASI ZAJISTIT NOVOU SMLOUVU?</t>
  </si>
  <si>
    <t>NENÍ DOBA PLATNOSTI SMLOUVY, STÁLE ÚZEMNÍ STŘEDISKO</t>
  </si>
  <si>
    <t>ÚZEMNÍ STŘEDISKO , NUTNO ZKONTROLOVAT</t>
  </si>
  <si>
    <t>ANALYSIS s.r.o.</t>
  </si>
  <si>
    <t>SH ČMS - Sbor dobrovolných hasičů Roztoky</t>
  </si>
  <si>
    <t>SH ČMS - Sbor dobrovolných hasičů Tatce</t>
  </si>
  <si>
    <t>KUPNÍ</t>
  </si>
  <si>
    <t>Medtronic Czechia s.r.o.</t>
  </si>
  <si>
    <t>64583562</t>
  </si>
  <si>
    <t>MUDr. Vanda ŘEZNÍČKOVÁ</t>
  </si>
  <si>
    <t>FOSAN s.r.o.</t>
  </si>
  <si>
    <t>RÁMCOVÁ</t>
  </si>
  <si>
    <t>MEDIROL s.r.o.</t>
  </si>
  <si>
    <t>SPOLUPRÁCE POJIŠTĚNÍ</t>
  </si>
  <si>
    <t xml:space="preserve">Generali penzijní fond, a.s. </t>
  </si>
  <si>
    <t>příspěvky na penzijní připojištění</t>
  </si>
  <si>
    <t>STÁLE VEDENO JAKO ÚZEMNÍ STŘEDISKO, NENÍ DATUM PODPISU SMLOUVY</t>
  </si>
  <si>
    <t>DOWELL spol. s r.o.</t>
  </si>
  <si>
    <t>STÁLE VEDENO JAKO ÚZEMNÍ STŘEDISKO</t>
  </si>
  <si>
    <t xml:space="preserve">MEDIPRAX CB s.r.o. </t>
  </si>
  <si>
    <t>SH ČMS - Sbor dobrovolných hasičů Kněževes</t>
  </si>
  <si>
    <t xml:space="preserve">Vodní záchranná služba ČČK, z.s. </t>
  </si>
  <si>
    <t>SH ČMS - Okresní sdružení hasičů Benešov</t>
  </si>
  <si>
    <t>RCS Kladno, s.r.o.</t>
  </si>
  <si>
    <t>1322314 bez DPH</t>
  </si>
  <si>
    <t>ELEKTA, s.r.o.</t>
  </si>
  <si>
    <t>SH ČMS - Sbor dobrovolných hasičů Pchery</t>
  </si>
  <si>
    <t>62978985</t>
  </si>
  <si>
    <t>HYGOTREND, s.r.o.</t>
  </si>
  <si>
    <t>Městské tepelné hospodářství Kolín, spol. s r.o.</t>
  </si>
  <si>
    <t>f.a.s yachting, s.r.o.</t>
  </si>
  <si>
    <t>BÜROPROFI s.r.o.</t>
  </si>
  <si>
    <t>SH ČMS - Sbor dobrovolných hasičů Vinařice</t>
  </si>
  <si>
    <t>Bohumil Boura</t>
  </si>
  <si>
    <t>OPRAVA</t>
  </si>
  <si>
    <t>W.H.A. system, spol. s r. o.</t>
  </si>
  <si>
    <t>Základní škola a Mateřská škola Červené Pečky, okres Kolín</t>
  </si>
  <si>
    <t>ODPAD</t>
  </si>
  <si>
    <t>RUMPOLD-P s.r.o.</t>
  </si>
  <si>
    <t>"SCHWARZ s.r.o."</t>
  </si>
  <si>
    <t>Dům dětí a mládeže, Nymburk, 2. května 968</t>
  </si>
  <si>
    <t>Bc. Radim Ivan</t>
  </si>
  <si>
    <t>NÁJEM + ENERGIE</t>
  </si>
  <si>
    <t xml:space="preserve">Střední zemědělská škola, Brandýs nad Labem - Stará Boleslav, Zápská 302 </t>
  </si>
  <si>
    <t>VE VEMĚ JE DATUM UZAVŘENÍ NESPRÁVNÉ, NELZE UPRAVIT KVŮLI ZVEŘEJNĚNÍ V RS;DATUM VÝPŮJČKY JE DO 30.8.2023, BYLO PŘEDÁNO ZPĚT A MŮŽE SE ODLOŽIT?</t>
  </si>
  <si>
    <t>Český svaz mentálně postižených sportovců, z.s.</t>
  </si>
  <si>
    <t>Ústřední vojenská nemocnice - Vojenská fakultní nemocnice Praha</t>
  </si>
  <si>
    <t>MAXIMA pojišťovna, a.s.</t>
  </si>
  <si>
    <t>zveřejnil SK_ID 10390572</t>
  </si>
  <si>
    <t>Vyšší odborná škola a Střední odborná škola, Březnice, Rožmitálská 340</t>
  </si>
  <si>
    <t>STADA PHARMA CZ s.r.o.</t>
  </si>
  <si>
    <t xml:space="preserve">ista Česká republika s.r.o. </t>
  </si>
  <si>
    <t>NUTNO ZKONTROLOVAT, STÁLE JI VYUŽÍVÁME?</t>
  </si>
  <si>
    <t xml:space="preserve">B&amp;P Research s.r.o. </t>
  </si>
  <si>
    <t>480 000 bez DPH</t>
  </si>
  <si>
    <t>ESCAD Trade s.r.o.</t>
  </si>
  <si>
    <t>ZÁVĚRKA - PLYN</t>
  </si>
  <si>
    <t xml:space="preserve">Pražská plynárenská, a.s. </t>
  </si>
  <si>
    <t>O2 Czech Republic a.s.</t>
  </si>
  <si>
    <t>Ministerstvo obrany</t>
  </si>
  <si>
    <t>JNL s.r.o.</t>
  </si>
  <si>
    <t>synlab czech s.r.o.</t>
  </si>
  <si>
    <t>NUTNÁ KONTROLA</t>
  </si>
  <si>
    <t>FCC HP, s.r.o.</t>
  </si>
  <si>
    <t>BENU Česká republika s.r.o.</t>
  </si>
  <si>
    <t>T.O.P. UMWELT, spol. s r.o.</t>
  </si>
  <si>
    <t>Služby</t>
  </si>
  <si>
    <t>Domov Mladá, poskytovatel sociálních služeb</t>
  </si>
  <si>
    <t>Martin Kodet</t>
  </si>
  <si>
    <t>Záchranná služba Asociace samaritánů ČR Kralupy nad Vltavou z.s.</t>
  </si>
  <si>
    <t>PŘEDNEMOC. PÉČE</t>
  </si>
  <si>
    <t>31.12.9999??</t>
  </si>
  <si>
    <t>MÁ TO 14 DODATKŮ A POSLEDNÍ JE V ROCE 2014, PLATÍ JEŠTĚ TATO SMLOUVA?</t>
  </si>
  <si>
    <t>JAKÁ JE HODNOTA DETEKTORŮ?</t>
  </si>
  <si>
    <t>Správa Pražského hradu</t>
  </si>
  <si>
    <t>AVE CZ odpadové hospodářství s.r.o.</t>
  </si>
  <si>
    <t>ZJISTIT ČÁSTKU Z ÚČETNICTVÍ, ZDALI UŽ NENÍ POTŘEBA UVEŘEJŇOVAT</t>
  </si>
  <si>
    <t>JE POTŘEBA UPRAVIT CENU VE VEMĚ DLE ÚČETNICTVÍ</t>
  </si>
  <si>
    <t>14508727, 18003287</t>
  </si>
  <si>
    <t>22.02.2021, 11.02.2022</t>
  </si>
  <si>
    <t>15732007, 18699675</t>
  </si>
  <si>
    <t>16.06.2021, 25.04.2022</t>
  </si>
  <si>
    <t>SERVIS</t>
  </si>
  <si>
    <t>Lacera, s.r.o.</t>
  </si>
  <si>
    <t>Vodohospodářské sdružení obcí Slánské oblasti</t>
  </si>
  <si>
    <t>STÁLE JAKO UZEMNÍ STŘEDISKO..OBNOVIT SMLOUVU?</t>
  </si>
  <si>
    <t>MUDr. Hejduk Jaroslav,praktický lékař a homeopat</t>
  </si>
  <si>
    <t>B. Braun Medical s.r.o.</t>
  </si>
  <si>
    <t>Záchranná služba Asociace samaritánů České republiky Praha-západ z.s.</t>
  </si>
  <si>
    <t>31.12.0999</t>
  </si>
  <si>
    <t>CHYBÍ PŘEDÁVACÍ PROTOKOL! NENÍ UVEDEN KONEC SMLOUVY - AŽ JEJ NEBUDE POTŘEBOVAT  NEBO NA VÝZVU VÝPUJČITELE (TO JE VE SMLOUVE)</t>
  </si>
  <si>
    <t>CHYBÍ PŘEDÁVACÍ PROTOKOL!</t>
  </si>
  <si>
    <t>Auto - Poly spol. s r.o.</t>
  </si>
  <si>
    <t>K-net Technical International Group, s.r.o.</t>
  </si>
  <si>
    <t>M e d i m spol. s r.o.</t>
  </si>
  <si>
    <t>Perfect Distribution a.s.</t>
  </si>
  <si>
    <t>SH ČMS - Sbor dobrovolných hasičů Zdice</t>
  </si>
  <si>
    <t>JSME TAM STÁLE JAKO ÚZEMNÍ STŘEDISKO, NENÍ PLATNOST SMLOUVY!</t>
  </si>
  <si>
    <t>Ing. Miloslava Tinková</t>
  </si>
  <si>
    <t>COMPAG MLADÁ BOLESLAV s.r.o.</t>
  </si>
  <si>
    <t>Technické služby Benešov, s.r.o.</t>
  </si>
  <si>
    <t>7169391, 10414256, 17563415</t>
  </si>
  <si>
    <t>21.12.2018, 20.12.2019, 29.12.2021</t>
  </si>
  <si>
    <t>PRONÁJEM + ENERGIE</t>
  </si>
  <si>
    <t>ITES spol. s r.o.</t>
  </si>
  <si>
    <t>1349594,7283551, 4261476, 10569352, 14087939, 18143847, 21653317, 25492879</t>
  </si>
  <si>
    <t>14.03.2017, 10.01.2019, 05.02.2018, 15.01.2020, 08.01.2021, 28.02.2022, 27.01.2023, 17.01.2024</t>
  </si>
  <si>
    <t>1349894, 7705999, 14508591, 21672841</t>
  </si>
  <si>
    <t>14.03.2017, 27.02.2019, 22.02.2021, 30.01.2023</t>
  </si>
  <si>
    <t>Energie AG Kolín a.s.</t>
  </si>
  <si>
    <t>4092876, 14175395</t>
  </si>
  <si>
    <t>17.01.2018, 18.01.2021</t>
  </si>
  <si>
    <t>Vodohospodářská společnost Benešov a.s.</t>
  </si>
  <si>
    <t xml:space="preserve">FCC Neratovice, s.r.o. </t>
  </si>
  <si>
    <t>APEX Computer, s.r.o.</t>
  </si>
  <si>
    <t>MUDr. Aleš Zikmunda, praktický lékař</t>
  </si>
  <si>
    <t>Porsche Inter Auto CZ spol. s r.o.</t>
  </si>
  <si>
    <t>AUTOMATICKÁ PROLONGACE NA DALŠÍ 2 ROKY</t>
  </si>
  <si>
    <t>Kooperativa pojišťovna, a.s., Vienna Insurance Group</t>
  </si>
  <si>
    <t>Česká pošta, s.p.</t>
  </si>
  <si>
    <t>Hokejový klub HC Příbram, z. s.</t>
  </si>
  <si>
    <t>MYTÍ</t>
  </si>
  <si>
    <t>Martin Macík</t>
  </si>
  <si>
    <t>Střední škola, Základní škola a Mateřská škola Rakovník, příspěvková organizace</t>
  </si>
  <si>
    <t>MUDr. Jana Císařová</t>
  </si>
  <si>
    <t>Střední škola a Základní škola Jesenice, příspěvková organizace</t>
  </si>
  <si>
    <t>Zdravotnická záchranná služba Libereckého kraje, příspěvková organizace</t>
  </si>
  <si>
    <t>PLATNOST?!</t>
  </si>
  <si>
    <t>OMS - MEDI s.r.o.</t>
  </si>
  <si>
    <t>ATLAS consulting spol. s r.o.</t>
  </si>
  <si>
    <t>MUDr. Martin Fanta</t>
  </si>
  <si>
    <t>Centrum vzdělávání, informací a kultury, p.o.</t>
  </si>
  <si>
    <t>Louda Auto a.s.</t>
  </si>
  <si>
    <t>Vodovody a kanalizace Mladá Boleslav, a.s.</t>
  </si>
  <si>
    <t>Vodovody a kanalizace Beroun, a.s.</t>
  </si>
  <si>
    <t>18 000,00</t>
  </si>
  <si>
    <t>Příbramská teplárenská a.s.</t>
  </si>
  <si>
    <t>Petr Pultar - NIKI</t>
  </si>
  <si>
    <t>RÁMCOVÁ - DOHODA O UKONČENÍ</t>
  </si>
  <si>
    <t xml:space="preserve">FCC Česká republika, s.r.o. </t>
  </si>
  <si>
    <t>do Vemy je 25.1.2017 - 16:21:24 vložena pouze první strana smlouvy bez podpisů obou stran - DO KDY PLATÍ??? MÁME TO TAK I FYZICKY</t>
  </si>
  <si>
    <t>smlouva podepsána 10.11.2000</t>
  </si>
  <si>
    <t>Výzkumný ústav práce a sociálních věcí, v. v. i.</t>
  </si>
  <si>
    <t>217 800,00</t>
  </si>
  <si>
    <t>ČEZ, a. s.</t>
  </si>
  <si>
    <t>PTÚ_Nájemní smlouva vysílač Rakovník</t>
  </si>
  <si>
    <t>26355227</t>
  </si>
  <si>
    <t>3436/2024</t>
  </si>
  <si>
    <t>Generali Česká pojišťovna a.s.</t>
  </si>
  <si>
    <t>57 007,00</t>
  </si>
  <si>
    <t>54 807,00 Kč</t>
  </si>
  <si>
    <t>697 269,00</t>
  </si>
  <si>
    <t>458 640,00</t>
  </si>
  <si>
    <t>ÚČET</t>
  </si>
  <si>
    <t>Česká spořitelna, a.s.</t>
  </si>
  <si>
    <t>ANEXIA s.r.o.</t>
  </si>
  <si>
    <t>AUTOMATICKÁ PROLONGACE O ROK</t>
  </si>
  <si>
    <t>VYPŮJČKA</t>
  </si>
  <si>
    <t xml:space="preserve">Energie - stavební a báňská a.s. </t>
  </si>
  <si>
    <t>CHYBÍ PŘEDÁVACÍ PROTOKOLY</t>
  </si>
  <si>
    <t>R E N O V A, s.r.o.</t>
  </si>
  <si>
    <t>Swiss Automotive Group CZ s.r.o.</t>
  </si>
  <si>
    <t>Josef Trojan</t>
  </si>
  <si>
    <t>NEJDE OTEVŘÍT Př- jaký majetek?</t>
  </si>
  <si>
    <t>ZELENÁ LÍPA HOSTIVICE, poskytovatel sociálních služeb</t>
  </si>
  <si>
    <t>Domov Laguna Psáry, poskytovatel sociálních služeb</t>
  </si>
  <si>
    <t>Roman Jirkal</t>
  </si>
  <si>
    <t>KORAKO plus, s. r. o.</t>
  </si>
  <si>
    <t>AMBULANCE MEDITRANS s.r.o.</t>
  </si>
  <si>
    <t>MUDr. Svatopluk Ježek</t>
  </si>
  <si>
    <t>FK Říčany, spolek</t>
  </si>
  <si>
    <t>Šebesta, spol. s r.o.</t>
  </si>
  <si>
    <t>Městské zdravotnické zařízení Březnice</t>
  </si>
  <si>
    <t>TJ Auto Škoda Mladá Boleslav, z.s.</t>
  </si>
  <si>
    <t>Marius Pedersen a.s.</t>
  </si>
  <si>
    <t>38 248,00</t>
  </si>
  <si>
    <t>Princip a.s.</t>
  </si>
  <si>
    <t>ZÁRUKA 24 MĚSÍCŮ ODE DNE PŘEDÁNÍ</t>
  </si>
  <si>
    <t>SMLOUVA O DÍLO</t>
  </si>
  <si>
    <t>Marcela Koubová</t>
  </si>
  <si>
    <t>JAMEL FASHION s.r.o.</t>
  </si>
  <si>
    <t xml:space="preserve">Alter Audit, s.r.o. </t>
  </si>
  <si>
    <t>605 000,00</t>
  </si>
  <si>
    <t>ČERPÁNÍ?</t>
  </si>
  <si>
    <t>GINA Software s.r.o.</t>
  </si>
  <si>
    <t>JP - Praktik s.r.o.</t>
  </si>
  <si>
    <t>DiBO EAST s.r.o.</t>
  </si>
  <si>
    <t>50 000,00</t>
  </si>
  <si>
    <t>Ordinace PL Karlín, s.r.o.</t>
  </si>
  <si>
    <t>Praktmed s.r.o.</t>
  </si>
  <si>
    <t>Teleflex Medical s.r.o.</t>
  </si>
  <si>
    <t>2 407 900,00</t>
  </si>
  <si>
    <t>ČERPÁNÍ?; + záruka - 24 měsíců ode dne předání</t>
  </si>
  <si>
    <t>894 891,80</t>
  </si>
  <si>
    <t xml:space="preserve">ČERPÁNÍ? </t>
  </si>
  <si>
    <t>dle smlouvy:čl. III, bod 2. celková kupní cena nesmí přesáhnout částku 800 000,-Kč bez DPH (tj. 968 000,- kč s DPH), záruka- 24 měsíců ode dne předání - ŠPATNĚ UVEŘEJNĚNO</t>
  </si>
  <si>
    <t>1 350 534,24</t>
  </si>
  <si>
    <t>dle smlouvy: čl. III, bod 1.nesmí přesáhnout 1 350 000,- Kč bez DPH, záruka - 24 měsíců ode dne předání</t>
  </si>
  <si>
    <t>Zámecký catering s.r.o.</t>
  </si>
  <si>
    <t>Projecticon s.r.o.</t>
  </si>
  <si>
    <t>1 119 250,00</t>
  </si>
  <si>
    <t>SPORTAINMENT s.r.o.</t>
  </si>
  <si>
    <t xml:space="preserve">JABLOTRON SECURITY a.s. </t>
  </si>
  <si>
    <t>Škoda Jan, MUDr.-JANSKO,s.r.o.</t>
  </si>
  <si>
    <t>VIVAMED, s.r.o.</t>
  </si>
  <si>
    <t>592 900,00</t>
  </si>
  <si>
    <t>SULMO s.r.o.</t>
  </si>
  <si>
    <t xml:space="preserve">Jacht servis s.r.o. </t>
  </si>
  <si>
    <t>ProfiOdpady s.r.o.</t>
  </si>
  <si>
    <t>159 324,00</t>
  </si>
  <si>
    <t xml:space="preserve">TRANS HOSPITAL, s.r.o. </t>
  </si>
  <si>
    <t>TELCONNECT s.r.o.</t>
  </si>
  <si>
    <t>Life Support s.r.o.</t>
  </si>
  <si>
    <t>584 430,00</t>
  </si>
  <si>
    <t xml:space="preserve">NEWTON Media, a.s. </t>
  </si>
  <si>
    <t>Městská společnost sportovní a rekreační areály, s.r.o.</t>
  </si>
  <si>
    <t>48 156,79</t>
  </si>
  <si>
    <t>AUTOMATICKÁ PROLONGACE O 2 ROKY</t>
  </si>
  <si>
    <t>LIKMED s.r.o.</t>
  </si>
  <si>
    <t xml:space="preserve">BENE FACTUM a.s. </t>
  </si>
  <si>
    <t>529 980,00</t>
  </si>
  <si>
    <t xml:space="preserve">Mediclinic a.s. </t>
  </si>
  <si>
    <t>KS montáže, s.r.o.</t>
  </si>
  <si>
    <t>?</t>
  </si>
  <si>
    <t>1 210,00</t>
  </si>
  <si>
    <t>MOJE AMBULANCE a.s.</t>
  </si>
  <si>
    <t xml:space="preserve">LAMIPROMED s.r.o. </t>
  </si>
  <si>
    <t>907 500,00</t>
  </si>
  <si>
    <t>Trade Wings, spol. s r.o.</t>
  </si>
  <si>
    <t>KUPNÍ - DOHODA O UKONČENÍ</t>
  </si>
  <si>
    <t>Autopneu Urban s.r.o.</t>
  </si>
  <si>
    <t>DROPS GROUP a.s.</t>
  </si>
  <si>
    <t>Netfox s.r.o.</t>
  </si>
  <si>
    <t>POLYMED medical CZ, a.s.</t>
  </si>
  <si>
    <t>GES CZ s.r.o.</t>
  </si>
  <si>
    <t>ZÁRUKA 36 MĚSÍCŮ ODE DNE PŘEDÁNÍ</t>
  </si>
  <si>
    <t>Servis AUTO OPAT s.r.o.</t>
  </si>
  <si>
    <t>275 000,00</t>
  </si>
  <si>
    <t>ZÁRUKA 6 MĚSÍCŮ ODE DNE PŘEDÁNÍ</t>
  </si>
  <si>
    <t>C.E.B., a.s.</t>
  </si>
  <si>
    <t>Letiště Příbram s.r.o.</t>
  </si>
  <si>
    <t>GZ Media, a.s.</t>
  </si>
  <si>
    <t>SCHEL s.r.o.</t>
  </si>
  <si>
    <t>1659143</t>
  </si>
  <si>
    <t>ČEZ Teplárenská, a.s.</t>
  </si>
  <si>
    <t>150 000,00 Kč</t>
  </si>
  <si>
    <t>LHL s.r.o.</t>
  </si>
  <si>
    <t>GasNet, s.r.o.</t>
  </si>
  <si>
    <t>Oblastní nemocnice Kladno, a.s., nemocnice Středočeského kraje</t>
  </si>
  <si>
    <t>24 200,00</t>
  </si>
  <si>
    <t>STÁLE JAKO ÚZEMNÍ STŘEDISKO</t>
  </si>
  <si>
    <t>NENÍ PODEPSANÁ PŘEVODKA</t>
  </si>
  <si>
    <t>PROJEKT_PROHLÁŠENÍ O PARTNERSTVÍ</t>
  </si>
  <si>
    <t>138 315,09</t>
  </si>
  <si>
    <t>58781.32</t>
  </si>
  <si>
    <t>Oblastní nemocnice Mladá Boleslav, a.s., nemocnice Středočeského kraje</t>
  </si>
  <si>
    <t>PROJEKT</t>
  </si>
  <si>
    <t>416 030,40</t>
  </si>
  <si>
    <t>24 000,00</t>
  </si>
  <si>
    <t>24 000,00 Kč</t>
  </si>
  <si>
    <t>185 000,00</t>
  </si>
  <si>
    <t>28 000,00</t>
  </si>
  <si>
    <t>2 758 975,56</t>
  </si>
  <si>
    <t>Oblastní nemocnice Kolín, a.s., nemocnice Středočeského kraje</t>
  </si>
  <si>
    <t>694 000,00</t>
  </si>
  <si>
    <t>380 000,00 Kč</t>
  </si>
  <si>
    <t>Nemocnice Rudolfa a Stefanie Benešov, a.s., nemocnice Středočeského kraje</t>
  </si>
  <si>
    <t xml:space="preserve">Dragon Internet a.s. </t>
  </si>
  <si>
    <t>48 000,00</t>
  </si>
  <si>
    <t>Vysoká škola zdravotnická, o.p.s.</t>
  </si>
  <si>
    <t>100 000,00</t>
  </si>
  <si>
    <t>20 000,00</t>
  </si>
  <si>
    <t>ČEZ Prodej, a.s.</t>
  </si>
  <si>
    <t>10 000,00</t>
  </si>
  <si>
    <t>AUTOSERVIS NEDOROST s.r.o.</t>
  </si>
  <si>
    <t>ResTrial s.r.o.</t>
  </si>
  <si>
    <t>Arei reklamní předměty s.r.o.</t>
  </si>
  <si>
    <t>786 500,00</t>
  </si>
  <si>
    <t>Auto Babiš s.r.o.</t>
  </si>
  <si>
    <t>Tlapnet s.r.o.</t>
  </si>
  <si>
    <t>53 000,00</t>
  </si>
  <si>
    <t>Sedlčanské technické služby,s.r.o.</t>
  </si>
  <si>
    <t>60 000,00</t>
  </si>
  <si>
    <t xml:space="preserve">Nemocnice Český Brod s.r.o. </t>
  </si>
  <si>
    <t>ŠLO BY ZAŘÍDIT NOVOU SMLOUVU? NENÍ TAM ANI DOBA PLATNOSTI, PROSTĚ NIC</t>
  </si>
  <si>
    <t>Schindler CZ, a.s.</t>
  </si>
  <si>
    <t>AUTOMATICKÁ PROLONGACE O ROK; TOHLE BY CHTĚLO NOVOU SMLOUVU, JE U NÍ PREVEDENO HODNĚ CHYB</t>
  </si>
  <si>
    <t>CHEIRÓN a.s.</t>
  </si>
  <si>
    <t>1 210 096,80</t>
  </si>
  <si>
    <t>ZÁRUKA 12 MĚSÍCŮ ZA PROVEDENÉ SLUŽBY, 24 MĚSÍCŮ NA NÁHRADNÍ DÍLY</t>
  </si>
  <si>
    <t>726 000,00</t>
  </si>
  <si>
    <t>72 600,00</t>
  </si>
  <si>
    <t>217800.00</t>
  </si>
  <si>
    <t>dle smlouvy: čl. III, bod2. - celková kupní cena nesmí přesáhnout částku 180 000,- Kč bez DPH (tj. 217 800,-- Kč s DPH), záruka 24 měsíců ode dne předání</t>
  </si>
  <si>
    <t>ŠPATNĚ ZVEŘEJNĚNÁ HODNOTA</t>
  </si>
  <si>
    <t>509 375,64</t>
  </si>
  <si>
    <t>dle smlouvy: čl. III, bod2. - celková kupní cena nesmí přesáhnout částku 750 000,- Kč bez DPH (tj. 907 500,-- Kč s DPH), záruka 12 měsíců ode dne předání</t>
  </si>
  <si>
    <t>Oblastní nemocnice Příbram, a.s.</t>
  </si>
  <si>
    <t>dle smlouvy:čl.V, bod1 - vstup. prohlídky 765,-Kč, period. prohl. 665,-Kč/zaměstnanec, mimořádné prohl. 550 ,-Kč/zaměstnanec, prac. úrazy 550,-Kč/zaměstnanec, 1x2 roky hygienic. kontroly -400,-Kč/hodina, posudek o zdravotní způsobilosti k řízení motorových vozidel - 650,-Kč/osoba</t>
  </si>
  <si>
    <t>SK Kladno a.s.</t>
  </si>
  <si>
    <t>BABYBOX - Ludvík Hess a Jakub Hess pomáhají odloženým dětem, z.s.</t>
  </si>
  <si>
    <t>Asociace zdravotnických záchranných služeb České republiky</t>
  </si>
  <si>
    <t>Maximus Resort, a.s.</t>
  </si>
  <si>
    <t>1 055 500,27</t>
  </si>
  <si>
    <t>OSTRAHA</t>
  </si>
  <si>
    <t>Petr Hollay</t>
  </si>
  <si>
    <t>CLINITEX s.r.o.</t>
  </si>
  <si>
    <t>NEUZAVŘENO?</t>
  </si>
  <si>
    <t>Canadian Medical s.r.o.</t>
  </si>
  <si>
    <t>NAVIGA 4, s.r.o.</t>
  </si>
  <si>
    <t>JESSENIA a.s.</t>
  </si>
  <si>
    <t>BK Mladá Boleslav a.s.</t>
  </si>
  <si>
    <t>63 200,00</t>
  </si>
  <si>
    <t>KTTP s.r.o.</t>
  </si>
  <si>
    <t>181 500,00</t>
  </si>
  <si>
    <t>ECOBAT s.r.o.</t>
  </si>
  <si>
    <t>MONSE,spol. s r.o.</t>
  </si>
  <si>
    <t>Dräger Safety s.r.o.</t>
  </si>
  <si>
    <t>INTERCARE s.r.o.</t>
  </si>
  <si>
    <t>563 500,00</t>
  </si>
  <si>
    <t>Cesta integrace, o.p.s.</t>
  </si>
  <si>
    <t>Toyota Motor Manufacturing Czech Republic, s.r.o.</t>
  </si>
  <si>
    <t>Městská nemocnice Městec Králové a.s.</t>
  </si>
  <si>
    <t>387 216,00</t>
  </si>
  <si>
    <t>387 216,00 Kč</t>
  </si>
  <si>
    <t>dle smlouvy:čl.. IV, bod1 - vstup. prohlídky 500,-Kč, period. prohl. 500,-Kč/zaměstnanec, mimořádné prohl. 500 ,-Kč/zaměstnanec, prac. úrazy 500,-Kč/zaměstnanec, 1x2 roky hygienic. kontroly -750,-Kč/hodina, posudek o zdravotní způsobilosti k řízení motorových vozidel - 500,-Kč/osoba</t>
  </si>
  <si>
    <t>Tradiční pivovar v Rakovníku, a.s.</t>
  </si>
  <si>
    <t>PŘÍSTUP K INTERNETU</t>
  </si>
  <si>
    <t>Družstvo EUROSIGNAL</t>
  </si>
  <si>
    <t>PŘÍKAZNÍ</t>
  </si>
  <si>
    <t>První certifikační autorita, a.s.</t>
  </si>
  <si>
    <t>119 790,00</t>
  </si>
  <si>
    <t>MEDITERRA - Sedlčany, s.r.o.</t>
  </si>
  <si>
    <t>120 000,00</t>
  </si>
  <si>
    <t>CEDA Maps a.s.</t>
  </si>
  <si>
    <t>KUPNÍ - SLUŽBY</t>
  </si>
  <si>
    <t>TECHNISERV IT, spol. s r.o.</t>
  </si>
  <si>
    <t>1 690 647,57</t>
  </si>
  <si>
    <t>453 750,00</t>
  </si>
  <si>
    <t>Prabos plus a.s.</t>
  </si>
  <si>
    <t>PROGRAMOVÉ VYBAVENÍ</t>
  </si>
  <si>
    <t>Vema, a.s.</t>
  </si>
  <si>
    <t>dle smlouvy: čl.5, bod 5.2 - 1 064 380,- Kč bez DPH, dodatek č. 1 evidence smluv + 19 600,- bez DPH+aktualizace 4 116,-Kč bez DPH/rok</t>
  </si>
  <si>
    <t>Městská teplárenská Sedlčany s.r.o.</t>
  </si>
  <si>
    <t>70 000,00</t>
  </si>
  <si>
    <t>82 334,00 Kč</t>
  </si>
  <si>
    <t>Středočeské vodárny, a.s.</t>
  </si>
  <si>
    <t xml:space="preserve">HK RESTAURANT s.r.o. </t>
  </si>
  <si>
    <t>MEDILAB ČR s.r.o.</t>
  </si>
  <si>
    <t>MEDICA JIH s.r.o.</t>
  </si>
  <si>
    <t>do Vemy není vložena smlouva dodavatel x ZZS SK - A NEMÁME JÍ ANI FYZICKY? nOVOU SMLOUVU? JE TO HODNĚ HISTORICKÉ</t>
  </si>
  <si>
    <t>TERPES s.r.o.</t>
  </si>
  <si>
    <t>Dopravní zdravotnictví a.s.</t>
  </si>
  <si>
    <t>Vodafone Czech Republic a.s.</t>
  </si>
  <si>
    <t>ÚZEMNÍ STŘEDISKO SK</t>
  </si>
  <si>
    <t>Contactel s.r.o.</t>
  </si>
  <si>
    <t>ÚZEMNÍ STŘEDISKO SK, NENÁM DODATEK, ŽE BYLO PRODLOUŽENO NA DOBU NEURČITOU --&gt; Honza říkal, že se nevyužívá, firma neexistuje, vypovědět?Zrušit?</t>
  </si>
  <si>
    <t xml:space="preserve">MAFRA, spol. s r.o. </t>
  </si>
  <si>
    <t>F D servis Praha, s.r.o.</t>
  </si>
  <si>
    <t>4 339 665,00</t>
  </si>
  <si>
    <t>4 339 665,00 Kč</t>
  </si>
  <si>
    <t>68 879 250,00</t>
  </si>
  <si>
    <t>záruka 24 měsíců a dále záruka dalších 24 měsíců nebo do 200 000 ujetých km</t>
  </si>
  <si>
    <t>2129600.00</t>
  </si>
  <si>
    <t>SNT Plus s.r.o.</t>
  </si>
  <si>
    <t xml:space="preserve">Nadace Jedličkova ústavu </t>
  </si>
  <si>
    <t>NOVÉ VÝTAHY 2OOO, s.r.o.</t>
  </si>
  <si>
    <t>AUTO Brandýs n/L. s.r.o.</t>
  </si>
  <si>
    <t>1 198 298,00</t>
  </si>
  <si>
    <t>záruka 5 let nebo 100 000 km, záruka na nástavbu 2 roky</t>
  </si>
  <si>
    <t>2x ročně v období  2-5 měsíc v roce a 1x ročně v období 8-11 měsíc</t>
  </si>
  <si>
    <t xml:space="preserve">záruka 24 měsíců </t>
  </si>
  <si>
    <t>JOMA, spol. s r.o.</t>
  </si>
  <si>
    <t>1 200,00</t>
  </si>
  <si>
    <t>2x ročně v období 2-5 měsíc v roce a 1x ročně v období 8-11 měsíc</t>
  </si>
  <si>
    <t>FOR JOB PROTECT, s.r.o.</t>
  </si>
  <si>
    <t>517 396,00</t>
  </si>
  <si>
    <t>záruka 24 měsíců</t>
  </si>
  <si>
    <t xml:space="preserve">PNEU HNÍDEK s.r.o. </t>
  </si>
  <si>
    <t>VÝTAHY VANĚRKA s.r.o.</t>
  </si>
  <si>
    <t>CENTROPOL ENERGY, a.s.</t>
  </si>
  <si>
    <t>PROFIA s.r.o.</t>
  </si>
  <si>
    <t>Interpharmac, s.r.o.</t>
  </si>
  <si>
    <t>24547679, 27522192</t>
  </si>
  <si>
    <t>30.10.2023, 10.7.2024</t>
  </si>
  <si>
    <t>záruka - doba použitelnosti 12 měsíců</t>
  </si>
  <si>
    <t>PPL CZ s.r.o.</t>
  </si>
  <si>
    <t>GARDON INT s.r.o.</t>
  </si>
  <si>
    <t>PRO 21 reklamní společnost, s.r.o.</t>
  </si>
  <si>
    <t>Vyšší odborná škola zdravotnická Bílá vločka s.r.o.</t>
  </si>
  <si>
    <t>AVE Kolín s.r.o.</t>
  </si>
  <si>
    <t>40 000,00</t>
  </si>
  <si>
    <t>DOKAS Dobříš, s.r.o.</t>
  </si>
  <si>
    <t>Auto S.V.A. spol. s r.o.</t>
  </si>
  <si>
    <t>SANITAR s.r.o.</t>
  </si>
  <si>
    <t>STÁLE JAKO ÚZEMNÍ STŘEDISKO; NENÍ TAM DATUM KONCE SMLOUVY; STÁLE JI VYUŽÍVÁME?</t>
  </si>
  <si>
    <t>Janeček a Lebeda, s.r.o.</t>
  </si>
  <si>
    <t xml:space="preserve">PROMEDICA PRAHA GROUP, a.s. </t>
  </si>
  <si>
    <t>Alternetivo s.r.o.</t>
  </si>
  <si>
    <t>AVE Kladno s.r.o.</t>
  </si>
  <si>
    <t>NYKOS a.s.</t>
  </si>
  <si>
    <t xml:space="preserve">PRAGOMEDIKA PLUS, a.s. </t>
  </si>
  <si>
    <t>GM ordinace s.r.o.</t>
  </si>
  <si>
    <t>Toner4u s.r.o.</t>
  </si>
  <si>
    <t>30 900,00</t>
  </si>
  <si>
    <t>ve smlouvě - bod 9.2. - smlouva bude zveřejněna….provede nájemce - ve Vemě není  ID z registru smluv a datum</t>
  </si>
  <si>
    <t>ve smlouvě - bod 9.2. - smlouva bude zveřejněna….provede objednatel - ve Vemě není ID z registru smluv a datum</t>
  </si>
  <si>
    <t>Všeobecná lékařka Újezd s.r.o.</t>
  </si>
  <si>
    <t>E - med s.r.o.</t>
  </si>
  <si>
    <t>BEXAMED s.r.o.</t>
  </si>
  <si>
    <t>293 671,84</t>
  </si>
  <si>
    <t>do Vemy není vložena smlouva dodavatel x ZZS SK</t>
  </si>
  <si>
    <t>VEMA - NENÍ SML</t>
  </si>
  <si>
    <t>Edenred CZ s.r.o.</t>
  </si>
  <si>
    <t>ÚZEMNÍ STŘEDISKO, STÁLE VYUŽÍVÁME?</t>
  </si>
  <si>
    <t>ÚZEMNÍ STŘEDISKO, STÁLE VYUŽÍVÁME? SOUVISÍ SE SMLOUVOU 11/12/207</t>
  </si>
  <si>
    <t>Sairoong s.r.o.</t>
  </si>
  <si>
    <t>České Radiokomunikace a.s.</t>
  </si>
  <si>
    <t>ve smlouvě IV. -doba smluvního vztahu - platnost sml. se bude automaticky prodlužovat vždy o jeden rok, nebude-li některou ze smlu. stran vypovězena</t>
  </si>
  <si>
    <t xml:space="preserve">ČEZ Distribuce, a. s. </t>
  </si>
  <si>
    <t xml:space="preserve">chybí příloha č. 1; stále využíváme? </t>
  </si>
  <si>
    <t>stále využíváme?</t>
  </si>
  <si>
    <t>MultiSport Benefit, s.r.o.</t>
  </si>
  <si>
    <t>MUDr. Youngová &amp; spol., s.r.o.</t>
  </si>
  <si>
    <t>Praktik-Lysá s.r.o.</t>
  </si>
  <si>
    <t>NONSTOPMEDIC, s.r.o.</t>
  </si>
  <si>
    <t>ÚVT Internet s.r.o.</t>
  </si>
  <si>
    <t>Key To Art Agency, s.r.o.</t>
  </si>
  <si>
    <t>Smarty CZ a.s.</t>
  </si>
  <si>
    <t>DaLuNET s.r.o.</t>
  </si>
  <si>
    <t>PODNÁJEM</t>
  </si>
  <si>
    <t>Mělnické kulturní centrum, z.ú.</t>
  </si>
  <si>
    <t>Medsol s.r.o.</t>
  </si>
  <si>
    <t>SARKAMED s.r.o.</t>
  </si>
  <si>
    <t>AERO Vodochody AEROSPACE a.s.</t>
  </si>
  <si>
    <t>Mediba s.r.o.</t>
  </si>
  <si>
    <t>Kačengovi ordinace s.r.o.</t>
  </si>
  <si>
    <t>Autolakovna Benešov s.r.o.</t>
  </si>
  <si>
    <t>PTU_Smlouva o dílo-oprava vozidla Transporter T5 2SD2574</t>
  </si>
  <si>
    <t>oprava vozidla Transporter T5 2SD2574</t>
  </si>
  <si>
    <t>27357504</t>
  </si>
  <si>
    <t>K - med, s.r.o.</t>
  </si>
  <si>
    <t>Nakladatelství C. H. Beck, s. r. o.</t>
  </si>
  <si>
    <t>Medevac, s.r.o.</t>
  </si>
  <si>
    <t>Hokej Kladno s.r.o.</t>
  </si>
  <si>
    <t xml:space="preserve">SC BMX Benátky nad Jizerou v ÚAMK </t>
  </si>
  <si>
    <t>Okresní fotbalový svaz Benešov</t>
  </si>
  <si>
    <t>Asociace dobrovolných záchranářů ČR z.s.</t>
  </si>
  <si>
    <t>Mgr. Josef Trubáček</t>
  </si>
  <si>
    <t>doba projektu</t>
  </si>
  <si>
    <t>FCC Dačice, s.r.o.</t>
  </si>
  <si>
    <t>PHARMOS, a.s.</t>
  </si>
  <si>
    <t>záruka=doba použitelnosti</t>
  </si>
  <si>
    <t>BEPPO - Pavel Kruliš</t>
  </si>
  <si>
    <t>Záchranná služba ZPMB, z. s.</t>
  </si>
  <si>
    <t>Flux, spol. s r.o.</t>
  </si>
  <si>
    <t>KYBERNETIKA</t>
  </si>
  <si>
    <t>Autoklub v AČR Slaný</t>
  </si>
  <si>
    <t>úhrada havarijního pojištění dle aktuálního ceníku /měsíc - fakturu vystavuje půjčitel</t>
  </si>
  <si>
    <t xml:space="preserve">MINERS KLADNO, z.s. </t>
  </si>
  <si>
    <t>SEWO, spol. s r.o.</t>
  </si>
  <si>
    <t>Střední odborné učiliště, Nové Strašecí, Sportovní 1135</t>
  </si>
  <si>
    <t xml:space="preserve">LUCKY MAN PRODUCTION s.r.o. </t>
  </si>
  <si>
    <t>STAPRO s. r. o.</t>
  </si>
  <si>
    <t>Rostislav Menzl</t>
  </si>
  <si>
    <t>Skula Stanislav, MVDr.TERPES</t>
  </si>
  <si>
    <r>
      <rPr>
        <b/>
        <sz val="10"/>
        <color rgb="FFFF6600"/>
        <rFont val="Arial"/>
        <family val="2"/>
        <charset val="238"/>
      </rPr>
      <t>1000,- Kč bez DPH</t>
    </r>
    <r>
      <rPr>
        <sz val="10"/>
        <color rgb="FFFF6600"/>
        <rFont val="Arial"/>
        <family val="2"/>
        <charset val="238"/>
      </rPr>
      <t xml:space="preserve"> za jednotlivý odběr na jednotlivých základnách</t>
    </r>
  </si>
  <si>
    <t>Jindřich Kuchta</t>
  </si>
  <si>
    <t>Ladislav Makeš</t>
  </si>
  <si>
    <t>proběhlo vše a může se odložit?</t>
  </si>
  <si>
    <t>Vzdělávací a školící středisko RESCUE HELP, s.r.o.</t>
  </si>
  <si>
    <t>Asociace druholigových klubů ledního hokeje, z. s.</t>
  </si>
  <si>
    <t>Josef Tvrzník</t>
  </si>
  <si>
    <t>PORADENSTVÍ</t>
  </si>
  <si>
    <t>Medikka - pvk s.r.o.</t>
  </si>
  <si>
    <t>Karlsbridge s.r.o.</t>
  </si>
  <si>
    <t>DEDICATEDLY - DDCY s.r.o.</t>
  </si>
  <si>
    <t>Městské kulturní a informační centrum Bystřice, p.o.</t>
  </si>
  <si>
    <t>AUDIOVIZUÁLNÍ DÍLO</t>
  </si>
  <si>
    <t>Online Goblins Agency s.r.o.</t>
  </si>
  <si>
    <t>Moore Advisory CZ s.r.o.</t>
  </si>
  <si>
    <t>Moore Accounting CZ s.r.o.</t>
  </si>
  <si>
    <t>Moore Audit CZ s.r.o.</t>
  </si>
  <si>
    <t>Hasiči Buštěhrad, z. s.</t>
  </si>
  <si>
    <t>Údržba komunikací s.r.o.</t>
  </si>
  <si>
    <t>MUDr. MANDÁKOVÁ, MBA s.r.o.</t>
  </si>
  <si>
    <t>Scarlett Events, s.r.o.</t>
  </si>
  <si>
    <t>SH ČMS - Sbor dobrovolných hasičů Horní Bezděkov</t>
  </si>
  <si>
    <t>ÚKLID</t>
  </si>
  <si>
    <t>NAFRA s.r.o.</t>
  </si>
  <si>
    <t>Didaro system s.r.o.</t>
  </si>
  <si>
    <t>APO MULTIMEDIA s.r.o.</t>
  </si>
  <si>
    <t>SK Mek GYM, z.s.</t>
  </si>
  <si>
    <t>AVE Pražské komunální služby a.s.</t>
  </si>
  <si>
    <t>M&amp;M reality nadační fond</t>
  </si>
  <si>
    <t>Ernest Dančo</t>
  </si>
  <si>
    <t>Hasičský sportovní klub Příbram z.s.</t>
  </si>
  <si>
    <t>VTR computers, s.r.o.</t>
  </si>
  <si>
    <t>WASTECH a.s.</t>
  </si>
  <si>
    <t>1 200 000,00</t>
  </si>
  <si>
    <t>Pluto - CBS security s.r.o.</t>
  </si>
  <si>
    <t>MUDr. RENATA ŠIMJÁKOVÁ</t>
  </si>
  <si>
    <t>MODRÁ LODĚNICE s.r.o.</t>
  </si>
  <si>
    <t>MIRACON s.r.o.</t>
  </si>
  <si>
    <t>MEDICOTTUS s.r.o.</t>
  </si>
  <si>
    <t>LORMED s.r.o.</t>
  </si>
  <si>
    <t>záruka 24 měsíců od předání dodávky</t>
  </si>
  <si>
    <t>MUDr. Ďurčovič s. r. o.</t>
  </si>
  <si>
    <t>MUDr. Nikola Klímová</t>
  </si>
  <si>
    <t>KAROLAS Legal s.r.o., advokátní kancelář</t>
  </si>
  <si>
    <t>dle smlouvy: čl.4 bod 4.1 - 1500,-Kč bez DPH/hodina, čl.7, bod 7.1 - sml. uzavřena na dobu určitou do vyčerpání částky.</t>
  </si>
  <si>
    <t>dle smlouvy: čl.VII,bod 7.1. - doba trvání sml.12 měsíců nebo do vyčerpání částky 750 000,-Kč bez DPH, čl. VIII, bod 8.1. - 1 800,- Kč bez DPH/hodina</t>
  </si>
  <si>
    <t>SANITA s.r.o.</t>
  </si>
  <si>
    <t>Kulturní a informační centrum Benešov, s.r.o.</t>
  </si>
  <si>
    <t>SACHL servis s.r.o.</t>
  </si>
  <si>
    <t>Masarykova nemocnice Rakovník s.r.o.</t>
  </si>
  <si>
    <t>Praktický lékař Praha - východ, s.r.o.</t>
  </si>
  <si>
    <t xml:space="preserve">SH ČMS - Sbor dobrovolných hasičů Vítězov </t>
  </si>
  <si>
    <t>J&amp;T advokátní kancelář s.r.o.</t>
  </si>
  <si>
    <t>AUTO HOUSER s.r.o.</t>
  </si>
  <si>
    <t>Amrus z.s.</t>
  </si>
  <si>
    <t>MUDr. Nina Trojánková s.r.o.</t>
  </si>
  <si>
    <t>ELT Management Company Czech Republic s.r.o.</t>
  </si>
  <si>
    <t>4K CITY, s.r.o.</t>
  </si>
  <si>
    <t>Colonnade Insurance S.A., organizační složka</t>
  </si>
  <si>
    <t>VISIT COMPANY s.r.o.</t>
  </si>
  <si>
    <t>Skymed s.r.o.</t>
  </si>
  <si>
    <t>TresTech s.r.o.</t>
  </si>
  <si>
    <t>KLM SECURITY GROUP s.r.o.</t>
  </si>
  <si>
    <t>VEBLO a.s.</t>
  </si>
  <si>
    <t>CETIN a.s.</t>
  </si>
  <si>
    <t>Spolek přátel obce Liblice</t>
  </si>
  <si>
    <t>ALTAIR SOLUTIONS s.r.o.</t>
  </si>
  <si>
    <t>delicado kingdom, s. r. o.</t>
  </si>
  <si>
    <t>ČEZ ESCO, a.s.</t>
  </si>
  <si>
    <t>ZÁVĚRKA</t>
  </si>
  <si>
    <t>MUDr. Veronika Drábová</t>
  </si>
  <si>
    <t>Pracovnělékařská</t>
  </si>
  <si>
    <t>VITAPURA GROUP s.r.o.</t>
  </si>
  <si>
    <t>Praktický lékař Spořilov s.r.o.</t>
  </si>
  <si>
    <t>GROUWE, s.r.o.</t>
  </si>
  <si>
    <t>získání podpory IROP k eHaelth</t>
  </si>
  <si>
    <t>RESCUE HELP - ZDRAVOTNICKÁ SLUŽBA, z.s.</t>
  </si>
  <si>
    <t>Nadační fond Kryštůfek</t>
  </si>
  <si>
    <t>EASY CPM s.r.o.</t>
  </si>
  <si>
    <t xml:space="preserve">O2 IT Services s.r.o. </t>
  </si>
  <si>
    <t>Město Kutná Hora</t>
  </si>
  <si>
    <t>DAŇOVÉ PŘIZNÁNÍ</t>
  </si>
  <si>
    <t>Ing. Tomáš Doležel</t>
  </si>
  <si>
    <t>Proxová s.r.o.</t>
  </si>
  <si>
    <t>Katlov Lakes s.r.o.</t>
  </si>
  <si>
    <t>Phoebea-med s.r.o.</t>
  </si>
  <si>
    <t>Seyfor, a. s.</t>
  </si>
  <si>
    <t>dle smlouvy: čl. III,bod 3.2 - cena předmětu sml. 991 758,- Kč bez DPH, bod 3.3 - 34 436,-Kč bez DPH za měsíc užívání</t>
  </si>
  <si>
    <t>TRANS HOSPITAL PLUS, s.r.o.</t>
  </si>
  <si>
    <t>MUDr. Vladimíra Fleischmannová, s.r.o.</t>
  </si>
  <si>
    <t>Medeal s.r.o.</t>
  </si>
  <si>
    <t>„Keep Respect”</t>
  </si>
  <si>
    <t>MUDr. Jiří Machů</t>
  </si>
  <si>
    <t>MUDr. Klára Westfálová</t>
  </si>
  <si>
    <t>Kysilka Dan</t>
  </si>
  <si>
    <t>Tikovská Monika</t>
  </si>
  <si>
    <t>Růžičková Petra</t>
  </si>
  <si>
    <t>MUDr. Marcel Truelle</t>
  </si>
  <si>
    <t>Veronika Opatřilová</t>
  </si>
  <si>
    <t>Nemocnice Slaný</t>
  </si>
  <si>
    <t>Sdružení pro pomoc</t>
  </si>
  <si>
    <t>Městská nemocnice Čáslav</t>
  </si>
  <si>
    <t>Fakultní nemocnice Ostrava</t>
  </si>
  <si>
    <t>ZZS Ústeckého kraje, p.o.</t>
  </si>
  <si>
    <t>Dědič Martin</t>
  </si>
  <si>
    <t>Obec Roztoky</t>
  </si>
  <si>
    <t>Obec Kolešov</t>
  </si>
  <si>
    <t>ZZS hl.města Prahy</t>
  </si>
  <si>
    <t>VEDENO POD ZÁCHRANOU SLUŽBOU PRAHA - ZÁPAD</t>
  </si>
  <si>
    <t>ODLOŽIT? BYLO VRÁCENO? PŘEDÁVACÍ PROTOKOL?</t>
  </si>
  <si>
    <t>ZÁPŮJČKA</t>
  </si>
  <si>
    <t>ZZS Karlovarského kraje</t>
  </si>
  <si>
    <t>UPC Česká republika, s.r.o.</t>
  </si>
  <si>
    <t>Česká unie boxerů profesionálů</t>
  </si>
  <si>
    <t>Český atletický svaz</t>
  </si>
  <si>
    <t>Obec Ptýrov</t>
  </si>
  <si>
    <t>Město Kosmonosy</t>
  </si>
  <si>
    <t>Odb. učiliště a Prakt. škola</t>
  </si>
  <si>
    <t>Oblastní spolek ČČK Příbram</t>
  </si>
  <si>
    <t>Spolupráce_Zdravotnický dozor</t>
  </si>
  <si>
    <t>NENÍ UVEDENO DO KDY JE DOHODA PLATNÁ, PROČ JE VEDENÁ JAKO NA DOBU NEURČITOU? VYUŽÍVÁME JÍ?</t>
  </si>
  <si>
    <t>Divadlo Antonína Dvořáka PB</t>
  </si>
  <si>
    <t>ZZS Jihomoravského kraje</t>
  </si>
  <si>
    <t>Městské kulturní centrum Berou</t>
  </si>
  <si>
    <t>Městys Moravská Nová Ves</t>
  </si>
  <si>
    <t>Obec Olešná</t>
  </si>
  <si>
    <t>Město Nové Strašecí</t>
  </si>
  <si>
    <t>CHYBÍ DATUM U SMLOUVY</t>
  </si>
  <si>
    <t>Obec Lužná - zřizovatel JSDH L</t>
  </si>
  <si>
    <t>Město Jesenice u Rakovníka</t>
  </si>
  <si>
    <t>Smlouva o výpůjčce - AED Lifepak 1000, výr. č. 49646048_Město Jesenice</t>
  </si>
  <si>
    <t>6007349,3; 261614,84</t>
  </si>
  <si>
    <t>24883827, 26659659</t>
  </si>
  <si>
    <t>27.11.2023, 29.04.2024</t>
  </si>
  <si>
    <t>Obec Hořesedly</t>
  </si>
  <si>
    <t>Město Sedlčany</t>
  </si>
  <si>
    <t>21661105</t>
  </si>
  <si>
    <t>datum ukončení dle odepisování - paní Broučková</t>
  </si>
  <si>
    <t>Město Rožmitál pod Tremšínem</t>
  </si>
  <si>
    <t>Obec Rosovice</t>
  </si>
  <si>
    <t>OBEC PEČICE</t>
  </si>
  <si>
    <t>Město Krásná Hora nad Vltavou</t>
  </si>
  <si>
    <t>VEDENO JAKO ÚZEMNÍ STŘEDISKO</t>
  </si>
  <si>
    <t>Město Dobříš</t>
  </si>
  <si>
    <t>Město Březnice</t>
  </si>
  <si>
    <t>Město Jesenice</t>
  </si>
  <si>
    <t>Město Hostivice</t>
  </si>
  <si>
    <t>MĚSTO ČERNOŠICE</t>
  </si>
  <si>
    <t>Město Říčany</t>
  </si>
  <si>
    <t>Město Odolena Voda</t>
  </si>
  <si>
    <t>Obec Líbeznice</t>
  </si>
  <si>
    <t>Město Brandýs nad L- Stará Bol</t>
  </si>
  <si>
    <t>Město Sadská</t>
  </si>
  <si>
    <t>Město Nymburk</t>
  </si>
  <si>
    <t>ZDRAVOTNICKÝ DOZOR</t>
  </si>
  <si>
    <t>Město Milovice</t>
  </si>
  <si>
    <t>Město Městec Králové</t>
  </si>
  <si>
    <t>UZAVŘENO ZA ZOS NYMBURK</t>
  </si>
  <si>
    <t>Město Lysá nad Labem</t>
  </si>
  <si>
    <t>Městys Loučeň</t>
  </si>
  <si>
    <t>Obec Žerčice</t>
  </si>
  <si>
    <t>Město Mnichovo Hradiště</t>
  </si>
  <si>
    <t>Statutární město Ml. Boleslav</t>
  </si>
  <si>
    <t>Město Dobrovice</t>
  </si>
  <si>
    <t>Město Benátky nad Jizerou</t>
  </si>
  <si>
    <t>Dohoda o narovnání_nájem_od 01.7.2023 do 31.01.2024</t>
  </si>
  <si>
    <t>Město Bakov nad Jizerou</t>
  </si>
  <si>
    <t>Město Veltrusy</t>
  </si>
  <si>
    <t>Město Mšeno</t>
  </si>
  <si>
    <t>Město Mělník</t>
  </si>
  <si>
    <t>Město Kralupy nad Vltavou</t>
  </si>
  <si>
    <t>Město Zruč nad Sázavou</t>
  </si>
  <si>
    <t>Obec Zbraslavice</t>
  </si>
  <si>
    <t>Město Uhlířské Janovice</t>
  </si>
  <si>
    <t>2310930, 27630504</t>
  </si>
  <si>
    <t>7.7.2017, 19.7.2024</t>
  </si>
  <si>
    <t>Obec Potěhy</t>
  </si>
  <si>
    <t>Obecní úřad Velký Osek - zřizo</t>
  </si>
  <si>
    <t>Město Kostelec nad Čern. Les</t>
  </si>
  <si>
    <t>Město Kolín</t>
  </si>
  <si>
    <t>Město Český Brod</t>
  </si>
  <si>
    <t>Město Slaný</t>
  </si>
  <si>
    <t>Statutární město Kladno</t>
  </si>
  <si>
    <t>Městský úřad Žebrák - zřizovat</t>
  </si>
  <si>
    <t>Město Zdice</t>
  </si>
  <si>
    <t>Obec Tmaň</t>
  </si>
  <si>
    <t>Městys Karlštejn - zřizovatel</t>
  </si>
  <si>
    <t>Obec Chyňava- zřizovatel JSDH</t>
  </si>
  <si>
    <t>Město Hořovice</t>
  </si>
  <si>
    <t>Město Beroun</t>
  </si>
  <si>
    <t>Obec Vranov</t>
  </si>
  <si>
    <t>Nájem_Dohoda o narovnání_od 01.11.2022 do 31.01.2023</t>
  </si>
  <si>
    <t>Nájem_Dohoda o narovnání_1.5.2022-31.10.2022</t>
  </si>
  <si>
    <t>Město Votice</t>
  </si>
  <si>
    <t>Město Vlašim</t>
  </si>
  <si>
    <t>Město Sedlec-Prčice</t>
  </si>
  <si>
    <t>Město Neveklov</t>
  </si>
  <si>
    <t>Smlouva o výpůjčce_defibrilátor_ UH 1160020</t>
  </si>
  <si>
    <t>CHYBÍ PŘEDÁVACÍ PROTOKOL</t>
  </si>
  <si>
    <t>Obec Čerčany</t>
  </si>
  <si>
    <t>Městys Čechtice - zřizovatel J</t>
  </si>
  <si>
    <t>Město Bystřice</t>
  </si>
  <si>
    <t>Město Benešov</t>
  </si>
  <si>
    <t>Univerzita Karlova v Praze</t>
  </si>
  <si>
    <t>Fakultní nemocnice Hr.Králové</t>
  </si>
  <si>
    <t>ŠKODA AUTO a.s.</t>
  </si>
  <si>
    <t>YOUR SYSTEM, spol.s r.o.</t>
  </si>
  <si>
    <t>Nemocnice Jihlava, příspěvková</t>
  </si>
  <si>
    <t>Galerie Středočeského kraje, p</t>
  </si>
  <si>
    <t>Technické služby města Roztoky</t>
  </si>
  <si>
    <t>Technické služby města Nymburka</t>
  </si>
  <si>
    <t>SZŠ a VOŠZ Kladno</t>
  </si>
  <si>
    <t>Krajská správa a údržba silnic Středočeského kraje, příspěvková organizace</t>
  </si>
  <si>
    <t>29200 Kč, 611582,40 Kč</t>
  </si>
  <si>
    <t>14256359, 21560121</t>
  </si>
  <si>
    <t>26.1.2021, 19.1.2023</t>
  </si>
  <si>
    <t>HLAVNÍ MĚSTO PRAHA</t>
  </si>
  <si>
    <t>SMLOUVA BEZ PODPISU A BEZ DATA</t>
  </si>
  <si>
    <t>Psychiatrická léčebna BOHNICE</t>
  </si>
  <si>
    <t>Fakultní nemocnice v Motole</t>
  </si>
  <si>
    <t>Fakultní Thomayerova nemocnice</t>
  </si>
  <si>
    <t>Fakultní nemocnice Vinohrady</t>
  </si>
  <si>
    <t>Všeobecná fakultní nemocnice v Praze</t>
  </si>
  <si>
    <t>Výzkumný ústav geodetický, topografický a kartografický, v. v. i.</t>
  </si>
  <si>
    <t>26117931</t>
  </si>
  <si>
    <t>Národní centrum ošetřovatelství a nelékařských zdravotnických oborů</t>
  </si>
  <si>
    <t>Institut postgraduálního vzdělávání ve zdravotnictví</t>
  </si>
  <si>
    <t>Národní knihovna České republiky</t>
  </si>
  <si>
    <t>Linde Gas a.s.</t>
  </si>
  <si>
    <t>Jakub Kasala</t>
  </si>
  <si>
    <t>Vojtěch Andrlík</t>
  </si>
  <si>
    <t>fyzická osoba</t>
  </si>
  <si>
    <t>Jiří Krapáč</t>
  </si>
  <si>
    <t>Ministerstvo vnitra</t>
  </si>
  <si>
    <t>CENTRALIZOVANÉ ZADÁVÁNÍ</t>
  </si>
  <si>
    <t>ÚHRADA ZDRAVOTNÍ PÉČE</t>
  </si>
  <si>
    <t xml:space="preserve">STÁLE VEDENO JAKO ÚZEMNÍ STŘEDISKO </t>
  </si>
  <si>
    <t>Zaměstnanecká pojišťovna Škoda</t>
  </si>
  <si>
    <t>Oborová zdravotní pojišťovna zaměstnanců bank, pojišťoven a stavebnictví</t>
  </si>
  <si>
    <t>MedText s.r.o.</t>
  </si>
  <si>
    <t>Zajištění služeb certifikované komunikační platformy mezi posádkami ZZS, p. o.</t>
  </si>
  <si>
    <t>Smlouva o poskytnutí služeb certifikované komunikační platformy</t>
  </si>
  <si>
    <t>25889611</t>
  </si>
  <si>
    <t>S-044/75030926/24</t>
  </si>
  <si>
    <t>Zajištění stáže, MUDr. Lenka Fajtlová, Kladno, 3/24</t>
  </si>
  <si>
    <t>S-045/75030926/24</t>
  </si>
  <si>
    <t>Zajištění stáže, Filip Richrard Brunclík, 1-12/2024</t>
  </si>
  <si>
    <t>S-046/75030926/24</t>
  </si>
  <si>
    <t>Zdravotnický dozor, 11.5.2024, Pichce - Dubno</t>
  </si>
  <si>
    <t>S-041/75030926/24</t>
  </si>
  <si>
    <t>The Bears, spol. s r.o.</t>
  </si>
  <si>
    <t>Smlouva o darování 3ks 200 cm plyšových medvědů The Bears, spol. s r.o.</t>
  </si>
  <si>
    <t>3ks plyšoví medvědi</t>
  </si>
  <si>
    <t>2230/2024</t>
  </si>
  <si>
    <t>S-043/75030926/24</t>
  </si>
  <si>
    <t>Darovací smlouva_Nadační fond kryštůfek_50 centimetrový plyšový záchranář Kryštů</t>
  </si>
  <si>
    <t>1 ks 50 centimetrový plyšový záchranář Kryštů</t>
  </si>
  <si>
    <t>S-050/75030926/24</t>
  </si>
  <si>
    <t>AUTO KUDLÁČEK spol. s r.o.</t>
  </si>
  <si>
    <t>Kupní smlouva_sanitní vůz_VW CRAFTER</t>
  </si>
  <si>
    <t>26020819</t>
  </si>
  <si>
    <t>S-054/75030926/24</t>
  </si>
  <si>
    <t>Český rozhlas</t>
  </si>
  <si>
    <t>Prohlášení o spolupráci</t>
  </si>
  <si>
    <t>Poskytování informací ve vysílání Český rozhlas Region</t>
  </si>
  <si>
    <t>S-055/75030926/24</t>
  </si>
  <si>
    <t>Zdravotnický dozor, 13-14.4., Příbram</t>
  </si>
  <si>
    <t>S-056/75030926/24</t>
  </si>
  <si>
    <t>Lucie Procházková</t>
  </si>
  <si>
    <t>Zajištění praxe, Lucie Procházková, 8.4.-31.5.2024, Příbram</t>
  </si>
  <si>
    <t>S-058/75030926/24</t>
  </si>
  <si>
    <t>AB Auto Brejla s.r.o.</t>
  </si>
  <si>
    <t>Oprava vozidla značky VW Transporter SPZ 2SD 2556</t>
  </si>
  <si>
    <t>26110547</t>
  </si>
  <si>
    <t>S-048/75030926/24</t>
  </si>
  <si>
    <t>Celorepublikové metodické cvičení "Putovní 155"</t>
  </si>
  <si>
    <t>Metodické cvičení</t>
  </si>
  <si>
    <t>S-049/75030926/24</t>
  </si>
  <si>
    <t>AUTO COMBI s.r.o.</t>
  </si>
  <si>
    <t>ŠPATNĚ ZADÁNO</t>
  </si>
  <si>
    <t>PTÚ_Kupní smlouva na automobil značky VW Crafter</t>
  </si>
  <si>
    <t>Mgr. Jiří Špot</t>
  </si>
  <si>
    <t>Nájem nebytových prostor - zvýšení inflace</t>
  </si>
  <si>
    <t>Zvýšení poplatků</t>
  </si>
  <si>
    <t>Úprava výše poplatků za skladování a dopad ekonomické situace</t>
  </si>
  <si>
    <t>Navýšení ceny</t>
  </si>
  <si>
    <t>17831547, 21389177, 25902519</t>
  </si>
  <si>
    <t>25.01.2022, 04.01.2023, 22.02.2024</t>
  </si>
  <si>
    <t>SML BEZ DATUMU - NEJLÉPE UDĚLAT NOVOU SMLOUVU, SMLOUVA JE NICNEŘÍKAJÍCÍ</t>
  </si>
  <si>
    <t>S-051/75030926/24</t>
  </si>
  <si>
    <t>EASY CMP s.r.o.</t>
  </si>
  <si>
    <t>Poskytování stavebně-technických činností_Easy Cmp s.r.o.</t>
  </si>
  <si>
    <t>26338091</t>
  </si>
  <si>
    <t>S-052/75030926/24</t>
  </si>
  <si>
    <t>Oprava vozidla Škoda Karoq SPZ 4ST 7500</t>
  </si>
  <si>
    <t>26438099</t>
  </si>
  <si>
    <t>S-053/75030926/24</t>
  </si>
  <si>
    <t>PTÚ_Oprava Vozidla VW Transporter SPZ 5SJ 3178</t>
  </si>
  <si>
    <t>Oprava Vozidla VW Transporter SPZ 5SJ 3178</t>
  </si>
  <si>
    <t>26441143</t>
  </si>
  <si>
    <t>S-057/75030926/24</t>
  </si>
  <si>
    <t>DOHODA</t>
  </si>
  <si>
    <t>Operátor ICT, a.s.</t>
  </si>
  <si>
    <t>Smluvní dohoda</t>
  </si>
  <si>
    <t>Dohoda o ochraně důvěrných informací_Operátor ICT</t>
  </si>
  <si>
    <t>S-060/75030926/24</t>
  </si>
  <si>
    <t>Dohoda o ochraně informací</t>
  </si>
  <si>
    <t>IT_Dohoda o ochraně informací</t>
  </si>
  <si>
    <t>S-061/75030926/24</t>
  </si>
  <si>
    <t>Obec Strašnov</t>
  </si>
  <si>
    <t>Zdravotnický dozor, 15.6.2024, ve Strašnově</t>
  </si>
  <si>
    <t>S-062/75030926/24</t>
  </si>
  <si>
    <t>PTÚ_Podnájemní smlouva nebytových prostor a část pozemku</t>
  </si>
  <si>
    <t>26230531</t>
  </si>
  <si>
    <t>S-063/75030926/24</t>
  </si>
  <si>
    <t>Easy run s.r.o.</t>
  </si>
  <si>
    <t>Zdravotnický dozor, Nymburský půlmaraton, 21.4.</t>
  </si>
  <si>
    <t>S-064/75030926/24</t>
  </si>
  <si>
    <t>SOŠ a SOU dopravní Čáslav</t>
  </si>
  <si>
    <t>Zdravotnický dozor, asistence při lize TFA, Kutná hora, 26.3.2024</t>
  </si>
  <si>
    <t>S-065/75030926/24</t>
  </si>
  <si>
    <t>Zdravotnický dozor, jízdy představenstva ŠKODA, Mladá Boleslav,</t>
  </si>
  <si>
    <t>26193011</t>
  </si>
  <si>
    <t>narovnáno S-232/75030926/24</t>
  </si>
  <si>
    <t>S-066/75030926/24</t>
  </si>
  <si>
    <t>Smlouva na služby</t>
  </si>
  <si>
    <t>Smlouva o plánované pomoci_ON Mladá Boleslav</t>
  </si>
  <si>
    <t>26252127</t>
  </si>
  <si>
    <t>S-068/75030926/24</t>
  </si>
  <si>
    <t>Eliška Mošanská</t>
  </si>
  <si>
    <t>Zajištění praxe, Eliška Mošanská, 3-6/24, Příbram</t>
  </si>
  <si>
    <t>S-069/75030926/24</t>
  </si>
  <si>
    <t>Šafránek Vladimír</t>
  </si>
  <si>
    <t>Zajištění praxe, Vladimír Šafránek, 5.-12.4., Příbram</t>
  </si>
  <si>
    <t>S-070/75030926/24</t>
  </si>
  <si>
    <t>Zdravotnický dozor, 8.5., Kolín</t>
  </si>
  <si>
    <t>S-071/75030926/24</t>
  </si>
  <si>
    <t>Petr Nemerád</t>
  </si>
  <si>
    <t>Zajištění praxe, MUDr. Petr Nemerád, 4 dny v únoru, Benešov</t>
  </si>
  <si>
    <t>29.02.2025</t>
  </si>
  <si>
    <t>S-072/75030926/24</t>
  </si>
  <si>
    <t>Všeobecný lékař střední Čechy</t>
  </si>
  <si>
    <t>Zajištění praxe, MUDr. Marina Mazanko, 4.-18.3., Benešov</t>
  </si>
  <si>
    <t>S-073/75030926/24</t>
  </si>
  <si>
    <t>Zdravotnický dozor, 22.6.,Rakovník</t>
  </si>
  <si>
    <t>S-074/75030926/24</t>
  </si>
  <si>
    <t>Zdravotnický dozor, 10.-11.4., Příbram</t>
  </si>
  <si>
    <t>S-075/75030926/24</t>
  </si>
  <si>
    <t>Kupní smlouva_Vozidla hrazená z FZŠ 2023 – Osobní speciální vozidlo ZZS – B</t>
  </si>
  <si>
    <t>26629351</t>
  </si>
  <si>
    <t>S-076/75030926/24</t>
  </si>
  <si>
    <t>Kupní smlouva_Vozidla hrazená z FZŠ 2023 – Osobní speciální vozidlo ZZS – A</t>
  </si>
  <si>
    <t>26630163</t>
  </si>
  <si>
    <t>S-077/75030926/24</t>
  </si>
  <si>
    <t>NARFA s.r.o.</t>
  </si>
  <si>
    <t>Smlouva o úklidových službách – Mladá Boleslav_NAFRA s.r.o.</t>
  </si>
  <si>
    <t>26319695</t>
  </si>
  <si>
    <t>S-078/75030926/24</t>
  </si>
  <si>
    <t>Poskytnutí fin. Prostředků</t>
  </si>
  <si>
    <t>Smlouva o poskytnutí finančních prostředků z FZŠ 2024</t>
  </si>
  <si>
    <t>S-079/75030926/24</t>
  </si>
  <si>
    <t>Nájem nemovité věci - 173,55 m2 prostor</t>
  </si>
  <si>
    <t>26321191</t>
  </si>
  <si>
    <t>S-080/75030926/24</t>
  </si>
  <si>
    <t>Pavlína Karásková</t>
  </si>
  <si>
    <t>Zajištění praxe, Pavlína Karásková, ZOS, 2.-4.4.</t>
  </si>
  <si>
    <t>S-081/75030926/24</t>
  </si>
  <si>
    <t>Filip Novák</t>
  </si>
  <si>
    <t>Zajištění praxe, Filip Novák, ZOS, 2.-4.4.</t>
  </si>
  <si>
    <t>S-082/75030926/24</t>
  </si>
  <si>
    <t>Auto-Poly spol. s.r.o.</t>
  </si>
  <si>
    <t>Kupní smlouva_Motor 1/2024_Auto – Poly spol. s.r.o.</t>
  </si>
  <si>
    <t>Dodání 1ks motoru včetně komponentů</t>
  </si>
  <si>
    <t>26409423</t>
  </si>
  <si>
    <t>S-083/75030926/24</t>
  </si>
  <si>
    <t>Moore Technology CZ s.r.o.</t>
  </si>
  <si>
    <t xml:space="preserve">IT_Rámcová dohoda o zajištění konzultačních a poradenských služeb_IT poradce </t>
  </si>
  <si>
    <t>IT_poradce</t>
  </si>
  <si>
    <t>27425800</t>
  </si>
  <si>
    <t>Rámcová dohoda</t>
  </si>
  <si>
    <t>S-084/75030926/24</t>
  </si>
  <si>
    <t>ČEZ, a.s.</t>
  </si>
  <si>
    <t>Dohoda o narovnání nájmu k vysílači Rakovník od 1.1.2024 do 31.3.2024 - navazuje na S-343/75030926/23</t>
  </si>
  <si>
    <t>Dohoda o narovnání nájmu k vysílači Rakovník</t>
  </si>
  <si>
    <t>S-085/75030926/24</t>
  </si>
  <si>
    <t>Klub veslařů mělnických</t>
  </si>
  <si>
    <t>Zdravotnický dozor, mistrovství ČR ve veslování, 29.3.2024</t>
  </si>
  <si>
    <t>S-086/75030926/24</t>
  </si>
  <si>
    <t>Najemní smlouva_Město Říčany</t>
  </si>
  <si>
    <t>26325335</t>
  </si>
  <si>
    <t>S-087/75030926/24</t>
  </si>
  <si>
    <t>Dohoda o narovnání o nájmu Říčany</t>
  </si>
  <si>
    <t>26335179</t>
  </si>
  <si>
    <t>S-088/75030926/24</t>
  </si>
  <si>
    <t>Smlouva o výpůjčce_Město Jesenice_AED_49646048</t>
  </si>
  <si>
    <t>26315515</t>
  </si>
  <si>
    <t>S-089/75030926/24</t>
  </si>
  <si>
    <t>Nájemní smlouva_VFN v Praze</t>
  </si>
  <si>
    <t>26319235</t>
  </si>
  <si>
    <t>S-090/75030926/24</t>
  </si>
  <si>
    <t>Nymburk Apes, z.s.</t>
  </si>
  <si>
    <t>Zdravotnický dozor, 7.4. na americkém fotbalu, Nymburk</t>
  </si>
  <si>
    <t>S-091/75030926/24</t>
  </si>
  <si>
    <t>Petr Piskáček</t>
  </si>
  <si>
    <t>zajištění praxe, Petr Piskáček, 4-5/2024, Mělník</t>
  </si>
  <si>
    <t>S-092/75030926/24</t>
  </si>
  <si>
    <t>Humilitas s.r.o.</t>
  </si>
  <si>
    <t>Zajištění praxe, MUDr. Marie Jurajdová, květen, Beroun</t>
  </si>
  <si>
    <t>S-093/75030926/24</t>
  </si>
  <si>
    <t>Rámcová servisní smlouva_Revizní činnost v oblasti elektro_SCHEL s.r.o.</t>
  </si>
  <si>
    <t>Revizní činnost v oblasti elektro</t>
  </si>
  <si>
    <t>26448819</t>
  </si>
  <si>
    <t>3862/2024</t>
  </si>
  <si>
    <t>S-095/75030926/24</t>
  </si>
  <si>
    <t>VENCL, s.r.o.</t>
  </si>
  <si>
    <t>NLZP_Rámcová kupní smlouva_Papírové ručníky II._VENCL,s.r.o</t>
  </si>
  <si>
    <t>Papírové ručníky</t>
  </si>
  <si>
    <t>26549199</t>
  </si>
  <si>
    <t>Smlouva o spolupráci_Všeobecná fakultní nemocnice v Praze</t>
  </si>
  <si>
    <t>26409431</t>
  </si>
  <si>
    <t>S-097/75030926/24</t>
  </si>
  <si>
    <t>Ústav pro péči o matku a dítě</t>
  </si>
  <si>
    <t>NLZP_Smlouva o spolupráci při zajištění urgentních transportů_ÚPMD</t>
  </si>
  <si>
    <t>Smlouva o spolupráci při zajištění urgentních transportů_ÚPMD</t>
  </si>
  <si>
    <t>26449995</t>
  </si>
  <si>
    <t>S-098/75030926/24</t>
  </si>
  <si>
    <t>Zdravotnický dozor, 12.-14.4. Benátky nad Jizerou</t>
  </si>
  <si>
    <t>26423551</t>
  </si>
  <si>
    <t>S-099/75030926/24</t>
  </si>
  <si>
    <t>Miroslav Halíř</t>
  </si>
  <si>
    <t>Zajištění praxe, Miroslav Halíř, 3.-17.6., Kolín</t>
  </si>
  <si>
    <t>S-100/75030926/24</t>
  </si>
  <si>
    <t>Štefan Ihnat</t>
  </si>
  <si>
    <t>Zajištění praxe, Štefan Ihnat, květen, Mělník</t>
  </si>
  <si>
    <t>S-101/75030926/24</t>
  </si>
  <si>
    <t>Ondřej Novák</t>
  </si>
  <si>
    <t>Zajištění praxe, Ondřej Novák, 6-7/2024, Lysá nad Labem</t>
  </si>
  <si>
    <t>S-102/75030926/24</t>
  </si>
  <si>
    <t>Lukáš Klazar</t>
  </si>
  <si>
    <t>Zajištění praxe, Lukáš Klazar, 1.-15.7./2024, Brandýs nad Labem</t>
  </si>
  <si>
    <t>S-103/75030926/24</t>
  </si>
  <si>
    <t>Pavel Puravec</t>
  </si>
  <si>
    <t>Zajištění praxe, Pavel Puravec, 6/2024, Mějník</t>
  </si>
  <si>
    <t>odložit?</t>
  </si>
  <si>
    <t>S-104/75030926/24</t>
  </si>
  <si>
    <t>NLZP_Smlouva o spolupráci při zajištění urgentních transportů_FN Motol</t>
  </si>
  <si>
    <t>Smlouva o spolupráci při zajištění urgentních transportů_FN Motol</t>
  </si>
  <si>
    <t>26414419</t>
  </si>
  <si>
    <t>4381/2024</t>
  </si>
  <si>
    <t>S-105/75030926/24</t>
  </si>
  <si>
    <t>Abonentní smlouva</t>
  </si>
  <si>
    <t>PTÚ_Abonentní smlouva_čištění rohoží_CWS Česká republika, s.r.o.</t>
  </si>
  <si>
    <t>Čištění rohoží_CWS Česká republika, s.r.o.</t>
  </si>
  <si>
    <t>S-106/75030926/24</t>
  </si>
  <si>
    <t>ZD Krásná Hora nad Vltavou a.s.</t>
  </si>
  <si>
    <t>Smlouva o mytí služebních vozidel</t>
  </si>
  <si>
    <t>4332/2024</t>
  </si>
  <si>
    <t>S-107/75030926/24</t>
  </si>
  <si>
    <t>Obec Hradištko</t>
  </si>
  <si>
    <t>Smlouva o nájmu prostor nesloužících k podnikání_Obec Hradištko</t>
  </si>
  <si>
    <t>Smlouva o nájmu prostor nesloužících k podnikání</t>
  </si>
  <si>
    <t>26558743</t>
  </si>
  <si>
    <t>S-108/75030926/24</t>
  </si>
  <si>
    <t>LN_Smlouva o poskytování pracovnělékařských služeb_MUDr. Aleš Zikmund</t>
  </si>
  <si>
    <t>MUDr. Aleš Zikmund</t>
  </si>
  <si>
    <t>26507535</t>
  </si>
  <si>
    <t>3895/2024</t>
  </si>
  <si>
    <t>S-110/75030926/24</t>
  </si>
  <si>
    <t>PTÚ_Pojištění majetku_hasiči_SK_Maxima</t>
  </si>
  <si>
    <t>Pojištění majetku_hasiči_SK_Maxima</t>
  </si>
  <si>
    <t>S-111/75030926/24</t>
  </si>
  <si>
    <t>LN_Smlouva o poskytování pracovnělékařských služeb_MUDr. Jana Císařová</t>
  </si>
  <si>
    <t>3903/2024</t>
  </si>
  <si>
    <t>S-112/75030926/24</t>
  </si>
  <si>
    <t>Jiří Křišťál</t>
  </si>
  <si>
    <t>Zajištění prax, Jiří Křišťál, Hořovice, 2.-16.9.</t>
  </si>
  <si>
    <t>S-113/75030926/24</t>
  </si>
  <si>
    <t>Zajištění praxe, Vojtěch Andrlík, 29.-4.-10.5., Říčany</t>
  </si>
  <si>
    <t>S-114/75030926/24</t>
  </si>
  <si>
    <t>Miloš Zelený</t>
  </si>
  <si>
    <t>Zajištění praxe, Miloš Zelený, 1.-17.5.2024, Kutná Hora</t>
  </si>
  <si>
    <t>S-115/75030926/24</t>
  </si>
  <si>
    <t>Lucie Nims</t>
  </si>
  <si>
    <t>Zajištění praxe, Lucie Nims, 5.-9.2024, Lysá nad Labem</t>
  </si>
  <si>
    <t>S-116/75030926/24</t>
  </si>
  <si>
    <t>Luboš Batěk</t>
  </si>
  <si>
    <t>Zajištění praxe Luboš Batěk, 6.-7.2024, Lysá nad Labem</t>
  </si>
  <si>
    <t>S-117/75030926/24</t>
  </si>
  <si>
    <t>Michaela Hejdušková</t>
  </si>
  <si>
    <t>Zajištění praxe Michaela Hejdušková, 4-8/2024, Benešov</t>
  </si>
  <si>
    <t>S-118/75030926/24</t>
  </si>
  <si>
    <t>Matěj Opata</t>
  </si>
  <si>
    <t>Zajištění praxe Matěj Opata, 4-6/2024, Mělník</t>
  </si>
  <si>
    <t>S-119/75030926/24</t>
  </si>
  <si>
    <t>Martin Sůsa</t>
  </si>
  <si>
    <t>Zajištění praxe Martin Sůsa, 7/2024, Příbram</t>
  </si>
  <si>
    <t>S-120/75030926/24</t>
  </si>
  <si>
    <t>Zdeněk Hřebejk</t>
  </si>
  <si>
    <t>Zajištění praxe, Zděněk Hřebejk, 7/2024, Mělník</t>
  </si>
  <si>
    <t>S-121/75030926/24</t>
  </si>
  <si>
    <t>Jaroslav Navrátil</t>
  </si>
  <si>
    <t>Zajištění praxe Jaroslav Navrátil, 4,8/2024, Říčany a Brandýs</t>
  </si>
  <si>
    <t>S-122/75030926/24</t>
  </si>
  <si>
    <t>David Imramovský</t>
  </si>
  <si>
    <t>Zajištění praxe David Imramovský, 7,8/2024, Kolín</t>
  </si>
  <si>
    <t>S-042/75030926/24</t>
  </si>
  <si>
    <t>SNT Plus, s.r.o.</t>
  </si>
  <si>
    <t>Kupní smlouva_ultrazvukové přístroje_2024_SNT Plus s.r.o.</t>
  </si>
  <si>
    <t>Kupní smlouva_ultrazvukové přístroje_2024</t>
  </si>
  <si>
    <t>26193095</t>
  </si>
  <si>
    <t>S-047/75030926/24</t>
  </si>
  <si>
    <t>DOVITAL, s.r.o.</t>
  </si>
  <si>
    <t>Pracovělékařské služby</t>
  </si>
  <si>
    <t>Poskytování pracovnělékařských služeb 2024-2028</t>
  </si>
  <si>
    <t>26024423</t>
  </si>
  <si>
    <t>S-123/75030926/24</t>
  </si>
  <si>
    <t>Pojistná smlouva o pojištění vozidel – FLOTILA</t>
  </si>
  <si>
    <t>S-124/75030926/24</t>
  </si>
  <si>
    <t>Zdravotnický dozor, 16.4., den otevřených dveří, Stará boleslav</t>
  </si>
  <si>
    <t>S-125/75030926/24</t>
  </si>
  <si>
    <t>Tomáš Rohla</t>
  </si>
  <si>
    <t>Zajištění praxe Tomáš Rohla, 7/2024, Rakovník</t>
  </si>
  <si>
    <t>S-126/75030926/24</t>
  </si>
  <si>
    <t>Luděk Tučka</t>
  </si>
  <si>
    <t>Zajištění praxe, Luděk Tučka, 8.-31.7.2024, Mělník</t>
  </si>
  <si>
    <t>S-127/75030926/24</t>
  </si>
  <si>
    <t>Krištýna Oubrechtová</t>
  </si>
  <si>
    <t>Zajištění praxe Kristýna Oubrechtová, 5-8/2024, Říčany</t>
  </si>
  <si>
    <t>S-128/75030926/24</t>
  </si>
  <si>
    <t>David Peter</t>
  </si>
  <si>
    <t>Zajištění praxe David Peter, 5-10/2024, Benešov</t>
  </si>
  <si>
    <t>S-129/75030926/24</t>
  </si>
  <si>
    <t>Adéla Vitásková</t>
  </si>
  <si>
    <t>Zajištění praxe Adéla Vitásková, 13.5.-15.9.2024, Příbram</t>
  </si>
  <si>
    <t>S-067/75030926/24</t>
  </si>
  <si>
    <t>Abonentní smlouva na mycí služby</t>
  </si>
  <si>
    <t>S-094/75030926/24</t>
  </si>
  <si>
    <t>Smlouva o vypořádání závazků</t>
  </si>
  <si>
    <t>Smlouva o vypořádání závazků ke smlouvě S-136/75030926/23</t>
  </si>
  <si>
    <t>26633023</t>
  </si>
  <si>
    <t>4144/2024</t>
  </si>
  <si>
    <t>S-109/75030926/24</t>
  </si>
  <si>
    <t>SMLOUVA PŘEVODNÍ</t>
  </si>
  <si>
    <t>Smlouva převodní</t>
  </si>
  <si>
    <t>Smlouva o bezúplatném převodu_Domov Mladá_nosítka</t>
  </si>
  <si>
    <t>Smlouva o bezúplatném převodu</t>
  </si>
  <si>
    <t>26540563</t>
  </si>
  <si>
    <t>S-130/75030926/24</t>
  </si>
  <si>
    <t>ZÁVĚRKA - ELEKTŘINA</t>
  </si>
  <si>
    <t>Powertica Energie a.s.</t>
  </si>
  <si>
    <t xml:space="preserve">Závěrkový list </t>
  </si>
  <si>
    <t>PTÚ_Závěrkový list_Smlouva na elektřinu EL-20240613-4504-33</t>
  </si>
  <si>
    <t>Závěrkový list - smlouva na elektřinu</t>
  </si>
  <si>
    <t>S-131/75030926/24</t>
  </si>
  <si>
    <t>Smlouva o úklidových službách - Kolín_KLM SECURITY GROUP s.r.o.</t>
  </si>
  <si>
    <t>Smlouva o úklidových službách - Kolín</t>
  </si>
  <si>
    <t>26680271</t>
  </si>
  <si>
    <t>4841/2024</t>
  </si>
  <si>
    <t>S-059/75030926/24</t>
  </si>
  <si>
    <t>LN_Kupní smlouva_celotělové výukové modely pro KPR</t>
  </si>
  <si>
    <t>Kupní smlouva_celotělové výukové modely pro KPR</t>
  </si>
  <si>
    <t>26544111</t>
  </si>
  <si>
    <t>S-132/75030926/24</t>
  </si>
  <si>
    <t>Odborné učiliště praktická škola</t>
  </si>
  <si>
    <t>Zdravotnický dozor, 3.5. ve škole v Příbrami</t>
  </si>
  <si>
    <t>S-133/75030926/24</t>
  </si>
  <si>
    <t>Zajištění stáže, MUDr. Kristýna Čechalová, 4/24-7/25, emergency ÚVN</t>
  </si>
  <si>
    <t>26598243</t>
  </si>
  <si>
    <t>S-134/75030926/24</t>
  </si>
  <si>
    <t>IT_Kupní smlouva_Zařízení pro zajištění záložní komunikační trasy výj. st. II</t>
  </si>
  <si>
    <t>Zařízení pro zajištění záložní komunikační trasy výj. st.</t>
  </si>
  <si>
    <t>26727231</t>
  </si>
  <si>
    <t>S-135/75030926/24</t>
  </si>
  <si>
    <t>ÚAMK-CYKLO-TRAIL KLUB Střední</t>
  </si>
  <si>
    <t>Zdravotnický dozor, mistrovství ČR v trialu, 27.4. Trialpark Sklenka, VZ Říčany</t>
  </si>
  <si>
    <t>S-136/75030926/24</t>
  </si>
  <si>
    <t>Mateřská škola Strančice</t>
  </si>
  <si>
    <t>Zdravotnický dozor, 21.5. v MŠ Strančice, VZ Benešov</t>
  </si>
  <si>
    <t>S-137/75030926/24</t>
  </si>
  <si>
    <t>Zdravotnický dozor 15.5. v Olešné, VZ Rakovník</t>
  </si>
  <si>
    <t>S-138/75030926/24</t>
  </si>
  <si>
    <t>Zdravotnický dozor, 18.5. VZ Mladá Boleslav</t>
  </si>
  <si>
    <t>S-139/75030926/24</t>
  </si>
  <si>
    <t>Zajištění praxe Jiří Křišťál, 9/2024, Hořovice</t>
  </si>
  <si>
    <t>S-140/75030926/24</t>
  </si>
  <si>
    <t>Zajištění praxe Lukáš Klazar, 9/2024, Brandýs nad Labem</t>
  </si>
  <si>
    <t>S-141/75030926/24</t>
  </si>
  <si>
    <t>David Blecha</t>
  </si>
  <si>
    <t>Zajištění praxe David Blecha, 6/2024, Rakovník</t>
  </si>
  <si>
    <t>S-142/75030926/24</t>
  </si>
  <si>
    <t>Zdravotnický dozor 25.5., VZ Kolín</t>
  </si>
  <si>
    <t>S-143/75030926/24</t>
  </si>
  <si>
    <t>Terezie Zuntychová</t>
  </si>
  <si>
    <t>Zajištění praxe, Terezie Zuntychová, 7-8/24, Říčany</t>
  </si>
  <si>
    <t>S-144/75030926/24</t>
  </si>
  <si>
    <t>Rámcová dohoda o podmínkách poskytování mobilních služeb_O2</t>
  </si>
  <si>
    <t>Mobilní služby_O2</t>
  </si>
  <si>
    <t>S-145/75030926/24</t>
  </si>
  <si>
    <t>Zdravotnický dozor, 17.5., Lysá nad Labem</t>
  </si>
  <si>
    <t>S-146/75030926/24</t>
  </si>
  <si>
    <t>Sbor dobrovolných hasičů Petříkov</t>
  </si>
  <si>
    <t>Zdravotnický dozor, 4.5., Petříkov, VZ Říčany</t>
  </si>
  <si>
    <t>S-147/75030926/24</t>
  </si>
  <si>
    <t>Zajištění praxe, Miloš Zelený, 6/2024, Kutná Hora</t>
  </si>
  <si>
    <t>S-148/75030926/24</t>
  </si>
  <si>
    <t>Město Stochov</t>
  </si>
  <si>
    <t>Zdravotnický dozor, 15.5., Stochov, VZ Rakovník</t>
  </si>
  <si>
    <t>S-149/75030926/24</t>
  </si>
  <si>
    <t>Zdravotnický dozor, 12.5. ZZS Nymburk</t>
  </si>
  <si>
    <t>S-150/75030926/24</t>
  </si>
  <si>
    <t>Obec Zvěřínek</t>
  </si>
  <si>
    <t>Zdravotnický dozor, 1.6. obec Zvěřínek, VZ Nymburk</t>
  </si>
  <si>
    <t>S-151/75030926/24</t>
  </si>
  <si>
    <t>Obec Velký Borek</t>
  </si>
  <si>
    <t>Zdravotnický dozor 16.6., obec Velký Borek, VZ Mělník</t>
  </si>
  <si>
    <t>S-152/75030926/24</t>
  </si>
  <si>
    <t>Jan Kaprál</t>
  </si>
  <si>
    <t>Zajištění praxe, Jan Kaprál, 6.-14.6.2024, Vlašim</t>
  </si>
  <si>
    <t>S-153/75030926/24</t>
  </si>
  <si>
    <t>SARKAMED</t>
  </si>
  <si>
    <t>Zajištění praxe, MUDr. Ihar Tsiatserych, 8.7.-21.7.2024, Kladno</t>
  </si>
  <si>
    <t>S-154/75030926/24</t>
  </si>
  <si>
    <t>LN_Smlouva o poskytování pracovnělékařských služeb_Kačengovi</t>
  </si>
  <si>
    <t>Smlouva o poskytování pracovnělékařských služeb_Kačengovi</t>
  </si>
  <si>
    <t>26876462</t>
  </si>
  <si>
    <t>5293/2024</t>
  </si>
  <si>
    <t>S-155/75030926/24</t>
  </si>
  <si>
    <t>LN_Smlouva o poskytování pracovnělékařských služeb_ON Kolín</t>
  </si>
  <si>
    <t>Smlouva o poskytování pracovnělékařských služeb_ON Kolín</t>
  </si>
  <si>
    <t>26875938</t>
  </si>
  <si>
    <t>5325/2024</t>
  </si>
  <si>
    <t>S-156/75030926/24</t>
  </si>
  <si>
    <t>PTÚ_Kupní smlouva_Vozidla v systému rendez vous s rozšířenou výbavou 2024</t>
  </si>
  <si>
    <t>Kupní smlouva na dodání vozidel v systému rendez vous s rozšířenou výbavou 2024</t>
  </si>
  <si>
    <t>26874054</t>
  </si>
  <si>
    <t>5691/2024</t>
  </si>
  <si>
    <t>S-157/75030926/24</t>
  </si>
  <si>
    <t>ZAJIŠTĚNÍ PRAXE</t>
  </si>
  <si>
    <t>Zajištění praxe Petr Piskáček, 3.-24.9., Mělník</t>
  </si>
  <si>
    <t>S-158/75030926/24</t>
  </si>
  <si>
    <t>Jakub Škach</t>
  </si>
  <si>
    <t>Zajištění praxe, Jakub Škach, 8/2024, Mělník</t>
  </si>
  <si>
    <t>S-159/75030926/24</t>
  </si>
  <si>
    <t>Mgr. Jolana Jurásková</t>
  </si>
  <si>
    <t>Zajištění praxe, Mgr. Jolana Jurásková, 13., 14., 15.5.2024, ZOS</t>
  </si>
  <si>
    <t>S-160/75030926/24</t>
  </si>
  <si>
    <t>Zdravotnický dozor, 15.,16.6. v Mladé Boleslavi</t>
  </si>
  <si>
    <t>S-161/75030926/24</t>
  </si>
  <si>
    <t>Zdravotnický dozor 16.5.2024, Příbram</t>
  </si>
  <si>
    <t>S-162/75030926/24</t>
  </si>
  <si>
    <t>Obec Ledčice</t>
  </si>
  <si>
    <t>Zdravotnický dozor, 25.5., VZ Mělník</t>
  </si>
  <si>
    <t>S-163/75030926/24</t>
  </si>
  <si>
    <t>NLZP_Rámcová kupní smlouva_Nesterilní tampony</t>
  </si>
  <si>
    <t>Nesterilní tampony</t>
  </si>
  <si>
    <t>26992748</t>
  </si>
  <si>
    <t>S-164/75030926/24</t>
  </si>
  <si>
    <t>Město Rakovník</t>
  </si>
  <si>
    <t>Zdravotnický dozor, 30.5. den dětí, Rakovník</t>
  </si>
  <si>
    <t>S-165/75030926/24</t>
  </si>
  <si>
    <t>Věra Linhartová</t>
  </si>
  <si>
    <t>Zajištění praxe Věra Linhartová, 6/24, Příbram</t>
  </si>
  <si>
    <t>S-166/75030926/24</t>
  </si>
  <si>
    <t>Lumír Kadlec</t>
  </si>
  <si>
    <t>Zajištění praxe Lumír Kadlec, 20.,27.5., 3.,10.,17.6., Příbram</t>
  </si>
  <si>
    <t>S-167/75030926/24</t>
  </si>
  <si>
    <t>Zajištění praxe Michaela Hejdušková, 5-8/2024, Roztoky u Prahy</t>
  </si>
  <si>
    <t>S-168/75030926/24</t>
  </si>
  <si>
    <t>Základní škola Benešov</t>
  </si>
  <si>
    <t>Zdravotnický dozor 4. a 13.6.2024, VZ Benešov</t>
  </si>
  <si>
    <t>S-169/75030926/24</t>
  </si>
  <si>
    <t>Zajištění praxe David Imramovský, 24.-28.6.2024, Kolín</t>
  </si>
  <si>
    <t>S-170/75030926/24</t>
  </si>
  <si>
    <t>Michal Pospíšil</t>
  </si>
  <si>
    <t>Zajištění praxe Michal Pospíšil, 5-12/24, Zdiby</t>
  </si>
  <si>
    <t>S-171/75030926/24</t>
  </si>
  <si>
    <t>Zajištění praxe, Zdeněk Hřebejk, 9.-13.9.24, Říčany</t>
  </si>
  <si>
    <t>S-172/75030926/24</t>
  </si>
  <si>
    <t>Josef Kuděj</t>
  </si>
  <si>
    <t>Zajištění praxe Josef Kuděj, 8-9/24, Rakovník</t>
  </si>
  <si>
    <t>S-173/75030926/24</t>
  </si>
  <si>
    <t>Servodata a.s.</t>
  </si>
  <si>
    <t>IT_Smlouva na služby_pronájem vypočetních nodů</t>
  </si>
  <si>
    <t>Pronájem vypočetních nodů</t>
  </si>
  <si>
    <t>27216044</t>
  </si>
  <si>
    <t>Smlouva o nakládání s odpadem č. SP20200081/01.06.2024</t>
  </si>
  <si>
    <t>26978600</t>
  </si>
  <si>
    <t>ARGUN s.r.o.</t>
  </si>
  <si>
    <t>Balistické vesty pro posádky ZZS SK</t>
  </si>
  <si>
    <t>27150888</t>
  </si>
  <si>
    <t>FENCL-SAFETY s.r.o.</t>
  </si>
  <si>
    <t>PTÚ_Smlouva o poskytování služeb_Analýza provozních revizí</t>
  </si>
  <si>
    <t>Analýza provozních revizí</t>
  </si>
  <si>
    <t>27103992</t>
  </si>
  <si>
    <t>Ministerstvo vnitra ČR</t>
  </si>
  <si>
    <t>Centrální nákup produktů Microsoft</t>
  </si>
  <si>
    <t>S-174/75030926/24</t>
  </si>
  <si>
    <t xml:space="preserve">Smlouva o nakládání s odpadem </t>
  </si>
  <si>
    <t>S-175/75030926/24</t>
  </si>
  <si>
    <t>S-176/75030926/24</t>
  </si>
  <si>
    <t>S-177/75030926/24</t>
  </si>
  <si>
    <t>IT_Smlouva o centralizovaném zadávání_MV ČR_Centrální nákup produktů Microsoft</t>
  </si>
  <si>
    <t>S-178/75030926/24</t>
  </si>
  <si>
    <t>PTÚ_Kupní smlouva_Vozidla hrazená z FZŠ 2023_Část C –Sanitní vozidlo ZZS – typ C</t>
  </si>
  <si>
    <t>FZŠ_Sanitní vozidla typ C</t>
  </si>
  <si>
    <t>27018476</t>
  </si>
  <si>
    <t>S-179/75030926/24</t>
  </si>
  <si>
    <t>PTÚ_Smlouva o dílo_oprava vozidla VW Transporter T6 SPZ 3SU 6709</t>
  </si>
  <si>
    <t>Oprava vozidla VW Transporter T6 SPZ 3SU 6709</t>
  </si>
  <si>
    <t>27090248</t>
  </si>
  <si>
    <t>6148/2024</t>
  </si>
  <si>
    <t>S-180/75030926/24</t>
  </si>
  <si>
    <t>MUDr. Jana Bačovská</t>
  </si>
  <si>
    <t>LN_Smlouva o poskytování pracovnělékařských služeb_MUDr. Jana Bačovská</t>
  </si>
  <si>
    <t>Smlouva o poskytování pracovnělékařských služeb_MUDr. Jana Bačovská</t>
  </si>
  <si>
    <t>27104516</t>
  </si>
  <si>
    <t>S-181/75030926/24</t>
  </si>
  <si>
    <t>Jakub Motejzík</t>
  </si>
  <si>
    <t>NLZP_Smlouva o výrobě audiovizuálního díla_Putovní 155</t>
  </si>
  <si>
    <t>Smlouva o výrobě audiovizuálního díla_Putovní 155</t>
  </si>
  <si>
    <t>S-182/75030926/24</t>
  </si>
  <si>
    <t>NLZP_zdravotnický dozor 17.6., VZ Kladno</t>
  </si>
  <si>
    <t>zdravotnický dozor 17.6., VZ Kladno</t>
  </si>
  <si>
    <t>S-183/75030926/24</t>
  </si>
  <si>
    <t>NLZP_Zdravotnický dozor 31.8.2024, VZ Benešov</t>
  </si>
  <si>
    <t>Zdravotnický dozor 31.8.2024, VZ Benešov</t>
  </si>
  <si>
    <t>S-184/75030926/24</t>
  </si>
  <si>
    <t>NLZP_Zdravotnický dozor, 1.6. VZ Benešov</t>
  </si>
  <si>
    <t>Zdravotnický dozor, 1.6. VZ Benešov</t>
  </si>
  <si>
    <t>S-185/75030926/24</t>
  </si>
  <si>
    <t>Tělovýchovná jednota Slavia</t>
  </si>
  <si>
    <t>NLZP_Zdravotnický dozor, 1.6.2024, Louňovice, VZ Říčany</t>
  </si>
  <si>
    <t>Zdravotnický dozor, 1.6.2024, Louňovice, VZ Říčany</t>
  </si>
  <si>
    <t>S-186/75030926/24</t>
  </si>
  <si>
    <t>SH ČMS</t>
  </si>
  <si>
    <t>NLZP_Zdravotnický dozor, 10.8.2024, Městec Králové, VZ Nymburk</t>
  </si>
  <si>
    <t>Zdravotnický dozor, 10.8.2024, Městec Králové, VZ Nymburk</t>
  </si>
  <si>
    <t>S-187/75030926/24</t>
  </si>
  <si>
    <t>Spolek rodičů ZŠ</t>
  </si>
  <si>
    <t>NLZP_Zdravotnický dozor 15.6.2024, Milín, VZ Příbram</t>
  </si>
  <si>
    <t>Zdravotnický dozor 15.6.2024, Milín, VZ Příbram</t>
  </si>
  <si>
    <t>S-188/75030926/24</t>
  </si>
  <si>
    <t>NLZP_Zdravotnický dozor 1.6.2024, Červené Janovice, VZ Kutná Hora</t>
  </si>
  <si>
    <t>Zdravotnický dozor 1.6.2024, Červené Janovice, VZ Kutná Hora</t>
  </si>
  <si>
    <t>S-189/75030926/24</t>
  </si>
  <si>
    <t>NLZP_Zdravotnický dozor 8.6.2024, Býchory, VZ Kolín</t>
  </si>
  <si>
    <t>Zdravotnický dozor 8.6.2024, Býchory, VZ Kolín</t>
  </si>
  <si>
    <t>S-190/75030926/24</t>
  </si>
  <si>
    <t>Město Příbram</t>
  </si>
  <si>
    <t>NLZP_Zdravotnický dozor 7.6.2024, VZ Příbram</t>
  </si>
  <si>
    <t>Zdravotnický dozor 7.6.2024, VZ Příbram</t>
  </si>
  <si>
    <t>S-191/75030926/24</t>
  </si>
  <si>
    <t>NLZP_Zdravotnický dozor 8.6.2024, VZ Kolín</t>
  </si>
  <si>
    <t>Zdravotnický dozor 8.6.2024, VZ Kolín</t>
  </si>
  <si>
    <t>S-192/75030926/24</t>
  </si>
  <si>
    <t>Památník Lidice</t>
  </si>
  <si>
    <t>NLZP_Zdravotnický dozor 15.6.2024, Lidice, VZ Kladno</t>
  </si>
  <si>
    <t>Zdravotnický dozor 15.6.2024, Lidice, VZ Kladno</t>
  </si>
  <si>
    <t>S-193/75030926/24</t>
  </si>
  <si>
    <t>NLZP_Zdravotnický dozor 21.6.2024, Sedlčany, VZ Příbram</t>
  </si>
  <si>
    <t>Zdravotnický dozor 21.6.2024, Sedlčany, VZ Příbram</t>
  </si>
  <si>
    <t>S-194/75030926/24</t>
  </si>
  <si>
    <t>Vít Bartůšek</t>
  </si>
  <si>
    <t>NLZP_Zajištění praxe Vít Bartůšek, 6-10/2024, Benešov</t>
  </si>
  <si>
    <t>Zajištění praxe Vít Bartůšek, 6-10/2024, Benešov</t>
  </si>
  <si>
    <t>S-195/75030926/24</t>
  </si>
  <si>
    <t>NLZP_Zajištění praxe Ondřej Novák, 7-9/24, Lysá nad Labem</t>
  </si>
  <si>
    <t>Zajištění praxe Ondřej Novák, 7-9/24, Lysá nad Labem</t>
  </si>
  <si>
    <t>S-196/75030926/24</t>
  </si>
  <si>
    <t>M A K R O-ND spol. s r.o.</t>
  </si>
  <si>
    <t>PTÚ_Kupní smlouva_Letní pneumatiky a disky 2024</t>
  </si>
  <si>
    <t>Letní pneumatiky a disky 2024</t>
  </si>
  <si>
    <t>27251036</t>
  </si>
  <si>
    <t>S-197/75030926/24</t>
  </si>
  <si>
    <t>ATERVI s.r.o.</t>
  </si>
  <si>
    <t>NLZP_Smlouva o dílo_Animované spoty s tématikou první pomoci</t>
  </si>
  <si>
    <t>Animované spoty</t>
  </si>
  <si>
    <t>27274228</t>
  </si>
  <si>
    <t>S-198/75030926/24</t>
  </si>
  <si>
    <t>T.O.P. UMWELT spol. s r.o.</t>
  </si>
  <si>
    <t>PTÚ_Smlouva na služby_Svoz odpadu_Hostivice</t>
  </si>
  <si>
    <t>27166864</t>
  </si>
  <si>
    <t>6497/2024</t>
  </si>
  <si>
    <t>S-199/75030926/24</t>
  </si>
  <si>
    <t>PTÚ_Smlouva na služby_Svoz odpadu_Kladno</t>
  </si>
  <si>
    <t>6498/2024</t>
  </si>
  <si>
    <t>S-200/75030926/24</t>
  </si>
  <si>
    <t>Dohoda smluvních stran</t>
  </si>
  <si>
    <t>RE_Dohoda o podmínkách podávání listovních zásilek_Česká pošta</t>
  </si>
  <si>
    <t>Listovní zásilky</t>
  </si>
  <si>
    <t>27232284</t>
  </si>
  <si>
    <t>S-201/75030926/24</t>
  </si>
  <si>
    <t>RE_Dohoda o podmínkách podávání balíkových zásilek_Česká pošta</t>
  </si>
  <si>
    <t>Balíkové zásilky</t>
  </si>
  <si>
    <t>27232296</t>
  </si>
  <si>
    <t>S-202/75030926/24</t>
  </si>
  <si>
    <t>PTÚ_Smlouva o dílo_Svoz a ukládání odpadu_Sedlčany</t>
  </si>
  <si>
    <t>Svoz a ukládání odpadu</t>
  </si>
  <si>
    <t>27165508</t>
  </si>
  <si>
    <t>S-203/75030926/24</t>
  </si>
  <si>
    <t>PTÚ_Smlouva o nakládání s odpadem č. S/C338/05060933/228/2024</t>
  </si>
  <si>
    <t>S-204/75030926/24</t>
  </si>
  <si>
    <t>PTÚ_Závěrkový list_Smlouva na elektřinu EL-20240613-4503-227</t>
  </si>
  <si>
    <t>S-205/75030926/24</t>
  </si>
  <si>
    <t>PTÚ_Závěrkový list_Smlouva na plyn PL-20240613-3919-168</t>
  </si>
  <si>
    <t>Závěrkový list - smlouva na plyn</t>
  </si>
  <si>
    <t>S-206/75030926/24</t>
  </si>
  <si>
    <t>Základní škola Sadská</t>
  </si>
  <si>
    <t>Zdravotnický dozor 6.6., Sázava, VZ Kolín</t>
  </si>
  <si>
    <t>S-207/75030926/24</t>
  </si>
  <si>
    <t>Zdravotnický dozo 15.6., VZ Nymburkr</t>
  </si>
  <si>
    <t>NLZP_Zdravotnický dozor 15.6., VZ Nymburk</t>
  </si>
  <si>
    <t>S-208/75030926/24</t>
  </si>
  <si>
    <t>Zdravotnický dozor 14.6.2024, VZ Beroun</t>
  </si>
  <si>
    <t>S-209/75030926/24</t>
  </si>
  <si>
    <t>Zajištění praxe Tomáš Rohla, 6,8/2024, VZ Rakovník</t>
  </si>
  <si>
    <t>S-210/75030926/24</t>
  </si>
  <si>
    <t>Jobman, s.r.o.</t>
  </si>
  <si>
    <t>IT_Smlouva na služby_Posouzení stavu sítě s ohledem na KB</t>
  </si>
  <si>
    <t>Posouzení stavu sítě s ohledem na KB</t>
  </si>
  <si>
    <t>27253920</t>
  </si>
  <si>
    <t>6953/2024</t>
  </si>
  <si>
    <t>S-211/75030926/24</t>
  </si>
  <si>
    <t>KERMEN LOBRI, s.r.o.</t>
  </si>
  <si>
    <t>PTÚ_smlouva o dílo_Oprava střechy ZZS Kolín – II. část</t>
  </si>
  <si>
    <t>Oprava střechy Kolín</t>
  </si>
  <si>
    <t>27487220</t>
  </si>
  <si>
    <t>S-212/75030926/24</t>
  </si>
  <si>
    <t>Ministerstvo financí ČR</t>
  </si>
  <si>
    <t>IT_Smlouva o centralizovaném zadávání_pořízení komodit_ntb</t>
  </si>
  <si>
    <t>pořízení komodit_ntb</t>
  </si>
  <si>
    <t>S-213/75030926/24</t>
  </si>
  <si>
    <t>LN_Pracovnělékařská smlouva_ON Příbram</t>
  </si>
  <si>
    <t>Pracovnělékařská smlouva</t>
  </si>
  <si>
    <t>S-214/75030926/24</t>
  </si>
  <si>
    <t>LN_Pracovnělékařská smlouva_MUDr. Drábová</t>
  </si>
  <si>
    <t>Pracovnělékařská smlouva - MUDr. Drábová</t>
  </si>
  <si>
    <t>S-215/75030926/24</t>
  </si>
  <si>
    <t>VZP - 111</t>
  </si>
  <si>
    <t xml:space="preserve">Zdravotní pojištění </t>
  </si>
  <si>
    <t>VZP - 111_Zdravotní pojištění_Smlouvu o poskytování a úhradě hrazených služeb</t>
  </si>
  <si>
    <t xml:space="preserve">Smlouva o poskytování a úhradě služeb </t>
  </si>
  <si>
    <t>S-216/75030926/24</t>
  </si>
  <si>
    <t>Vojenská zdravotní pojišťovna ČR</t>
  </si>
  <si>
    <t>201 VoZP_Zdravotní péče_Smlouvu o poskytování a úhradě hrazených služeb</t>
  </si>
  <si>
    <t>S-217/75030926/24</t>
  </si>
  <si>
    <t>Česká průmyslová zdravotní pojišťovna</t>
  </si>
  <si>
    <t>205 ČPZP_Zdravotní pojištění - Smlouva o poskytování  úhradě zdravotních služeb</t>
  </si>
  <si>
    <t>S-218/75030926/24</t>
  </si>
  <si>
    <t>207 OZP_Zdravotní pojištění_- Smlouva o poskytování  úhradě zdravotních služeb</t>
  </si>
  <si>
    <t>S-219/75030926/24</t>
  </si>
  <si>
    <t>209 ZP Škoda_Zdravotní pojištění_Smlouva o poskytování a úhradě hrazených služeb</t>
  </si>
  <si>
    <t>S-220/75030926/24</t>
  </si>
  <si>
    <t>SÚJCHB</t>
  </si>
  <si>
    <t>Zdravotnický dozor 28.-29.6., SÚJCHBO, VZ Příbram</t>
  </si>
  <si>
    <t>S-221/75030926/24</t>
  </si>
  <si>
    <t>Zdravotnický dozor 13.7.2024, VZ Rakovník</t>
  </si>
  <si>
    <t>S-222/75030926/24</t>
  </si>
  <si>
    <t>Ing. Tereza Nosková</t>
  </si>
  <si>
    <t>Zajištění praxe Ing. Tereza Nosková, 5-8/2024, VZ Brandýs nad Labem</t>
  </si>
  <si>
    <t>S-223/75030926/24</t>
  </si>
  <si>
    <t>VHS HC Benešov, s.r.o.</t>
  </si>
  <si>
    <t>Úře_Smlouva o vypořádání závazků k objednávce O-0026/75030926/2024/RE</t>
  </si>
  <si>
    <t>27419844</t>
  </si>
  <si>
    <t>S-224/75030926/24</t>
  </si>
  <si>
    <t>PER_Smlouva o poskytování služeb_Benefitní program pro zaměstnance_Multisport</t>
  </si>
  <si>
    <t>Benefitní program pro zaměstnance_Multisport</t>
  </si>
  <si>
    <t>27403224</t>
  </si>
  <si>
    <t>S-225/75030926/24</t>
  </si>
  <si>
    <t>Zdravotní pojišťovna ministerstva vnitra ČR</t>
  </si>
  <si>
    <t>211 ZPMV_Smlouva o poskytování  úhradě zdravotních služeb</t>
  </si>
  <si>
    <t>S-226/75030926/24</t>
  </si>
  <si>
    <t>RBP, zdravotní pojišťovna</t>
  </si>
  <si>
    <t>213 RBP ZP_Sml o poskytování a úhradě zdr. péče hrazené z veř. zdrav. pojištění</t>
  </si>
  <si>
    <t>S-227/75030926/24</t>
  </si>
  <si>
    <t>NLZP_Smlouva o spolupráci při poskytování ZZS</t>
  </si>
  <si>
    <t xml:space="preserve">Poskytovní zdravotní záchranné služby </t>
  </si>
  <si>
    <t>S-228/75030926/24</t>
  </si>
  <si>
    <t>PER_Smlouva na služby_Zajištění služeb vyhledávání zaměstnanců</t>
  </si>
  <si>
    <t>Zajištění služeb vyhledávání zaměstnanců</t>
  </si>
  <si>
    <t>27664604</t>
  </si>
  <si>
    <t>S-229/75030926/24</t>
  </si>
  <si>
    <t>NLZP_Zajištění praxe Martin Sůsa, 9/2024, Příbram</t>
  </si>
  <si>
    <t>Zajištění praxe Martin Sůsa, 9/2024, Příbram</t>
  </si>
  <si>
    <t>S-230/75030926/24</t>
  </si>
  <si>
    <t>Město Týnec na Sázavou</t>
  </si>
  <si>
    <t>NLZP_Zdravotnický dozor, 24.6. Týnec nad Sázavou, VZ Benešov</t>
  </si>
  <si>
    <t>Zdravotnický dozor, 24.6. Týnec nad Sázavou, VZ Benešov</t>
  </si>
  <si>
    <t>S-231/75030926/24</t>
  </si>
  <si>
    <t>PTÚ_Smlouva o podnájmu nemovité věci_Modrá Loděnice</t>
  </si>
  <si>
    <t>Smlouva o podnájmu nemovité věci_Slapy</t>
  </si>
  <si>
    <t>27403396</t>
  </si>
  <si>
    <t>S-232/75030926/24</t>
  </si>
  <si>
    <t>Dohoda o vypořádání</t>
  </si>
  <si>
    <t>NLZP_Dohoda bezd. oboha. ke smlouvě S-065/75030926/24</t>
  </si>
  <si>
    <t>27457980</t>
  </si>
  <si>
    <t>S-233/75030926/24</t>
  </si>
  <si>
    <t>Nymburk Apes</t>
  </si>
  <si>
    <t>NLZP - Zdravotnický dozor 30.6., VZ Nymburk</t>
  </si>
  <si>
    <t>S-234/75030926/24</t>
  </si>
  <si>
    <t>ESP Products, s.r.o.</t>
  </si>
  <si>
    <t>NLZP_Smlouva o vypořádání závazků k objednávce č.O-0085/75030926/2024/NNLZP</t>
  </si>
  <si>
    <t>NNLZP_Smlouva o vypořádání závazků k objednávce č.O-0085/75030926/2024/NNLZP</t>
  </si>
  <si>
    <t>27465052</t>
  </si>
  <si>
    <t>7298/2024</t>
  </si>
  <si>
    <t>S-235/75030926/24</t>
  </si>
  <si>
    <t>Záchranná služba ASČR P-Z</t>
  </si>
  <si>
    <t>NLZP_Dohoda o spolupráci_ZZS SK a ZS ASČR PZ stanoviště Barrandovská zátoka_Orlík</t>
  </si>
  <si>
    <t>ZZS SK a ZS ASČR PZ stanoviště Barrandovská zátoka_Orlík</t>
  </si>
  <si>
    <t>S-236/75030926/24</t>
  </si>
  <si>
    <t>IT_Smlouva o spolupráci_Zajištění kybernetické bezpečnosti</t>
  </si>
  <si>
    <t>Zajištění kybernetické bezpečnosti</t>
  </si>
  <si>
    <t>S-237/75030926/24</t>
  </si>
  <si>
    <t>Veronika Dvořáková</t>
  </si>
  <si>
    <t>NLZP_Zajištění praxe Dvořáková Veronika, 22.7.- 4.8., VZ Kladno</t>
  </si>
  <si>
    <t>Zajištění praxe Dvořáková Veronika, 22.7.- 4.8., VZ Kladno</t>
  </si>
  <si>
    <t>S-238/75030926/24</t>
  </si>
  <si>
    <t xml:space="preserve">Zdravotnické centrum Chlumec </t>
  </si>
  <si>
    <t>NLZP_Zajištění praxe MUDr. Miroslav Louda, 7-12/24, Nymburk</t>
  </si>
  <si>
    <t>Zajištění praxe MUDr. Miroslav Louda, 7-12/24, Nymburk</t>
  </si>
  <si>
    <t>S-239/75030926/24</t>
  </si>
  <si>
    <t>NLZP_Zajištění praxe, Jan Kaprál, 22.7,-2.8.2024, Vlašim</t>
  </si>
  <si>
    <t>Zajištění praxe, Jan Kaprál, 22.7,-2.8.2024, Vlašim</t>
  </si>
  <si>
    <t>S-240/75030926/24</t>
  </si>
  <si>
    <t>NLZP_Rámcová smlouva o zajištění praxe studentů AKK Řidič vozidla ZZS</t>
  </si>
  <si>
    <t>Zajištění praxe studenů</t>
  </si>
  <si>
    <t>27630108</t>
  </si>
  <si>
    <t>S-241/75030926/24</t>
  </si>
  <si>
    <t>Rámcová smlouva_Infuzní sety</t>
  </si>
  <si>
    <t>Infuzní sety</t>
  </si>
  <si>
    <t>27632100</t>
  </si>
  <si>
    <t>S-242/75030926/24</t>
  </si>
  <si>
    <t>PTÚ_Smlouva o dílo_Oprava vozidla zn. VW Transporter spz 5SJ2927</t>
  </si>
  <si>
    <t>Oprava vozidla SPZ 5SJ 2927</t>
  </si>
  <si>
    <t>27566844</t>
  </si>
  <si>
    <t>S-243/75030926/24</t>
  </si>
  <si>
    <t>IT_Dohoda o vypořádání bezdůvodného obohacení</t>
  </si>
  <si>
    <t>Dohoda o vypořádání bezdůvodného obohacení</t>
  </si>
  <si>
    <t>27569652</t>
  </si>
  <si>
    <t>S-244/75030926/24</t>
  </si>
  <si>
    <t>PTÚ_Smlouva o vypořádání závazků</t>
  </si>
  <si>
    <t>S-245/75030926/24</t>
  </si>
  <si>
    <t>Lada Mrštíková</t>
  </si>
  <si>
    <t>Zajištění praxe Lada Mrštíková, stáž ZOS, 9.-10.7.</t>
  </si>
  <si>
    <t>S-246/75030926/24</t>
  </si>
  <si>
    <t>Pánevní pásy</t>
  </si>
  <si>
    <t>S-247/75030926/24</t>
  </si>
  <si>
    <t>PTÚ_Smlouva o dílo_Oprava vozidla zn. VW Transporter spz 6SJ 6524</t>
  </si>
  <si>
    <t>Oprava vozidla SPZ 6SJ 6524</t>
  </si>
  <si>
    <t>27631356</t>
  </si>
  <si>
    <t>S-027/75030926/24</t>
  </si>
  <si>
    <t>Oprava vozidla SPZ 3SU 6604</t>
  </si>
  <si>
    <t>S-248/75030926/24</t>
  </si>
  <si>
    <t>Konzultační služby</t>
  </si>
  <si>
    <t>Konzultační a další související služby</t>
  </si>
  <si>
    <t>27704520</t>
  </si>
  <si>
    <t>S-249/75030926/24</t>
  </si>
  <si>
    <t>BEPPO Kutná Hora s.r.o.</t>
  </si>
  <si>
    <t>Smlouva o zajištění likvidace odpadu</t>
  </si>
  <si>
    <t>S-250/75030926/24</t>
  </si>
  <si>
    <t>Provádění oprav, kontrol a čištění výměníku (LAVAL)</t>
  </si>
  <si>
    <t>S-252/75030926/24</t>
  </si>
  <si>
    <t>Interpharmac s.r.o.</t>
  </si>
  <si>
    <t>LN_Rámcová kupní smlouva_Léky III</t>
  </si>
  <si>
    <t>Léky III</t>
  </si>
  <si>
    <t>Úsek</t>
  </si>
  <si>
    <t>Měsíce</t>
  </si>
  <si>
    <t>Kontrolní</t>
  </si>
  <si>
    <t>Ano</t>
  </si>
  <si>
    <t>Ne</t>
  </si>
  <si>
    <t>Upozornění před koncem smlouvy</t>
  </si>
  <si>
    <t>Komentář oddělení VZ</t>
  </si>
  <si>
    <t>Je smlouva v pořádku?</t>
  </si>
  <si>
    <t>Smlouva</t>
  </si>
  <si>
    <t>NE, viz komentář</t>
  </si>
  <si>
    <t>KOMENTÁŘ ÚSEKU</t>
  </si>
  <si>
    <t>S-253/75030926/24</t>
  </si>
  <si>
    <t>Všeobecná fakultní nemocnice</t>
  </si>
  <si>
    <t>Smlouva o spolupráci_ECMO_ECPR do terénu</t>
  </si>
  <si>
    <t>ECMO_ECPR do terénu</t>
  </si>
  <si>
    <t>Oprava sanitního vozidla SPZ 5SL 2326</t>
  </si>
  <si>
    <t>Smlouva o dílo_Oprava sanitního vozidla SPZ 5SL 2326</t>
  </si>
  <si>
    <t>ARC Vehicles s.r.o.</t>
  </si>
  <si>
    <t>S-254/75030926/24</t>
  </si>
  <si>
    <t>S-255/75030926/24</t>
  </si>
  <si>
    <t>ZZS hl. města Prahy</t>
  </si>
  <si>
    <t>Smlouva o spolupráci při zajištění přepravy patologického novorozence</t>
  </si>
  <si>
    <t>Zajištění přepravy patologického novorozence</t>
  </si>
  <si>
    <t>S-256/75030926/24</t>
  </si>
  <si>
    <t>S-257/75030926/24</t>
  </si>
  <si>
    <t>S-258/75030926/24</t>
  </si>
  <si>
    <t>S-259/75030926/24</t>
  </si>
  <si>
    <t>S-260/75030926/24</t>
  </si>
  <si>
    <t>S-261/75030926/24</t>
  </si>
  <si>
    <t>ZAJIŠTĚNÍ STÁŽE</t>
  </si>
  <si>
    <t>Zajištění stáže MUC. Vanessa Jeníková, 8-12/2024,</t>
  </si>
  <si>
    <t>MUC. Vanessa Jeníková</t>
  </si>
  <si>
    <t>Zajištění stáže Jaroslav Navrátil, 2.,15.,16., 22., 26.8., Brandýs nad Labem</t>
  </si>
  <si>
    <t>Zajištění stáže Tetiana Pop. 29.7.-9.8., Nymburk</t>
  </si>
  <si>
    <t>INC a.s.</t>
  </si>
  <si>
    <t>Zajištění praxe MUDr. Marie Rusínová, 16.8.-31.8., Kolín</t>
  </si>
  <si>
    <t>Všeobecný lékař posázaví s.r.o.</t>
  </si>
  <si>
    <t>Dohoda o narovnání ke smlouvě S-323/75030926/23</t>
  </si>
  <si>
    <t xml:space="preserve">Dohoda o narovnání </t>
  </si>
  <si>
    <t>Eurodan, s.r.o.</t>
  </si>
  <si>
    <t>Smlouva o poskytování služeb_zpracování požadavků</t>
  </si>
  <si>
    <t>27751700</t>
  </si>
  <si>
    <t>S-262/75030926/24</t>
  </si>
  <si>
    <t>Smlouva o dílo - servis přístrojů_BTK</t>
  </si>
  <si>
    <t>Servis přístrojů_BTK</t>
  </si>
  <si>
    <t>PKP</t>
  </si>
  <si>
    <t>PKP_Kupní smlouva_Balistické vesty pro posádky ZZS SK</t>
  </si>
  <si>
    <t>27783060</t>
  </si>
  <si>
    <t>S-263/75030926/24</t>
  </si>
  <si>
    <t>Kupní smlouva-přístroje pro nepřímou srdeční masáž</t>
  </si>
  <si>
    <t>Přístroje pro nepřímou srdeční masáž</t>
  </si>
  <si>
    <t>S-264/75030926/24</t>
  </si>
  <si>
    <t>Dohoda o přenosu</t>
  </si>
  <si>
    <t>Zřízení nastavení přenosu neprověřeného čísla volajícího</t>
  </si>
  <si>
    <t>Dohoda o nastavení přenosu neprověřeného čísla volajícího</t>
  </si>
  <si>
    <t>27817064</t>
  </si>
  <si>
    <t>27820288</t>
  </si>
  <si>
    <t>27833796</t>
  </si>
  <si>
    <t>S-267/75030926/24</t>
  </si>
  <si>
    <t>NLZP_Rámcová kupní smlouva_Pánevní pásy</t>
  </si>
  <si>
    <t xml:space="preserve">Poskytování plánované pomoci na vyžádání </t>
  </si>
  <si>
    <t>RS o spolupráci v rámci IZS na úrovni SK</t>
  </si>
  <si>
    <t>S-268/75030926/24</t>
  </si>
  <si>
    <t>S-269/75030926/24</t>
  </si>
  <si>
    <t>S-270/75030926/24</t>
  </si>
  <si>
    <t>Výzkumný ústav geodetický, topografický a kartografický, v.v.i.</t>
  </si>
  <si>
    <t>Nájem za účelem konání jednorázových jednodenních školení</t>
  </si>
  <si>
    <t>Ukončeno</t>
  </si>
  <si>
    <t>Přepsat na úsek LN</t>
  </si>
  <si>
    <t>Ukončeno, pokračuje</t>
  </si>
  <si>
    <t>Všeobecné lékařství s.r.o.- MUDr. Darebná</t>
  </si>
  <si>
    <t>JASUPREN s.r.o.- MUDr. Sůvová</t>
  </si>
  <si>
    <t>faktura? Předávák? Je tam záruka 24 měsíců od předání- patří pod VVS</t>
  </si>
  <si>
    <t>27767192</t>
  </si>
  <si>
    <t>S-272/75030926/24</t>
  </si>
  <si>
    <t>Memorandum</t>
  </si>
  <si>
    <t>Středočeský kraj, ŘSD s.p.,Hasičský záchranný sbor Středočeského kraje</t>
  </si>
  <si>
    <t>S-265/75030926/24</t>
  </si>
  <si>
    <t xml:space="preserve">Rámcová kupní smlouva - Dezinfekce II. </t>
  </si>
  <si>
    <t xml:space="preserve">B. Braun Medical s.r.o. </t>
  </si>
  <si>
    <t>MEMORANDUM</t>
  </si>
  <si>
    <t>Spolupráce při výstavbě společného centra IZS v Jílovém u Prahy</t>
  </si>
  <si>
    <t>Dodávky dezinfekcí dle jednotlivých objednávek</t>
  </si>
  <si>
    <t xml:space="preserve">Memorandum o spolupráci při výstavbě </t>
  </si>
  <si>
    <t>předpokládáme, že smlouva je pro tiskovou mluvčí</t>
  </si>
  <si>
    <t>nutno upravit kontaktní osoby, MUDR. Kušička</t>
  </si>
  <si>
    <t>po vypršení platnosti se nebude již prolongovat</t>
  </si>
  <si>
    <t>předpokládáme, že smluva by měla patřit pod ZOS</t>
  </si>
  <si>
    <t>dle vyjádření O2 je smluva na dobu neurčitou</t>
  </si>
  <si>
    <t>firma Lacera, s.r.o. již neexistuje od 5. října 2018, viz https://rejstrik-firem.kurzy.cz/rejstrik-firem/DO-48907804-lacera-sro/</t>
  </si>
  <si>
    <t>)</t>
  </si>
  <si>
    <t>zvážit smlouvu přesunout na personální úsek</t>
  </si>
  <si>
    <t>kontaktní osoba byl MUDr. Matoušek, předpokládáme, že smluva by měla patřit pod ZOS</t>
  </si>
  <si>
    <t>nutno otevřít diskuzi se ZOS, kdo bude tyto smlouvy spravovat</t>
  </si>
  <si>
    <t>POTŘEBA REVIZE SMLOUVY :EDIT OIT: tato smluva se týka verz VEMY pro ekonomické oddělení</t>
  </si>
  <si>
    <t>PŮVODNÍ SMLOUVA JEŠTĚ s. Panem Finkem, v nejbilžěí době se může zrušit</t>
  </si>
  <si>
    <t>smlouva ukončena, čekáme na předávácí protokol majetku</t>
  </si>
  <si>
    <t>navrhujeme smlouvu přesunout do gesce tiskové mluvčí</t>
  </si>
  <si>
    <t>el. podpis  je v řešení</t>
  </si>
  <si>
    <t>S-271/75030926/24</t>
  </si>
  <si>
    <t>OCC s.r.o.</t>
  </si>
  <si>
    <t>Kupní smlouva - Dodávka výpočetní techniky</t>
  </si>
  <si>
    <t>Dodávka výpočetní techniky</t>
  </si>
  <si>
    <t>zveřejněno pod sml. č. S-323/75030926/23</t>
  </si>
  <si>
    <t>fajka</t>
  </si>
  <si>
    <t>Fajka</t>
  </si>
  <si>
    <t>Poslat</t>
  </si>
  <si>
    <t>No a</t>
  </si>
  <si>
    <t>Vím</t>
  </si>
  <si>
    <t>Nevím jestli vráceno - majetek</t>
  </si>
  <si>
    <t>Revize</t>
  </si>
  <si>
    <t>Podívám se na to</t>
  </si>
  <si>
    <t>Nerozumím</t>
  </si>
  <si>
    <t>IT</t>
  </si>
  <si>
    <t>Cizmarik</t>
  </si>
  <si>
    <t>Nováková</t>
  </si>
  <si>
    <t>Zaslat smlouvu</t>
  </si>
  <si>
    <t>nová smlouva</t>
  </si>
  <si>
    <t>Sedláček</t>
  </si>
  <si>
    <t>poslat</t>
  </si>
  <si>
    <t>nerozumím</t>
  </si>
  <si>
    <t>nové smlouyv - 4 subjekty</t>
  </si>
  <si>
    <t>pokud je smlouva, jak můžeme mít dohodu na tu samou činnost</t>
  </si>
  <si>
    <t>nevím poslat</t>
  </si>
  <si>
    <t>Patrície Sedláčková</t>
  </si>
  <si>
    <t>Čižmárik</t>
  </si>
  <si>
    <t>nové smlouvy 4 subjekty</t>
  </si>
  <si>
    <t>sedláček</t>
  </si>
  <si>
    <t>Fajka-Menšíková</t>
  </si>
  <si>
    <t>S-273/75030926/24</t>
  </si>
  <si>
    <t>S-274/75030926/24</t>
  </si>
  <si>
    <t>S-275/75030926/24</t>
  </si>
  <si>
    <t>S-276/75030926/24</t>
  </si>
  <si>
    <t>S-277/75030926/24</t>
  </si>
  <si>
    <t>S-278/75030926/24</t>
  </si>
  <si>
    <t>S-279/75030926/24</t>
  </si>
  <si>
    <t>S-280/75030926/24</t>
  </si>
  <si>
    <t>S-281/75030926/24</t>
  </si>
  <si>
    <t>S-282/75030926/24</t>
  </si>
  <si>
    <t>Zdraví-život, zapsaný spolek</t>
  </si>
  <si>
    <t>Zdravotnický dozor_7.9.2024_Sobotka</t>
  </si>
  <si>
    <t>Zdravotnický dozor_srpen/září_Mladá Boleslav</t>
  </si>
  <si>
    <t>TV Nova s.r.o.</t>
  </si>
  <si>
    <t>Zdravotnický dozor_7.8.2024_Poděbrady</t>
  </si>
  <si>
    <t xml:space="preserve">Keep Respect </t>
  </si>
  <si>
    <t>Zdravotnický dozor_3.8.2024_Kladruby</t>
  </si>
  <si>
    <t>Kupní smlouva_AED_II.</t>
  </si>
  <si>
    <t>Zuzana Sirotková</t>
  </si>
  <si>
    <t>Zajištění praxe_Zuzana Sirotková_5 dnů</t>
  </si>
  <si>
    <t>Zajištění praxe_MUDr. Nadim Musa_7 směn</t>
  </si>
  <si>
    <t>Lukáš Stráník</t>
  </si>
  <si>
    <t>Zajištění praxe_Lukáš Stráník_9.8.2024</t>
  </si>
  <si>
    <t>Zajištění praxe_Daniel Mrázek_39 dnů</t>
  </si>
  <si>
    <t>Zajištění praxe_Anna Soukupová_20 dnů v zimě+20dnů v létě</t>
  </si>
  <si>
    <t>TISKOVÝ REFERÁT</t>
  </si>
  <si>
    <t>Pokud finančně vyrovnáno, smlouvu odložit</t>
  </si>
  <si>
    <t>UKONČENO V ROCE 2021</t>
  </si>
  <si>
    <t>Nahrazuje  12/09/070 12/10/078</t>
  </si>
  <si>
    <t>Nahrazena 042/75030926/17</t>
  </si>
  <si>
    <t>V řešení. Čekáme na novou smlouvu.</t>
  </si>
  <si>
    <t>POSLEDNÍ CENÍK 2020, JE TO OK? Novější ceník nemáme k dispozici</t>
  </si>
  <si>
    <t>Ano, využíváme</t>
  </si>
  <si>
    <t>SVOZ ODPADU a Plastu VZ Mělník, aktualizace dodatkem 01.2024</t>
  </si>
  <si>
    <r>
      <t>INFLACE/</t>
    </r>
    <r>
      <rPr>
        <sz val="10"/>
        <color rgb="FFFF0000"/>
        <rFont val="Arial"/>
        <family val="2"/>
        <charset val="238"/>
      </rPr>
      <t>*ODPAD*</t>
    </r>
  </si>
  <si>
    <t>Smlouva do 31.5.2024. Sankce, předpoklad dodávky počátek října 2024</t>
  </si>
  <si>
    <t>probíhá</t>
  </si>
  <si>
    <t>S-283/75030926/24</t>
  </si>
  <si>
    <t>BestDrive Czech Republic s.r.o.</t>
  </si>
  <si>
    <t>Rámcová kupní_pneu, autodíly, autodoplňky, servisní služby</t>
  </si>
  <si>
    <t>S-284/75030926/24</t>
  </si>
  <si>
    <t>Kupní smlouva_motor 6/2024</t>
  </si>
  <si>
    <t>vyjádření p. Štěpána: nebude se využívat, soudní spor v gesci ředitele</t>
  </si>
  <si>
    <t>vyjádření p. Štěpána: v gesci ředitele</t>
  </si>
  <si>
    <t>Kupní smlouva_motor 5/2024</t>
  </si>
  <si>
    <t>S-285/75030926/24</t>
  </si>
  <si>
    <t>S-286/75030926/24</t>
  </si>
  <si>
    <t>CSF, s.r.o.</t>
  </si>
  <si>
    <t>Kupní smlouva _Dodávka výpočetní techniky</t>
  </si>
  <si>
    <t>S-287/75030926/24</t>
  </si>
  <si>
    <t xml:space="preserve">Smlouva o nájmu nebytových prostor </t>
  </si>
  <si>
    <t>S-288/75030926/24</t>
  </si>
  <si>
    <t>Ordinace Pokorná a Bezdíčková</t>
  </si>
  <si>
    <t>Zajištění praxe_MUDr. Karolína Jančarová_16.9.-27.9.</t>
  </si>
  <si>
    <t>S-289/75030926/24</t>
  </si>
  <si>
    <t>Vendula Snížková</t>
  </si>
  <si>
    <t>Zajištění praxe_Vendula Snížková_10 směn</t>
  </si>
  <si>
    <t>S-290/75030926/24</t>
  </si>
  <si>
    <t>Zdravotnický dozor_SH ČMS_Den hasičů a záchranářů</t>
  </si>
  <si>
    <t>S-291/75030926/24</t>
  </si>
  <si>
    <t>Zajištění praxe_Miroslav Halíř_28.8.2024</t>
  </si>
  <si>
    <t>S-292/75030926/24</t>
  </si>
  <si>
    <t>Milan Mašek</t>
  </si>
  <si>
    <t>Smlouva o dílo_Nábytek ZZS Roztoky II.</t>
  </si>
  <si>
    <t>S-293/75030926/24</t>
  </si>
  <si>
    <t>S-294/75030926/24</t>
  </si>
  <si>
    <t>S-295/75030926/24</t>
  </si>
  <si>
    <t>Naděžda Kintzl</t>
  </si>
  <si>
    <t>Zdravotnický dozor_Běhěm Třebotovem 2024_14.9.2024</t>
  </si>
  <si>
    <t>Sazamed, s.r.o.</t>
  </si>
  <si>
    <t>Zajištění stáže_MUDr. Pavel Sova_10 směn</t>
  </si>
  <si>
    <t>Junák - český skaut, středisko</t>
  </si>
  <si>
    <t>Zdravotnický dozor_Dětský den_7.9.2024</t>
  </si>
  <si>
    <t>S-083/75030926/24/01</t>
  </si>
  <si>
    <t>DÍLČÍ SMLOUVA</t>
  </si>
  <si>
    <t>Dílčí smlouva</t>
  </si>
  <si>
    <t>Dílčí smlouva č. 1 k Rámcové dohodě S-083/75030926/24</t>
  </si>
  <si>
    <t>S-296/75030926/24</t>
  </si>
  <si>
    <t>Smlouva o výpůjčce_krizový materiál pro PČR</t>
  </si>
  <si>
    <t>S-297/75030926/24</t>
  </si>
  <si>
    <t>TJ Sokol Holubice, z.s.</t>
  </si>
  <si>
    <t>Zdravotnický dozor_skupina Olympic_19.7.2024_Holubice</t>
  </si>
  <si>
    <t>S-298/75030926/24</t>
  </si>
  <si>
    <t xml:space="preserve">Státní ústav jaderné ochrany </t>
  </si>
  <si>
    <t>Zdravotnický dozor_18.-19.9.2024_SÚJCHBO Milín</t>
  </si>
  <si>
    <t>S-299/75030926/24</t>
  </si>
  <si>
    <t>SH ČMS Sbor dobrovolných hasičů Bohostice</t>
  </si>
  <si>
    <t>Zdravotnický dozor_14.9.2024_SDH Bohostice</t>
  </si>
  <si>
    <t>S-300/75030926/24</t>
  </si>
  <si>
    <t>ZŠ a MŠ Hředle</t>
  </si>
  <si>
    <t>Zdravotnický dozor_18.9.2024_Hředle</t>
  </si>
  <si>
    <t>S-301/75030926/24</t>
  </si>
  <si>
    <t>Pražská energetika, a.s.</t>
  </si>
  <si>
    <t>Smlouva na elektřinu</t>
  </si>
  <si>
    <t>S-302/75030926/24</t>
  </si>
  <si>
    <t>Zdravotnický dozor_7.9.2024_Dětský den_Jesenice</t>
  </si>
  <si>
    <t>S-303/75030926/24</t>
  </si>
  <si>
    <t>Sára Nováková</t>
  </si>
  <si>
    <t>Zajištění praxe_Sára Nováková_9/2024-9/2025</t>
  </si>
  <si>
    <t>S-304/75030926/24</t>
  </si>
  <si>
    <t>MUDr. Martina Obročníková</t>
  </si>
  <si>
    <t>Zajištění praxe_MUDr. Martina Obročníková_5 směn</t>
  </si>
  <si>
    <t>S-305/75030926/24</t>
  </si>
  <si>
    <t>SMLOUVA O VYPOŘÁDÁNÍ</t>
  </si>
  <si>
    <t>Smlouva o vypořádání závazků ke smlouvě S-029/75030926/22_výpůjčka AED</t>
  </si>
  <si>
    <t>Číslo smlouvy</t>
  </si>
  <si>
    <t>Název</t>
  </si>
  <si>
    <t>Partner</t>
  </si>
  <si>
    <t>Předpokládaná hodnota bez DPH</t>
  </si>
  <si>
    <t xml:space="preserve">Předpokládaná hodnota s DPH </t>
  </si>
  <si>
    <t>Platné do</t>
  </si>
  <si>
    <t>ZBÝVÁ</t>
  </si>
  <si>
    <t>bez DPH</t>
  </si>
  <si>
    <t>s DPH</t>
  </si>
  <si>
    <t>Celkem</t>
  </si>
  <si>
    <t>S-306/75030926/24</t>
  </si>
  <si>
    <t>Mafra s.r.o.</t>
  </si>
  <si>
    <t>Zdravotnický dozor_firemní den OTK Group Kolín_14.9.2024</t>
  </si>
  <si>
    <t xml:space="preserve">Intraoseální jehly s příslušenstvím </t>
  </si>
  <si>
    <t>Jednorázové přikrývky</t>
  </si>
  <si>
    <t>Vivamed, s.r.o.</t>
  </si>
  <si>
    <t>Jednorázový povlak na deku - 2</t>
  </si>
  <si>
    <t>Ušní kloboučky k teploměrům</t>
  </si>
  <si>
    <t>Lamipromed, s.r.o.</t>
  </si>
  <si>
    <t>Hadička spojovací</t>
  </si>
  <si>
    <t>Adaptéry ke kapnografu EMMA</t>
  </si>
  <si>
    <t>LHL, s.r.o.</t>
  </si>
  <si>
    <t>BTK, Servis a náhradní díly pro defibrilátory Corpuls 3</t>
  </si>
  <si>
    <t>Cheirón, a.s.</t>
  </si>
  <si>
    <t>Fixační límce</t>
  </si>
  <si>
    <t>Clinitex, s.r.o.</t>
  </si>
  <si>
    <t>OOPP pro členy výjezdových skupin ZZS SČK - obuv</t>
  </si>
  <si>
    <t>Rouška na popáleniny chladící</t>
  </si>
  <si>
    <t>Jednorázová prostěradla</t>
  </si>
  <si>
    <t>Rukavice</t>
  </si>
  <si>
    <t>Intravenózní kanyly</t>
  </si>
  <si>
    <t>Testovací proužky do glukometru</t>
  </si>
  <si>
    <t>Papírové ručníky II.</t>
  </si>
  <si>
    <t>Gravitační infuzní sety</t>
  </si>
  <si>
    <t>Dezinfekce II.</t>
  </si>
  <si>
    <t>Pharmos, a.s.</t>
  </si>
  <si>
    <t>Léky III.</t>
  </si>
  <si>
    <t>Infuzní roztoky II.</t>
  </si>
  <si>
    <t>Poskytování stavebně-technických činností</t>
  </si>
  <si>
    <t>Easy CPM, s.r.o.</t>
  </si>
  <si>
    <t>Schel, s.r.o.</t>
  </si>
  <si>
    <t>Pneu, autodíly, autodoplňky, servisní služby</t>
  </si>
  <si>
    <t>BestDrive Czech Republic, s.r.o.</t>
  </si>
  <si>
    <t>Papír do termotiskáren</t>
  </si>
  <si>
    <t>VTR Computers, s.r.o.</t>
  </si>
  <si>
    <t>Zajištění admin. a real. projektu Zajištění kyber. bezp. ZZS SK</t>
  </si>
  <si>
    <t>TresTech, s.r.o.</t>
  </si>
  <si>
    <t xml:space="preserve">Zajištění konzultačních a poradenských služeb </t>
  </si>
  <si>
    <t>S-307/75030926/2024</t>
  </si>
  <si>
    <t>S-308/75030926/2024</t>
  </si>
  <si>
    <t>S-309/75030926/2024</t>
  </si>
  <si>
    <t>S-310/75030926/2024</t>
  </si>
  <si>
    <t>Fakultní nemocnice Na Bulovce</t>
  </si>
  <si>
    <t>Smlouva o spolupráci_patologické semináře, praktický nácvik</t>
  </si>
  <si>
    <t>Kupní smlouva_Motory 2024 – ČÁST A - 2x motory pro vozidla</t>
  </si>
  <si>
    <t>Kupní smlouva_Motory 2024 – ČÁST B - 1 x motor pro vozidlo</t>
  </si>
  <si>
    <t>Kupní smlouva_Motory 2024 – ČÁST C - 1x motor pro vozidlo</t>
  </si>
  <si>
    <t>Smlouva na dodávku elektřiny_ZZS Roztoky</t>
  </si>
  <si>
    <t>S-311/75030926/2024</t>
  </si>
  <si>
    <t>Záchranná služba ASČR Kralupy</t>
  </si>
  <si>
    <t>S-312/75030926/2024</t>
  </si>
  <si>
    <t>S-313/75030926/2024</t>
  </si>
  <si>
    <t>S-314/75030926/2024</t>
  </si>
  <si>
    <t>Zajištění praxe_Zuzana Sirotková_24.9.-25.9.</t>
  </si>
  <si>
    <t>Zajištění praxe_Vojtěch Hambálek_24.9.-25.9.</t>
  </si>
  <si>
    <t>Vojtěch Hambálek</t>
  </si>
  <si>
    <t>Zdravotnický dozor_akce Revolution train_8.10.2024</t>
  </si>
  <si>
    <t>S-315/75030926/2024</t>
  </si>
  <si>
    <t>ITCON Solutions s.r.o.</t>
  </si>
  <si>
    <t>Smlouva o dílo _audit kyber. bezp. inf. a komunikačních systémů</t>
  </si>
  <si>
    <t>Audit kybernetické bezpečnosti informačních a komunikačních systémů</t>
  </si>
  <si>
    <t>S-316/75030926/2024</t>
  </si>
  <si>
    <t>Pixato Creative, s.r.o.</t>
  </si>
  <si>
    <t>Dohoda bezd. oboha. k objednávce O-0818/75030926/2024/ZOS</t>
  </si>
  <si>
    <t>S-317/75030926/2024</t>
  </si>
  <si>
    <t>Dohoda o vypořádání bezdůvodného obohacení ke smlouvě č. 14/09/109</t>
  </si>
  <si>
    <t>Dohoda o vypořádání bez. obohacení ke smlouvě č. 14/09/109</t>
  </si>
  <si>
    <t>Smlouva o výpůjčce_detektory CO</t>
  </si>
  <si>
    <t>Smlouva o výpůjčcee_detektory CO</t>
  </si>
  <si>
    <t>S-318/75030926/2024</t>
  </si>
  <si>
    <t>Rámcová smlouva o spolupráci při realizaci praktické části akredit. kurzu</t>
  </si>
  <si>
    <t>S-319/75030926/2024</t>
  </si>
  <si>
    <t>ALFIN servis, s.r.o.</t>
  </si>
  <si>
    <t>Smlouva o poskytování služeb_Účetní poradenství</t>
  </si>
  <si>
    <t>ANO</t>
  </si>
  <si>
    <t>S-320/75030926/2024</t>
  </si>
  <si>
    <t>Smlouva na dodávku elektřiny_ZZS Dobříš</t>
  </si>
  <si>
    <t>zveřejněno protistranou pod ID 18950091</t>
  </si>
  <si>
    <t>B&amp;P Research, s.r.o.</t>
  </si>
  <si>
    <t>Alter Audit, s.r.o.</t>
  </si>
  <si>
    <t>Bene Factum, a.s.</t>
  </si>
  <si>
    <t>KTTP, s.r.o.</t>
  </si>
  <si>
    <t>Moore Accounting CZ, s.r.o.</t>
  </si>
  <si>
    <t>S-321/75030926/2024</t>
  </si>
  <si>
    <t>zdravotnízajištění, z.s.</t>
  </si>
  <si>
    <t>Smlouva o bezúplatném převodu majetku - sanita Volkswagen, RZ: 2SD 2580</t>
  </si>
  <si>
    <t>sanita Volkswagen, RZ: 2SD 2580</t>
  </si>
  <si>
    <t>S-322/75030926/2024</t>
  </si>
  <si>
    <t>Smlouva o bezúplatném převodu majetku – sanity Volkswagen 3 ks</t>
  </si>
  <si>
    <t>sanity Volkswagen 3 ks</t>
  </si>
  <si>
    <t>S-323/75030926/2024</t>
  </si>
  <si>
    <t>Střední odborná škola a Střední odborné učiliště řemesel, Kutná Hora, Čáslavská 202</t>
  </si>
  <si>
    <t>Smlouva o bezúplatném převodu majetku–sanita Volkswagen, RZ: 2SD 2581</t>
  </si>
  <si>
    <t>sanita Volkswagen, RZ: 2SD 2581</t>
  </si>
  <si>
    <t>S-324/75030926/2024</t>
  </si>
  <si>
    <t>Team 4 Ukraine, z.s.</t>
  </si>
  <si>
    <t>Smlouva o bezúplatném převodu majetku – sanity 8 ks</t>
  </si>
  <si>
    <t>Smlouva o smlouvě budoucí - připojení Nymburk</t>
  </si>
  <si>
    <t>ČEZ Distribuce a.s.</t>
  </si>
  <si>
    <t>SMLOUVA O SMLOUVĚ BUDOUCÍ</t>
  </si>
  <si>
    <t>S-326/75030926/2024</t>
  </si>
  <si>
    <t>Smlouva o výpujčce_detektor plynu CO</t>
  </si>
  <si>
    <t>Krajské ředitelství policie SK</t>
  </si>
  <si>
    <t>Smlouva o připojení</t>
  </si>
  <si>
    <t>Smlouva o připojení do distribušní sítě odb. místo Nymburk</t>
  </si>
  <si>
    <t>Smlouva o poskytování služeb_účetní poradenství</t>
  </si>
  <si>
    <t>S-328/75030926/2024</t>
  </si>
  <si>
    <t>S-329/75030926/2024</t>
  </si>
  <si>
    <t>S-330/75030926/2024</t>
  </si>
  <si>
    <t>S-331/75030926/2024</t>
  </si>
  <si>
    <t>S-325/75030926/2024</t>
  </si>
  <si>
    <t>S-327/75030926/2024</t>
  </si>
  <si>
    <t>Zdravotnický dozor_natáčení seriálu ,,Buldok z Poděbrad''_9,10,2024</t>
  </si>
  <si>
    <t>Zdravotnický dozor_natáčení seriálu ,,Buldok z Poděbrad''_9,10,2025</t>
  </si>
  <si>
    <t>Zajištění praxe_MUC.Vanessa Jeníková</t>
  </si>
  <si>
    <t>Zdravotnický dozor_hokejové zápasy_72 hodin dozoru</t>
  </si>
  <si>
    <t>MUDr. Marcel Nesvadba, s.r.o.</t>
  </si>
  <si>
    <t>Zajištění praxe_Kseniia Bilomeria_7 směn</t>
  </si>
  <si>
    <t>v průběhu se změnilo DPH</t>
  </si>
  <si>
    <t>S-332/75030926/2024</t>
  </si>
  <si>
    <t>Záchranná služba ASČR Praha-západ</t>
  </si>
  <si>
    <t>Smlouva o výpujčce_detektory plynu CO</t>
  </si>
  <si>
    <t>Dohoda bezd. oboha. k objed. O-1088/75030926/2024/LN</t>
  </si>
  <si>
    <t>S-333/75030926/2024</t>
  </si>
  <si>
    <t>Kupní smlouva_Licence pro navigační tablety</t>
  </si>
  <si>
    <t>S-335/75030926/2024</t>
  </si>
  <si>
    <t>Dohoda o vypořádání bezd. oboha. ke smlouvě č. S-330/75030926/2024</t>
  </si>
  <si>
    <t>Dohoda o vypořádání bezd. oboha. ke smlouvě č. S-330/75030926/2025</t>
  </si>
  <si>
    <t xml:space="preserve">Sbor dobrovolných hasičů </t>
  </si>
  <si>
    <t>PTÚ_Podnájemní smlouva nebytových prostor a část pozemku_Dobříš</t>
  </si>
  <si>
    <t>Ano, je to tak i v šanonu - HČ-na obálce napsáno neurčito</t>
  </si>
  <si>
    <t>JEŠTĚ PLATNÉ? - dotaz Zuzu</t>
  </si>
  <si>
    <t>bačovská</t>
  </si>
  <si>
    <t>Ještě není podepsáno, stále se řeší ve VFN</t>
  </si>
  <si>
    <r>
      <rPr>
        <b/>
        <sz val="10"/>
        <color theme="1"/>
        <rFont val="Arial"/>
        <family val="2"/>
        <charset val="238"/>
      </rPr>
      <t>Zrušit</t>
    </r>
    <r>
      <rPr>
        <sz val="10"/>
        <color theme="1"/>
        <rFont val="Arial"/>
        <family val="2"/>
        <charset val="238"/>
      </rPr>
      <t>, byla založena omylem</t>
    </r>
  </si>
  <si>
    <t>S-336/75030926/2024</t>
  </si>
  <si>
    <t>S-337/75030926/2024</t>
  </si>
  <si>
    <t>S-338/75030926/2024</t>
  </si>
  <si>
    <t>S-339/75030926/2024</t>
  </si>
  <si>
    <t>MUDr. Radoslav Svoboda, s.r.o.</t>
  </si>
  <si>
    <t>Zajištění praxe_MUDr. Barbora Kapičková_10 směn</t>
  </si>
  <si>
    <t>Zajištění praxe_MUDr. Lenka Míšková_10 směn</t>
  </si>
  <si>
    <t>MUDr. Igor Karen, s.r.o.</t>
  </si>
  <si>
    <t>Zajištění praxe_MUDr. Martin Fejfar_10 směn</t>
  </si>
  <si>
    <t>MUDr. Pavel Brejník</t>
  </si>
  <si>
    <t>Zdravotnický dozor_MOL CUP SK_31.10.2024</t>
  </si>
  <si>
    <t>S-340/75030926/2024</t>
  </si>
  <si>
    <t>Rámcová smlouva_NPO_Právní podpora</t>
  </si>
  <si>
    <t>S-341/75030926/2024</t>
  </si>
  <si>
    <t>Kupní smlouva_IT901 ReDat obnova II</t>
  </si>
  <si>
    <t>VLOŽENÁ SMLOUVA NENÍ PODEPSÁNA-HČ_v šanonu také nepodepsaná</t>
  </si>
  <si>
    <r>
      <t xml:space="preserve">do Vemy není vložena smlouva dodavatel x ZZS SK - A NEMÁME JÍ ANI FYZICKY? nOVOU SMLOUVU? JE TO HODNĚ HISTORICKÉ- </t>
    </r>
    <r>
      <rPr>
        <b/>
        <sz val="10"/>
        <color rgb="FF7030A0"/>
        <rFont val="Arial"/>
        <family val="2"/>
        <charset val="238"/>
      </rPr>
      <t>HČ u nás jsem nenašla v šanonu</t>
    </r>
  </si>
  <si>
    <r>
      <t xml:space="preserve">Pokud ČEZ uhradil, smouvu odložte. Kontrola úhrady - EKO, </t>
    </r>
    <r>
      <rPr>
        <sz val="10"/>
        <color rgb="FF7030A0"/>
        <rFont val="Arial"/>
        <family val="2"/>
        <charset val="238"/>
      </rPr>
      <t xml:space="preserve">ČH uzavřeno mezi ZZS SK a Čez (ne KS montáže, a je to smlouva o věcním břemenu, to je zaneseno v katastru. Tak nevím, zda je to do nekonečna platné. </t>
    </r>
  </si>
  <si>
    <t>Dohoda o narovnání o nájmu Říčany ke sml. S-086/75030926/24</t>
  </si>
  <si>
    <t>finančně vyrovnáno</t>
  </si>
  <si>
    <t>Pokud finančně vyrovnáno, smlouvu odložit-ještě doptat Zuzky</t>
  </si>
  <si>
    <t>vypovězena smluva uplatnění sankcí</t>
  </si>
  <si>
    <t>firma neexistuje, službu nevyužíváme, zrušit</t>
  </si>
  <si>
    <t>S-342/75030926/2024</t>
  </si>
  <si>
    <t>S-343/75030926/2024</t>
  </si>
  <si>
    <t>S-344/75030926/2024</t>
  </si>
  <si>
    <t>S-345/75030926/2024</t>
  </si>
  <si>
    <t>S-346/75030926/2024</t>
  </si>
  <si>
    <t>S-347/75030926/2024</t>
  </si>
  <si>
    <t>Jana Menclová</t>
  </si>
  <si>
    <t>Zajištění praxe_Jana Menclová_3 směny_10-11/2024</t>
  </si>
  <si>
    <t>SYSMED, s.r.o.</t>
  </si>
  <si>
    <t>Zajištění praxe_MUDr. Kristýna Španková_10 směn</t>
  </si>
  <si>
    <t>Zajištění praxe_MUDr. Klára Kolouchová_10 směn</t>
  </si>
  <si>
    <t>Zajištění praxe_Miroslav Halíř_kurz řidiče_1 den</t>
  </si>
  <si>
    <t>Bc. Nikol Rengerová</t>
  </si>
  <si>
    <t>Zajištění praxe_Bc. Nikol Rengerová_3 směny</t>
  </si>
  <si>
    <t>MEDI HELP spol. s r.o.</t>
  </si>
  <si>
    <t>Zajištění praxe_MUDr. Kateřina Ferencová_7 směn</t>
  </si>
  <si>
    <t>S-348/75030926/2024</t>
  </si>
  <si>
    <t>Dohoda o uznání dluhu a jeho způsobu placení</t>
  </si>
  <si>
    <t>S-349/75030926/2024</t>
  </si>
  <si>
    <t>S-350/75030926/2024</t>
  </si>
  <si>
    <t>S-351/75030926/2024</t>
  </si>
  <si>
    <t>Svoz směsného komunálního odpadu + plast + sklo VZ Kladno</t>
  </si>
  <si>
    <t>Smlouva o úklidových službách_ZZS Uhlířské Janovice</t>
  </si>
  <si>
    <t>Jaroslava Čežíková</t>
  </si>
  <si>
    <t>Servisní smlouva_servis klimatizací Kladno a Benešov</t>
  </si>
  <si>
    <t>JOMA spol. s r.o.</t>
  </si>
  <si>
    <t>S-352/75030926/2024</t>
  </si>
  <si>
    <t>Münnich s.r.o.</t>
  </si>
  <si>
    <t>Smlouva o dílo - Oprava střechy č. 1 ZZS SK Mnichovo Hradiště</t>
  </si>
  <si>
    <t>Ukončeno, vypovědět smlouvu</t>
  </si>
  <si>
    <t>S-353/75030926/2024</t>
  </si>
  <si>
    <t>DATASENSE s.r.o.</t>
  </si>
  <si>
    <t>Rámcová smlouva na služby_technický dozor projektu Zajištění kyber. bezp.</t>
  </si>
  <si>
    <t>S-354/75030926/2024</t>
  </si>
  <si>
    <t>Kupní smlouva_ZOS servery doplnění 2024</t>
  </si>
  <si>
    <t>S-355/75030926/2024</t>
  </si>
  <si>
    <t>Zdravotnický dozor_oslavy státního svátku na Pražském hradě</t>
  </si>
  <si>
    <t>S-356/75030926/2024</t>
  </si>
  <si>
    <t>AutoCentrum ČR, s.r.o.</t>
  </si>
  <si>
    <t>Kupní smlouva_Zimní pneumatiky 2024</t>
  </si>
  <si>
    <t>patří pod TM</t>
  </si>
  <si>
    <t>prosím zkontrolovat</t>
  </si>
  <si>
    <t>patří pod PN</t>
  </si>
  <si>
    <t>S-357/75030926/2024</t>
  </si>
  <si>
    <t>Zajištění praxe_40 dnů stáží_10 studentů</t>
  </si>
  <si>
    <t>S-359/75030926/2024</t>
  </si>
  <si>
    <t>Smlouva o dílo_Oprava střechy garáže_Neratovice</t>
  </si>
  <si>
    <t>S-358/75030926/2024</t>
  </si>
  <si>
    <t>Raiffeisen - Leasing, s.r.o.</t>
  </si>
  <si>
    <t>Rámcová smlouva - operativní leasing</t>
  </si>
  <si>
    <t>HYDROIZOLACE MIVA s.r.o.</t>
  </si>
  <si>
    <t>Rámcová smlouva_operativní leasing</t>
  </si>
  <si>
    <t>S-360/75030926/2024</t>
  </si>
  <si>
    <t>Zajištění praxe_MUDr. Radka Balážová_7 směn</t>
  </si>
  <si>
    <t>S-361/75030926/2024</t>
  </si>
  <si>
    <t>Adéla Petrtýlová</t>
  </si>
  <si>
    <t>Zajištění praxe_Adéla Petrtýlová_10 směn</t>
  </si>
  <si>
    <t>S-362/75030926/2024</t>
  </si>
  <si>
    <t>Zajištění praxe_David Blecha_5 dnů</t>
  </si>
  <si>
    <t>S-363/75030926/2024</t>
  </si>
  <si>
    <t xml:space="preserve">David Mysliveček </t>
  </si>
  <si>
    <t>Zajištění praxe_David Mysliveček_10 směn</t>
  </si>
  <si>
    <t>S-364/75030926/2024</t>
  </si>
  <si>
    <t>Bc. Pavla Mandovcová</t>
  </si>
  <si>
    <t>Zajištění praxe_Bc. Pavla Mandovcová_3 dny</t>
  </si>
  <si>
    <t>S-365/75030926/2024</t>
  </si>
  <si>
    <t>ZÁVODNÍ PÉČE</t>
  </si>
  <si>
    <t>JUDr. Jan Olejníček</t>
  </si>
  <si>
    <t>S-366/75030926/2024</t>
  </si>
  <si>
    <t>S-367/75030926/2024</t>
  </si>
  <si>
    <t>S-368/75030926/2024</t>
  </si>
  <si>
    <t>S-369/75030926/2024</t>
  </si>
  <si>
    <t>BEXAMED, s.r.o.</t>
  </si>
  <si>
    <t>Kupní smlouva_Extenzní dlahy</t>
  </si>
  <si>
    <t>Rámcová dohoda na pořizování produktů Microsoft</t>
  </si>
  <si>
    <t>RÁMCOVÁ DOHODA</t>
  </si>
  <si>
    <t>S-370/75030926/2024</t>
  </si>
  <si>
    <t>S-371/75030926/2024</t>
  </si>
  <si>
    <t>S-372/75030926/2024</t>
  </si>
  <si>
    <t>S-373/75030926/2024</t>
  </si>
  <si>
    <t>Dohoda o vypořádání bez. oboha. ke sml S-200/75030926/20</t>
  </si>
  <si>
    <t>Dohoda o vypořádání bez. oboha. ke sml S-200/75030926/21</t>
  </si>
  <si>
    <t>Dohoda o vypořádání bez. oboha. ke sml 148/75030926/18</t>
  </si>
  <si>
    <t>Dohoda o vypořádání bez. oboha. ke sml 148/75030926/19</t>
  </si>
  <si>
    <t>Dohoda o vypořádání bez. oboha. ke sml S-274/75030926/22</t>
  </si>
  <si>
    <t>Dohoda o vypořádání bez. oboha. ke sml S-274/75030926/23</t>
  </si>
  <si>
    <t>Dohoda o vypořádání bez. oboha. ke sml S-233/75030926/22</t>
  </si>
  <si>
    <t>Dohoda o vypořádání bez. oboha. ke sml S-233/75030926/23</t>
  </si>
  <si>
    <t>S-374/75030926/2024</t>
  </si>
  <si>
    <t>MĚLNICKÁ ZELEŇ spol. s r.o.</t>
  </si>
  <si>
    <t>Rámcová smlouva o dílo na údržbu zeleně</t>
  </si>
  <si>
    <t>Rámcová smlouva o dílo na údržbu zeleně-Mělník</t>
  </si>
  <si>
    <t>S-375/75030926/2024</t>
  </si>
  <si>
    <t>Interpharmac, s.r.o.  - provozovatel Lékárny ipc Modřany</t>
  </si>
  <si>
    <t>S-376/75030926/2024</t>
  </si>
  <si>
    <t>Smlouva o vypořádání závazků ke smlouvě č. S-349/75030926/2024</t>
  </si>
  <si>
    <t>S-377/75030926/2024</t>
  </si>
  <si>
    <t>Mediclinic, a.s.</t>
  </si>
  <si>
    <t>Zajištění praxe_MUDr. Martina Slabá_10 směn</t>
  </si>
  <si>
    <t>S-378/75030926/2024</t>
  </si>
  <si>
    <t>Zdravotnický dozor_natáčení seriálu Buldok z Poděbrad</t>
  </si>
  <si>
    <t>S-379/75030926/2024</t>
  </si>
  <si>
    <t>Váš praktický lékař, s.r.o.</t>
  </si>
  <si>
    <t>Zajištění praxe_MUDr. Kateřina Škarková_7 směn</t>
  </si>
  <si>
    <t>S-380/75030926/2024</t>
  </si>
  <si>
    <t>Vaše Ambulance, s.r.o.</t>
  </si>
  <si>
    <t>Zajištění praxe_MUDr. Natálie Sovjáková_5 směn</t>
  </si>
  <si>
    <t>S-381/75030926/2024</t>
  </si>
  <si>
    <t>Skymed, s.r.o.</t>
  </si>
  <si>
    <t>Zajištění praxe_MUDr. Zuzana Hanušová_10 směn</t>
  </si>
  <si>
    <t>S-382/75030926/2024</t>
  </si>
  <si>
    <t>Martin Tecl</t>
  </si>
  <si>
    <t>Zajištění praxe_Martin Tecl_AKK řidič_3 dny</t>
  </si>
  <si>
    <t>S-383/75030926/2024</t>
  </si>
  <si>
    <t>Zdravotnický dozor_výcvik s chemickými látkami</t>
  </si>
  <si>
    <t>S-384/75030926/2024</t>
  </si>
  <si>
    <t xml:space="preserve">MUDr. Tereza Valová </t>
  </si>
  <si>
    <t>Zajištění praxe_MUDr. Tereza Valová_7 směn</t>
  </si>
  <si>
    <t>S-385/75030926/2024</t>
  </si>
  <si>
    <t>DAROVACÍ</t>
  </si>
  <si>
    <t>Jockey Logistics, s.r.o.</t>
  </si>
  <si>
    <t>Darovací smlouva_pracovní ošacení operátorům</t>
  </si>
  <si>
    <t>S-387/75030926/2024</t>
  </si>
  <si>
    <t>SMLOUVA O ODBĚRU</t>
  </si>
  <si>
    <t>000 66 001</t>
  </si>
  <si>
    <t>Smlouva o odběru vody</t>
  </si>
  <si>
    <t>Smlouva o odběru  pitné vody (vodné a stočné)</t>
  </si>
  <si>
    <t>S-386/75030926/2024</t>
  </si>
  <si>
    <t>Activa, spol. s r.o.</t>
  </si>
  <si>
    <t>DNS_Kupní smlouva na dodávku kancelářského papíru</t>
  </si>
  <si>
    <t>S-388/75030926/2024</t>
  </si>
  <si>
    <t>Kupní smlouva_Vakuové matrace</t>
  </si>
  <si>
    <t>S-389/75030926/2024</t>
  </si>
  <si>
    <t>Zajištění přednemocniční neodkladné péče na výjezdové základně Řevnice</t>
  </si>
  <si>
    <t>S-390/75030926/2024</t>
  </si>
  <si>
    <t>Valentýna Novotná</t>
  </si>
  <si>
    <t>Zajištění praxe_Valentýna Novotná_10 směn</t>
  </si>
  <si>
    <t>S-391/75030926/2024</t>
  </si>
  <si>
    <t>Mediprax Beroun, s.r.o.</t>
  </si>
  <si>
    <t>Zajištění praxe_MUDr. Lucie Hrádková_7 směn</t>
  </si>
  <si>
    <t>Hana Ťápalová</t>
  </si>
  <si>
    <t>Zajištění praxe_Hana Ťápalová_12 směn</t>
  </si>
  <si>
    <t>S-393/75030926/2024</t>
  </si>
  <si>
    <t>Lukáš Polách</t>
  </si>
  <si>
    <t>Zajištění praxe_Lukáš Polách_12 směn</t>
  </si>
  <si>
    <t>S-394/75030926/2024</t>
  </si>
  <si>
    <t>ČSOB pojišťovna, a.s.</t>
  </si>
  <si>
    <t>Pojistná smlouva_pojištění odpovědnosti za újmu</t>
  </si>
  <si>
    <t>S-395/75030926/2024</t>
  </si>
  <si>
    <t>S-396/75030926/2024</t>
  </si>
  <si>
    <t>S-397/75030926/2024</t>
  </si>
  <si>
    <t>S-398/75030926/2024</t>
  </si>
  <si>
    <t>Zajištění praxe_MUDr. Zuzana Hrdinová_7 směn</t>
  </si>
  <si>
    <t>Zajištění praxe_AČR_Jiří Kálal</t>
  </si>
  <si>
    <t>Zajištění praxe_AČR_Antonín Lukeš</t>
  </si>
  <si>
    <t>Zdravotnický dozor_5. ročník otužileckých závodů</t>
  </si>
  <si>
    <t>SoftwareONE Czech Republic s.r.o.</t>
  </si>
  <si>
    <t>S-399/75030926/2024</t>
  </si>
  <si>
    <t>S-400/75030926/2024</t>
  </si>
  <si>
    <t>SF Stavební, s.r.o.</t>
  </si>
  <si>
    <t>Smlouva o dílo_Zateplení budovy výjezdové základny Benešov</t>
  </si>
  <si>
    <t>Smlouva o dílo_Oprava vodovodního potrubí_Mnichovo Hradiště</t>
  </si>
  <si>
    <t>Top-Instal-Real, s.r.o.</t>
  </si>
  <si>
    <t>S-401/75030926/2024</t>
  </si>
  <si>
    <t>S-402/75030926/2024</t>
  </si>
  <si>
    <t>S-403/75030926/2024</t>
  </si>
  <si>
    <t>S-404/75030926/2024</t>
  </si>
  <si>
    <t>AUTOPRAŽÁK Assistance s.r.o.</t>
  </si>
  <si>
    <t>Rámcová smlouva na služby_Služby odtahování vozidel</t>
  </si>
  <si>
    <t>Kupní smlouva_Příslušenství k defibrilátoru Corpuls 3</t>
  </si>
  <si>
    <t>Zajištění praxe_MUDr. Kristýna Sokolová_7 směn</t>
  </si>
  <si>
    <t>Zajištění praxe_Josef Šejna_kurz řidiče_6 dnů</t>
  </si>
  <si>
    <t>Josef Šejna</t>
  </si>
  <si>
    <t>S-334/75030926/2024</t>
  </si>
  <si>
    <t>Darovací smlouva_Nadační fond Kryštůfek_ plyšový záchranář Kryštůfek</t>
  </si>
  <si>
    <t>Darovací smlouva_Nadační fond Kryštůfek</t>
  </si>
  <si>
    <t>PIXACOM TECHNOLOGY s.r.o.</t>
  </si>
  <si>
    <t>068 64 244</t>
  </si>
  <si>
    <t>Dodávka 10 ks setů komunikačního vybavení pro redundantní operační platformu ZOS</t>
  </si>
  <si>
    <t>S-407/75030926/2024</t>
  </si>
  <si>
    <t>Rámcová kupní smlouva Intraoseální jehly III.</t>
  </si>
  <si>
    <t>Smlouva o nájmu nebytových prostor - Hořovice</t>
  </si>
  <si>
    <t>Smlouva o nájmu nebytových prostor</t>
  </si>
  <si>
    <t>S-408/75030926/2024</t>
  </si>
  <si>
    <t>TTJ, s.r.o.</t>
  </si>
  <si>
    <t xml:space="preserve">
28415213</t>
  </si>
  <si>
    <t xml:space="preserve"> 	Perfect Distribution a.s.</t>
  </si>
  <si>
    <t>Smlouva o poskytování pracovnělékařských služeb- Kutná Hora, Kolín. V Fleischmannová</t>
  </si>
  <si>
    <t>S-409/75030926/2024</t>
  </si>
  <si>
    <t>S-410/75030926/2024</t>
  </si>
  <si>
    <t>S-411/75030926/2024</t>
  </si>
  <si>
    <t>JESSENIA s.r.o.</t>
  </si>
  <si>
    <t>Zajištění praxe_Katarína Slavjanská_7 směn</t>
  </si>
  <si>
    <t>Zajištění praxe_Luboš Batěk_5 dnů</t>
  </si>
  <si>
    <t>Zajištění praxe_Lucie Nims_5 dnů</t>
  </si>
  <si>
    <t>S-001/75030926/2025</t>
  </si>
  <si>
    <t>S-002/75030926/2025</t>
  </si>
  <si>
    <t>S-003/75030926/2025</t>
  </si>
  <si>
    <t>S-004/75030926/2025</t>
  </si>
  <si>
    <t>S-005/75030926/2025</t>
  </si>
  <si>
    <t>Zdravotnický dozor_hokejové zápasy_Mladá Boleslav</t>
  </si>
  <si>
    <t>Anna Petržílková</t>
  </si>
  <si>
    <t>Zajištění praxe_Anna Petržílková_10 dnů</t>
  </si>
  <si>
    <t>EMOT-Medico, s.r.o.</t>
  </si>
  <si>
    <t>Zajištění praxe_MUDr. Nurlan Kanatbayev_10 směn</t>
  </si>
  <si>
    <t>MUDr. Tomáš Doležel, s.r.o.</t>
  </si>
  <si>
    <t>Zajištění praxe_MUDr. Rastislav Mendel_10 směn</t>
  </si>
  <si>
    <t>MUDr. Daniel Dvořák, s.r.o.</t>
  </si>
  <si>
    <t>Zajištění praxe_MUDr. Daniela Cymorková_7 směn</t>
  </si>
  <si>
    <t>Projekty</t>
  </si>
  <si>
    <t>Odd. VZ</t>
  </si>
  <si>
    <t>Odd. pojišťoven</t>
  </si>
  <si>
    <t>Účetnictví a rozpočet</t>
  </si>
  <si>
    <t xml:space="preserve">Ostatní </t>
  </si>
  <si>
    <t>xx.12.2024</t>
  </si>
  <si>
    <t>S-173/75030926/24/01</t>
  </si>
  <si>
    <t>Dohoda o ukončení ke smlouvě č. S-173/75030926/24</t>
  </si>
  <si>
    <t>29633728</t>
  </si>
  <si>
    <t>S-006/75030926/2025</t>
  </si>
  <si>
    <t>S-406/75030926/2024</t>
  </si>
  <si>
    <t>S-405/75030926/2024</t>
  </si>
  <si>
    <t>Zajištění praxe_Lada Mrštíková_6 dnů</t>
  </si>
  <si>
    <t>S-007/75030926/2025</t>
  </si>
  <si>
    <t>Smlouva o výpůjčce části nebytových prostor</t>
  </si>
  <si>
    <t>S-008/75030926/2025</t>
  </si>
  <si>
    <t>XANADU, a.s.</t>
  </si>
  <si>
    <t>Kupní smlouva_Dodávka výpočetní techniky</t>
  </si>
  <si>
    <t>Bezúplatný převod_sanitní automobil VW Transporter 3SY 7314</t>
  </si>
  <si>
    <t>Dohoda služby</t>
  </si>
  <si>
    <t>Dohoda uznání dluhu</t>
  </si>
  <si>
    <t>Projektová dokumentace</t>
  </si>
  <si>
    <t>Přefakturace el.energie</t>
  </si>
  <si>
    <t>S-009/75030926/2025</t>
  </si>
  <si>
    <t>S-010/75030926/2025</t>
  </si>
  <si>
    <t>Florbal MB, z.s.</t>
  </si>
  <si>
    <t>Zdravotnický dozor_25.1.2025_ŠkoEnergo Arena_Mladá Boleslav</t>
  </si>
  <si>
    <t>Hana Šrámová</t>
  </si>
  <si>
    <t>Zajištění praxe_Hana Šrámová_5 dnů</t>
  </si>
  <si>
    <t>Zajištění praxe_MUDr. Martina Obročníková_2 směny</t>
  </si>
  <si>
    <t>S-012/75030926/2025</t>
  </si>
  <si>
    <t>Smlouva o dílo_oprava vozidla SPZ: 6SF 8598</t>
  </si>
  <si>
    <t>S-013/75030926/2025</t>
  </si>
  <si>
    <t>Aesculap Academy s.r.o.</t>
  </si>
  <si>
    <t>Zajištění praxe_MUDr. Barbora Štěbetáková_7 směn</t>
  </si>
  <si>
    <t>S-014/75030926/2025</t>
  </si>
  <si>
    <t>Smlouva o poskytování pracovnělékařských služeb_MUDr. Nina Trojánková</t>
  </si>
  <si>
    <t>S-015/75030926/2025</t>
  </si>
  <si>
    <t>S-016/75030926/2025</t>
  </si>
  <si>
    <t>S-017/75030926/2025</t>
  </si>
  <si>
    <t>S-018/75030926/2025</t>
  </si>
  <si>
    <t>S-019/75030926/2025</t>
  </si>
  <si>
    <t>Smlouva o výpůjčce_Nosítka_Medirol</t>
  </si>
  <si>
    <t>Rámcová smlouva_Poskytování advokátních služeb III</t>
  </si>
  <si>
    <t>Vodáková Lucie</t>
  </si>
  <si>
    <t>Adéla Horká</t>
  </si>
  <si>
    <t>Kristýna Oubrechtová</t>
  </si>
  <si>
    <t>Zajištění praxe_Lucie Vodáková_10 dnů</t>
  </si>
  <si>
    <t>Zajištění praxe_Adéla Horká_5 dnů</t>
  </si>
  <si>
    <t>Zajištění praxe_Kristýna Oubrechtová_16 dnů</t>
  </si>
  <si>
    <t>S-020/75030926/2025</t>
  </si>
  <si>
    <t>El. Energie</t>
  </si>
  <si>
    <t>Auto Prážák Assistance s r.o.</t>
  </si>
  <si>
    <t>S-021/75030926/2025</t>
  </si>
  <si>
    <t>S-022/75030926/2025</t>
  </si>
  <si>
    <t>S-023/75030926/2025</t>
  </si>
  <si>
    <t>S-024/75030926/2025</t>
  </si>
  <si>
    <t>S-025/75030926/2025</t>
  </si>
  <si>
    <t>K-net Team Praha, s.r.o.</t>
  </si>
  <si>
    <t xml:space="preserve">Smlouva o nájmu </t>
  </si>
  <si>
    <t>Smlouva o nájmu_tiskárny_ZZS SK_Kladno</t>
  </si>
  <si>
    <t>Kupní smlouva_Havarijní výměna disků v serverech Gigabyte</t>
  </si>
  <si>
    <t>Abacus Electric, s.r.o.</t>
  </si>
  <si>
    <t>Kupní smlouva_Havarijní výměna RAM v serverech</t>
  </si>
  <si>
    <t>Smlouva o dílo_oprava vozidla SPZ: 6SR 4817</t>
  </si>
  <si>
    <t>Rámcová smlouva_Poskytování advokátních služeb III.</t>
  </si>
  <si>
    <t>Smlouva o připojení odběrného a výrobního zařízení</t>
  </si>
  <si>
    <t>Smlouva darovací_133 ks figurek plyšového záchranáře Kryštůfka</t>
  </si>
  <si>
    <t>S-026/75030926/2025</t>
  </si>
  <si>
    <t>S-028/75030926/2025</t>
  </si>
  <si>
    <t>S-027/75030926/2025</t>
  </si>
  <si>
    <t>S-029/75030926/2025</t>
  </si>
  <si>
    <t>S-030/75030926/2025</t>
  </si>
  <si>
    <t>Zajištění praxe_Lada Mrštíková_7 dnů</t>
  </si>
  <si>
    <t>Zajištění praxe_Kristýna Oubrechtová_1 den</t>
  </si>
  <si>
    <t>Smlouva o zabezpečení prohloubení kvalifikace_vojákům z povolání</t>
  </si>
  <si>
    <t>Zajištění praxe_Tomáš Rychta_14 dnů</t>
  </si>
  <si>
    <t>Tomáš Rychta</t>
  </si>
  <si>
    <t>Smlouva skupinového úrazového pojištění</t>
  </si>
  <si>
    <t xml:space="preserve">vyčerpáno </t>
  </si>
  <si>
    <t xml:space="preserve">celkem čerpáno </t>
  </si>
  <si>
    <t>Pojistná smlouva_Pojištění profesní odpovědnosti</t>
  </si>
  <si>
    <t>S-031/75030926/2025</t>
  </si>
  <si>
    <t>SCHWARZ s.r.o.</t>
  </si>
  <si>
    <t>Smlouva na služby_o poskytování ochranných bezpečnostních služeb</t>
  </si>
  <si>
    <t>Prováděcí smlouva k Rámcové dohodě na pořizování produktů Microsoft</t>
  </si>
  <si>
    <t>S-032/75030926/2025</t>
  </si>
  <si>
    <t>město Zdice</t>
  </si>
  <si>
    <t>Nájemní smlouva VZ Zdice</t>
  </si>
  <si>
    <t>10/07/100/01</t>
  </si>
  <si>
    <t>Dohoda o ukončení ke smlouvě o nájmu VZ Zdice</t>
  </si>
  <si>
    <t>S-033/75030926/2025</t>
  </si>
  <si>
    <t>S-034/75030926/2025</t>
  </si>
  <si>
    <t>SK Kladno, z.s.</t>
  </si>
  <si>
    <t>Memorandum o spolupráci_tvorba edukačního videoprojektu_první pomoc</t>
  </si>
  <si>
    <t>Zdravotnický dozor_KO Boxing night 6_Sokolovna, Rakovník</t>
  </si>
  <si>
    <t>S-035/75030926/2025</t>
  </si>
  <si>
    <t>Smlouva o přístupu ke komunikační infrastruktuře k projektu E-Health</t>
  </si>
  <si>
    <t>S-036/75030926/2025</t>
  </si>
  <si>
    <t>S-037/75030926/2025</t>
  </si>
  <si>
    <t>S-038/75030926/2025</t>
  </si>
  <si>
    <t>S-039/75030926/2025</t>
  </si>
  <si>
    <t>S-040/75030926/2025</t>
  </si>
  <si>
    <t>Dohoda o realizaci</t>
  </si>
  <si>
    <t>GasNet Služby, s.r.o.</t>
  </si>
  <si>
    <t>Dohoda o realizaci přeložky plynovodní přípojky_Kutná Hora</t>
  </si>
  <si>
    <t xml:space="preserve">Lukáš Polách </t>
  </si>
  <si>
    <t>Zajištění praxe_Lukáš Polách_10 dnů</t>
  </si>
  <si>
    <t>MUDr. Lucie Jordáková</t>
  </si>
  <si>
    <t>Zajištění praxe_MUDr. Aneta Volejníčková_10 směn</t>
  </si>
  <si>
    <t>Zajištění praxe_Valentýna Novotná_10 dnů</t>
  </si>
  <si>
    <t>Zajištění praxe_Adéla Petrtýlová_5 dnů</t>
  </si>
  <si>
    <t>S-042/75030926/2025</t>
  </si>
  <si>
    <t>Erik Pergl</t>
  </si>
  <si>
    <t>Zajištění praxe_Erik Pergl_kurz řidiče_16 dnů</t>
  </si>
  <si>
    <t>S-041/75030926/2025</t>
  </si>
  <si>
    <t>František Šmída</t>
  </si>
  <si>
    <t>Zajištění praxe_František Šmída_kurz řidiče</t>
  </si>
  <si>
    <t>ÚEKO</t>
  </si>
  <si>
    <t>ÚLE</t>
  </si>
  <si>
    <t>ÚPER</t>
  </si>
  <si>
    <t>ÚŘE</t>
  </si>
  <si>
    <t>Nevyčerpáno (s DPH)</t>
  </si>
  <si>
    <t>Čerpáno 2025 (s DPH)</t>
  </si>
  <si>
    <t>Čerpáno 2024 (s DPH)</t>
  </si>
  <si>
    <t>Čerpáno 2023 (s DPH)</t>
  </si>
  <si>
    <t>Čerpání smluv po úsecích</t>
  </si>
  <si>
    <t>S-043/75030926/2025</t>
  </si>
  <si>
    <t>S-044/75030926/2025</t>
  </si>
  <si>
    <t>S-045/75030926/2025</t>
  </si>
  <si>
    <t>S-046/75030926/2025</t>
  </si>
  <si>
    <t>Auto Eder a.s.</t>
  </si>
  <si>
    <t>Oprava sanitního vozidla tov. TOYOTA RAV SPZ 5SJ 4502</t>
  </si>
  <si>
    <t>GPS Praha, spol. s r.o.</t>
  </si>
  <si>
    <t>Jednorázové elektrody – EKG</t>
  </si>
  <si>
    <t>ČVUT v Praze</t>
  </si>
  <si>
    <t>Smlouva o zajištění praktické výuky_FBMI ČVUT</t>
  </si>
  <si>
    <t>Oprava a nátěr fasády ZZS SK Neratovice II.</t>
  </si>
  <si>
    <t>David Macek</t>
  </si>
  <si>
    <t>S-047/75030926/2025</t>
  </si>
  <si>
    <t>S-048/75030926/2025</t>
  </si>
  <si>
    <t>S-049/75030926/2025</t>
  </si>
  <si>
    <t>Odpad_Svoz a likvidace odpadu_Krásná Hora nad Vltavou</t>
  </si>
  <si>
    <t xml:space="preserve">Krajské ředitelství policie SK </t>
  </si>
  <si>
    <t>Kupní smlouva_Alkoholtestery 2025</t>
  </si>
  <si>
    <t>Kupní smlouva_Alkoholtestery 2026</t>
  </si>
  <si>
    <t>S-050/75030926/2025</t>
  </si>
  <si>
    <t>S-051/75030926/2025</t>
  </si>
  <si>
    <t>S-052/75030926/2025</t>
  </si>
  <si>
    <t>S-053/75030926/2025</t>
  </si>
  <si>
    <t>S-054/75030926/2025</t>
  </si>
  <si>
    <t>S-055/75030926/2025</t>
  </si>
  <si>
    <t>S-056/75030926/2025</t>
  </si>
  <si>
    <t>S-057/75030926/2025</t>
  </si>
  <si>
    <t>S-058/75030926/2025</t>
  </si>
  <si>
    <t>S-059/75030926/2025</t>
  </si>
  <si>
    <t>S-060/75030926/2025</t>
  </si>
  <si>
    <t>Nájemní smlouva Benešov</t>
  </si>
  <si>
    <t>Zdravotnický dozor_zajištění jízd se členy představenstva Škoda Auto,a.s._Mladá Boleslav</t>
  </si>
  <si>
    <t>Zajištění praxe_MUDr. Kateřina Adámková_10 směn</t>
  </si>
  <si>
    <t>MUDr. Kateřina Adámková</t>
  </si>
  <si>
    <t>Bc. Michal Ivanka</t>
  </si>
  <si>
    <t>Zajištění praxe_kurz řidiče_Bc. Ivanka Michal_5 dnů</t>
  </si>
  <si>
    <t>Zajištění praxe_MUDr. Ivan Žák_7 směn</t>
  </si>
  <si>
    <t>Ambulance Penta, s.r.o.</t>
  </si>
  <si>
    <t>Zajištění praxe_Ing. Tereza Nosková_8 dnů</t>
  </si>
  <si>
    <t>Zajištění praxe_kurz řidiče_Petr Vonášek_16 dnů</t>
  </si>
  <si>
    <t>Petr Vonášek</t>
  </si>
  <si>
    <t>Zajištění praxe_kurz řidiče_Jaroslav Tvrz_16 dnů</t>
  </si>
  <si>
    <t>Jaroslav Tvrz</t>
  </si>
  <si>
    <t>Zajištění praxe_kurz řidiče_Jiří Soukup_11 dnů</t>
  </si>
  <si>
    <t>Jiří Soukup</t>
  </si>
  <si>
    <t>Zajištění praxe_kurz řidiče_Lukáš Havlíček_16 dnů</t>
  </si>
  <si>
    <t>Lukáš Havlíček</t>
  </si>
  <si>
    <t>Zdravotnický dozor_PICHCE 2025_obec Dubno</t>
  </si>
  <si>
    <t>S-061/75030926/2025</t>
  </si>
  <si>
    <t>S-062/75030926/2025</t>
  </si>
  <si>
    <t>S-063/75030926/2025</t>
  </si>
  <si>
    <t>S-064/75030926/2025</t>
  </si>
  <si>
    <t>S-065/75030926/2025</t>
  </si>
  <si>
    <t>S-066/75030926/2025</t>
  </si>
  <si>
    <t>S-067/75030926/2025</t>
  </si>
  <si>
    <t>S-068/75030926/2025</t>
  </si>
  <si>
    <t>S-069/75030926/2025</t>
  </si>
  <si>
    <t>S-070/75030926/2025</t>
  </si>
  <si>
    <t>Smlouva o službách</t>
  </si>
  <si>
    <t>Jan Kropáček</t>
  </si>
  <si>
    <t>Zajištění praxe_kurz řidiče_Jan Kropáček_16 dnů</t>
  </si>
  <si>
    <t>innogy Energie, s.r.o.</t>
  </si>
  <si>
    <t>Smlouva o sdružených službách dodávky plynu_Roztoky u Prahy</t>
  </si>
  <si>
    <t>Tomáš Krejčíř</t>
  </si>
  <si>
    <t>Zajištění praxe_kurz řidiče_Tomáš Krejčíř_16 dnů</t>
  </si>
  <si>
    <t>Jakub Souček</t>
  </si>
  <si>
    <t>Zajištění praxe_kurz řidiče_Jakub Souček_16 dnů</t>
  </si>
  <si>
    <t>Michal Hačecký</t>
  </si>
  <si>
    <t>Zajištění praxe_kurz řidiče_Michal Hačecký_5 dnů</t>
  </si>
  <si>
    <t>Lukáš Baník</t>
  </si>
  <si>
    <t>Zajištění praxe_kurz řidiče_Lukáš Baník_1 den</t>
  </si>
  <si>
    <t>Bianka Dušková</t>
  </si>
  <si>
    <t>Zajištění praxe_Bianka Dušková_5 dnů</t>
  </si>
  <si>
    <t>Jiří Prokop</t>
  </si>
  <si>
    <t>Zajištění praxe_kurz řidiče_Jiří Prokop_1 den</t>
  </si>
  <si>
    <t>Tomáš Režný</t>
  </si>
  <si>
    <t>Zajištění praxe_kurz řidiče_Tomáš Režný_1 den</t>
  </si>
  <si>
    <t>Libor Ležal</t>
  </si>
  <si>
    <t>Zajištění praxe_kurz řidiče_Libor Ležal_1 den</t>
  </si>
  <si>
    <t>Matyáš Hnízdil</t>
  </si>
  <si>
    <t>Zajištění praxe_kurz řidiče_Matyáš Hnízdil_1 den</t>
  </si>
  <si>
    <t>David Salač</t>
  </si>
  <si>
    <t>Zajištění praxe_kurz řidiče_David Salač_1 den</t>
  </si>
  <si>
    <t>Václav Přibyl</t>
  </si>
  <si>
    <t>Zajištění praxe_kurz řidiče_Václav Přibyl_11 dnů</t>
  </si>
  <si>
    <t xml:space="preserve"> </t>
  </si>
  <si>
    <t>MUDr. Jan Turek</t>
  </si>
  <si>
    <t>Zajištění praxe_atestace z UM_MUDr. Jan Turek_3 dny</t>
  </si>
  <si>
    <t>TELEMED s.r.o.</t>
  </si>
  <si>
    <t>Zajištění praxe_MUDr. Valentýna Koutníková_7 směn</t>
  </si>
  <si>
    <t>S-071/75030926/2025</t>
  </si>
  <si>
    <t>S-072/75030926/2025</t>
  </si>
  <si>
    <t>S-073/75030926/2025</t>
  </si>
  <si>
    <t>S-074/75030926/2025</t>
  </si>
  <si>
    <t>S-075/75030926/2025</t>
  </si>
  <si>
    <t>S-076/75030926/2025</t>
  </si>
  <si>
    <t>Oblastní spolek ČČK Kolín</t>
  </si>
  <si>
    <t>Rámcová smlouva o poskytování služeb_maskování figurantů</t>
  </si>
  <si>
    <t>S-077/75030926/2025</t>
  </si>
  <si>
    <t>Kupní smlouva_12ks balistických přileb DELTA IIIA</t>
  </si>
  <si>
    <t>EGER CZ, s.r.o.</t>
  </si>
  <si>
    <t>S-369/75030926/2024/01</t>
  </si>
  <si>
    <t>S-078/75030926/2025</t>
  </si>
  <si>
    <t>ŽÁDOST</t>
  </si>
  <si>
    <t>Žádost o připojení</t>
  </si>
  <si>
    <t>Žádost o připojení odběrového místa_ke smlouvě č. S-062/75030926/2025</t>
  </si>
  <si>
    <t>Žádost o připojení odběrového místa_ke smlouvě č. S-062/75030926/2026</t>
  </si>
  <si>
    <t>Smlouva o dílo_Oprava a nátěr fasády ZZS SK Neratovice II.</t>
  </si>
  <si>
    <t>Rámcová kupní smlouva_Jednorázové elektrody – EKG</t>
  </si>
  <si>
    <t>Smlouva o dílo_Oprava sanitního vozidla tov. TOYOTA RAV SPZ 5SJ 4502</t>
  </si>
  <si>
    <t>S-079/75030926/2025</t>
  </si>
  <si>
    <t>S-080/75030926/2025</t>
  </si>
  <si>
    <t>S-081/75030926/2025</t>
  </si>
  <si>
    <t>S-082/75030926/2025</t>
  </si>
  <si>
    <t>S-083/75030926/2025</t>
  </si>
  <si>
    <t>S-084/75030926/2025</t>
  </si>
  <si>
    <t>S-086/75030926/2025</t>
  </si>
  <si>
    <t>S-392/75030926/2024</t>
  </si>
  <si>
    <t>S-085/75030926/2025</t>
  </si>
  <si>
    <t>S-087/75030926/2025</t>
  </si>
  <si>
    <t>S-088/75030926/2025</t>
  </si>
  <si>
    <t>S-089/75030926/2025</t>
  </si>
  <si>
    <t>S-090/75030926/2025</t>
  </si>
  <si>
    <t>S-091/75030926/2025</t>
  </si>
  <si>
    <t>S-092/75030926/2025</t>
  </si>
  <si>
    <t>S-093/75030926/2025</t>
  </si>
  <si>
    <t>Klub veslařů mělnických 1881</t>
  </si>
  <si>
    <t>Zdravotnický dozor_Mezinárodní mistrovství ČR ve veslování_ZZS Mělník</t>
  </si>
  <si>
    <t>Zdravotnický dozor_středoškolská liga TFA</t>
  </si>
  <si>
    <t>Zdravotnický dozor_soutěž profesionálních hasičů</t>
  </si>
  <si>
    <t>Tomáš Klenka</t>
  </si>
  <si>
    <t>Zajištění praxe_Tomáš Klenka_kurz řidiče_1 den</t>
  </si>
  <si>
    <t>Tomáš Mergl</t>
  </si>
  <si>
    <t>Zajištění praxe_Tomáš Mergl_kurz řidiče_16 dnů</t>
  </si>
  <si>
    <t>Karel Leonhardt</t>
  </si>
  <si>
    <t>Zajištění praxe_Karel Leonhardt_kurz řidiče_16 dnů</t>
  </si>
  <si>
    <t>Petr Tauber</t>
  </si>
  <si>
    <t>Zajištění praxe_kurz řidiče_Patr Tauber_1 den</t>
  </si>
  <si>
    <t>Deloitte Legal s.r.o.</t>
  </si>
  <si>
    <t>Smlouva na právní služby_rovné odměňování zaměstnanců</t>
  </si>
  <si>
    <t>Zajištění praxe_Bc. Ivanka Michal_kurz řidiče_11 dnů</t>
  </si>
  <si>
    <t>Tomáš Kohout</t>
  </si>
  <si>
    <t>Zajištění praxe_Tomáš Kohout_kurz řidiče_1 den</t>
  </si>
  <si>
    <t>Daniela Tuháčková</t>
  </si>
  <si>
    <t>Zajištění praxe_Daniela Tuháčková_17 dnů</t>
  </si>
  <si>
    <t>Petr Oppitz</t>
  </si>
  <si>
    <t>Zajištění praxe_Petr Oppitz_kurz řidiče_14 dnů</t>
  </si>
  <si>
    <t>Váš praktik Řepy, s.r.o.</t>
  </si>
  <si>
    <t>Zajištění praxe_MUDr. Martina Tyapusová_7 směn</t>
  </si>
  <si>
    <t>MUDr. Hana Juklová</t>
  </si>
  <si>
    <t>Zajištění praxe_MUDr. Martina Kalužová_7 směn</t>
  </si>
  <si>
    <t>latri Cauti, s.r.o.</t>
  </si>
  <si>
    <t>Zajištění praxe_MUDr. Jakub Žedňanský_10 směn</t>
  </si>
  <si>
    <t>celkem:</t>
  </si>
  <si>
    <t>Marek Čapek</t>
  </si>
  <si>
    <t>Zajištění praxe_Marek Čapek_kurz řidiče_16 dnů</t>
  </si>
  <si>
    <t>S-094/75030926/2025</t>
  </si>
  <si>
    <t>S-095/75030926/2025</t>
  </si>
  <si>
    <t>Barbora Dvořáková</t>
  </si>
  <si>
    <t>Zajištění praxe Barbora Dvořáková_kurz řidiče_16 pracovních dní</t>
  </si>
  <si>
    <t>Zajištění praxe_Marek Čapek_kurz řidiče_16 dní</t>
  </si>
  <si>
    <t>S-096/75030926/2025</t>
  </si>
  <si>
    <t>Patrik Bahník</t>
  </si>
  <si>
    <t>Zajištění praxe Patrik Bahník_kurz řidiče_16 pracovních dní</t>
  </si>
  <si>
    <t>S-097/75030926/2025</t>
  </si>
  <si>
    <t>Jan Mastný</t>
  </si>
  <si>
    <t>Zajištění praxe Jan Mastný_3 dny</t>
  </si>
  <si>
    <t>S-098/75030926/2025</t>
  </si>
  <si>
    <t>Roman Hoť</t>
  </si>
  <si>
    <t>Zajištění praxe Roman Hoť_kurz řidiče_16 pracovních dní</t>
  </si>
  <si>
    <t>S-099/75030926/2025</t>
  </si>
  <si>
    <t>Tomáš Maršík</t>
  </si>
  <si>
    <t>Zajištění praxe Tomáš Maršík_kurz řidiče_1 pracovní den</t>
  </si>
  <si>
    <t>S-100/75030926/2025</t>
  </si>
  <si>
    <t>Kupní smlouva_Balistické vesty pro TSČ ZZS SK</t>
  </si>
  <si>
    <t>S-101/75030926/2025</t>
  </si>
  <si>
    <t>S-102/75030926/2025</t>
  </si>
  <si>
    <t>S-103/75030926/2025</t>
  </si>
  <si>
    <t>S-104/75030926/2025</t>
  </si>
  <si>
    <t>Matej Mezenský</t>
  </si>
  <si>
    <t>Lucie Hrubá</t>
  </si>
  <si>
    <t>Zedněk Pletánek</t>
  </si>
  <si>
    <t>Karel Nový</t>
  </si>
  <si>
    <t>Zajištění praxe_Matej Mezenský_kurz řidiče_16 dnů</t>
  </si>
  <si>
    <t>Zajištění praxe_Lucie Hrubá_5 dní</t>
  </si>
  <si>
    <t>Zajištění praxe_kurz řidiče_Zedněk Pletánek_1 den</t>
  </si>
  <si>
    <t>Zajištění praxe_Karel Nový_kurz řidiče_1 den</t>
  </si>
  <si>
    <t>S-108/75030926/2025</t>
  </si>
  <si>
    <t>Obvoďák, s.r.o.</t>
  </si>
  <si>
    <t>Zajištění praxe_MUDR. Mária Kullová_10 směn</t>
  </si>
  <si>
    <t>S-105/75030926/2025</t>
  </si>
  <si>
    <t>awin IT, s.r.o.</t>
  </si>
  <si>
    <t>Smlouva o nájmu_HW a licence Sophos</t>
  </si>
  <si>
    <t>S-106/75030926/2025</t>
  </si>
  <si>
    <t>Ing. Ivo Novák</t>
  </si>
  <si>
    <t>Kupní smlouva_Nástěnné mapy ZZS SK</t>
  </si>
  <si>
    <t>S-107/75030926/2025</t>
  </si>
  <si>
    <t>Servisní smlouva_pravidelný servis_6x sekční pr.vrata</t>
  </si>
  <si>
    <t>S-109/75030926/2025</t>
  </si>
  <si>
    <t>INTERIER TECH s.r.o.</t>
  </si>
  <si>
    <t>Kupní smlouva_Dřevěné šatní skříně pro ZZS Kolín III</t>
  </si>
  <si>
    <t>241 395,00 Kč</t>
  </si>
  <si>
    <t>S-110/75030926/2025</t>
  </si>
  <si>
    <t>FZŠ VOZY</t>
  </si>
  <si>
    <t>FZŠ 2025</t>
  </si>
  <si>
    <t>S-111/75030926/2025</t>
  </si>
  <si>
    <t>Auto – Poly spol. s r.o.</t>
  </si>
  <si>
    <t>Kupní smlouva_Motory (3ks) a automatická převodovka</t>
  </si>
  <si>
    <t>S-112/75030926/2025</t>
  </si>
  <si>
    <t>telekomunikační služby,číslo oprávnění</t>
  </si>
  <si>
    <t>18002655, 18355779, 21001533, 25285971, 30654340</t>
  </si>
  <si>
    <t>11.02.2022, 21.03.2022, 30.11.2022, 28.12.2023,1.4.2025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</si>
  <si>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</si>
  <si>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S-113/75030926/2025</t>
  </si>
  <si>
    <t>S-114/75030926/2025</t>
  </si>
  <si>
    <t>Michaela Hřebačková</t>
  </si>
  <si>
    <t>Martin Eibl</t>
  </si>
  <si>
    <t>Zajištění praxe_Michaela Hřebačková_1 den</t>
  </si>
  <si>
    <t>Zajištění praxe_Martin Eibl_kurz řidiče_16 dnů</t>
  </si>
  <si>
    <t>S-115/75030926/2025</t>
  </si>
  <si>
    <t>Barbora Ševčíková</t>
  </si>
  <si>
    <t>Zajištění praxe_Barbora Ševčíková_3 dny</t>
  </si>
  <si>
    <t>NLZP_Zajištění praxe_Barbora Ševčíková_3 dny</t>
  </si>
  <si>
    <t>S-116/75030926/2025</t>
  </si>
  <si>
    <t>Sml. o spolupráci</t>
  </si>
  <si>
    <t>Smlouva o spolupráci_zajištění neodkladné neonatologické péče_novorozenci</t>
  </si>
  <si>
    <t>S-117/75030926/2025</t>
  </si>
  <si>
    <t>Smlouva o dílo_oprava sanitního vozu VW Transporter SPZ 6SR 4817</t>
  </si>
  <si>
    <t>S-118/75030926/2025</t>
  </si>
  <si>
    <t>Rostislav Kučera</t>
  </si>
  <si>
    <t>Zajištění praxe_Rostislav Kučera_kurz řidiče_5 dnů</t>
  </si>
  <si>
    <t>S-119/75030926/2025</t>
  </si>
  <si>
    <t>Kateřina Apjárová, Dis</t>
  </si>
  <si>
    <t>Zajištění praxe_Kateřina Apjárová, DiS._7 dnů</t>
  </si>
  <si>
    <t>S-120/75030926/2025</t>
  </si>
  <si>
    <t>Jiří Jirouš</t>
  </si>
  <si>
    <t>Zajištění praxe_Jiří Jirouš_kurz řidiče_1 den</t>
  </si>
  <si>
    <t>S-121/75030926/2025</t>
  </si>
  <si>
    <t>Václav Lachman</t>
  </si>
  <si>
    <t>Zajištění praxe_Václav Lachman_kurz řidiče_1 den</t>
  </si>
  <si>
    <t>S-122/75030926/2025</t>
  </si>
  <si>
    <t>David Šteffel</t>
  </si>
  <si>
    <t>Zajištění praxe_David Šteffel_kurz řidiče_1 den</t>
  </si>
  <si>
    <t>S-123/75030926/2025</t>
  </si>
  <si>
    <t>Rámcová kup.smlouva_Vyšetřovací jednorázové rukavice</t>
  </si>
  <si>
    <t>VULKAN - Medical, a.s.</t>
  </si>
  <si>
    <t>Smlouva o poskytnutí fin. prostředků z FZŠ 2025</t>
  </si>
  <si>
    <t>S-124/75030926/2025</t>
  </si>
  <si>
    <t>Pneucentrum N&amp;N s.r.o.</t>
  </si>
  <si>
    <t>Kupní smlouva_Letní pneumatiky a disky 2025</t>
  </si>
  <si>
    <t>29700876, 30832080</t>
  </si>
  <si>
    <t>13.01.2025, 15.4.2025</t>
  </si>
  <si>
    <t>S-125/75030926/2025</t>
  </si>
  <si>
    <t>Smlouva o nájmu prostor nesloužících k podnikání_Hradištko</t>
  </si>
  <si>
    <t>S-126/75030926/2025</t>
  </si>
  <si>
    <t>Zuzana Madroňová</t>
  </si>
  <si>
    <t>Zajištění praxe_Zuzana Madroňová_kurz řidiče_1 den</t>
  </si>
  <si>
    <t>S-128/75030926/2025</t>
  </si>
  <si>
    <t>Zdravotnický dozor_projektový den ''Ochrana při mimořádných událostí''</t>
  </si>
  <si>
    <t>S-127/75030926/2025</t>
  </si>
  <si>
    <t>S-129/75030926/2025</t>
  </si>
  <si>
    <t>Zajištění praxe_Lukáš Stráník_VŠZ Příbram_8 dnů</t>
  </si>
  <si>
    <t>S-130/75030926/2025</t>
  </si>
  <si>
    <t>Marta Čisáriková</t>
  </si>
  <si>
    <t>Zajištění praxe_Marta Čisáriková_UJEP_5 dnů</t>
  </si>
  <si>
    <t>S-131/75030926/2025</t>
  </si>
  <si>
    <t>Jakub Parobek</t>
  </si>
  <si>
    <t>Zajištění praxe_Jakub Parobek_kurz řidiče_1 den</t>
  </si>
  <si>
    <t>S-132/75030926/2025</t>
  </si>
  <si>
    <t>Tereza Nováková</t>
  </si>
  <si>
    <t>Zajištění praxe_Tereza Nováková_VŠZ Příbram_3 dny</t>
  </si>
  <si>
    <t>S-133/75030926/2025</t>
  </si>
  <si>
    <t>Petr Hoblík</t>
  </si>
  <si>
    <t>Zajištění praxe_Petr Hoblík_kurz řidiče_5 dnů</t>
  </si>
  <si>
    <t>Zdravotnický dozor_prezentace záchranářské techniky_ZŠ Rudná</t>
  </si>
  <si>
    <t>Základní škola Rudná, okres Praha západ</t>
  </si>
  <si>
    <t xml:space="preserve">změnilo se DPH v průběhu plnění </t>
  </si>
  <si>
    <t>S-134/75030926/2025</t>
  </si>
  <si>
    <t>S-135/75030926/2025</t>
  </si>
  <si>
    <t>Obec Rynholec</t>
  </si>
  <si>
    <t>Zdravotnický dozor_TJ Baník_Rynholec</t>
  </si>
  <si>
    <t>S-136/75030926/2025</t>
  </si>
  <si>
    <t>S-137/75030926/2025</t>
  </si>
  <si>
    <t>S-138/75030926/2025</t>
  </si>
  <si>
    <t>Zdravotnický dozor_Den záchranářů_Sportovní areál Sokol_Rosovice</t>
  </si>
  <si>
    <t>S-139/75030926/2025</t>
  </si>
  <si>
    <t>Smlouva o dílo_oprava sanitního vozu Škoda Kodiaq SPZ 4SY 8121</t>
  </si>
  <si>
    <t>Bezd. obohacení</t>
  </si>
  <si>
    <t>S-140/75030926/2025</t>
  </si>
  <si>
    <t>Petr Tomandl</t>
  </si>
  <si>
    <t>Zajištění praxe_Petr Tomandl_kurz řidiče_16 dnů</t>
  </si>
  <si>
    <t>S-141/75030926/2025</t>
  </si>
  <si>
    <t>Food Event, s.r.o.</t>
  </si>
  <si>
    <t>Zdravotnický dozor_akce ''Houkačky 2025''_Dobřichovice</t>
  </si>
  <si>
    <t>S-142/75030926/2025</t>
  </si>
  <si>
    <t>Zdravotnický dozor_zajištění hokejových zápasů_Ško-Energo arena</t>
  </si>
  <si>
    <t>S-143/75030926/2025</t>
  </si>
  <si>
    <t>TEDOM energie s.r.o.</t>
  </si>
  <si>
    <t>Smlouva o dodávce elektřiny s převzetím závazku dodat elektřinu do el.soust.</t>
  </si>
  <si>
    <t>S-144/75030926/2025</t>
  </si>
  <si>
    <t>Smlouva o podnájmu nemovité věci_Modrá Loděnice</t>
  </si>
  <si>
    <t>Smlouva o nájmu_VFN</t>
  </si>
  <si>
    <t>Dohoda o bezdůvod. obohacení ke sml.S-089/-/24</t>
  </si>
  <si>
    <t>S-145/75030926/2025</t>
  </si>
  <si>
    <t>EGO Zlín, spol. s r.o.</t>
  </si>
  <si>
    <t>Kupní smlouva_Biovak 1ks BIO-VAK EBV-30/40 IN/CH</t>
  </si>
  <si>
    <t>S-146/75030926/2025</t>
  </si>
  <si>
    <t>Petra Stejskalová</t>
  </si>
  <si>
    <t>Smlouva o nájmu nemovité věci Černošice</t>
  </si>
  <si>
    <t>06.05.2024,6.5.2025</t>
  </si>
  <si>
    <t>S-147/75030926/2025</t>
  </si>
  <si>
    <t>23015987, 31127744</t>
  </si>
  <si>
    <t>05.06.2023, 12.5.2025</t>
  </si>
  <si>
    <t>S-148/75030926/2025</t>
  </si>
  <si>
    <t>S-096/75030926/24</t>
  </si>
  <si>
    <t>S-149/75030926/2025</t>
  </si>
  <si>
    <t>Zdravotnický dozor_Dni otevřených dveří letiště Čáslav 2025</t>
  </si>
  <si>
    <t>S-150/75030926/2025</t>
  </si>
  <si>
    <t>Zajištění praxe_Hana Šrámová_ONK_5 dnů</t>
  </si>
  <si>
    <t>S-151/75030926/2025</t>
  </si>
  <si>
    <t>Bc.Martin Král</t>
  </si>
  <si>
    <t>Zajištění praxe_Bc. Martin Král_FBMI_1 den</t>
  </si>
  <si>
    <t>S-152/75030926/2025</t>
  </si>
  <si>
    <t>Zdravotnický dozor_Den s IZS_sport. areál městysu Chotětov</t>
  </si>
  <si>
    <t>SH ČMS - Sbor dobrovolných has.</t>
  </si>
  <si>
    <t>S-153/75030926/2025</t>
  </si>
  <si>
    <t>Zajištění praxe_Bianka Dušková_JČU_2 dny</t>
  </si>
  <si>
    <t>S-154/75030926/2025</t>
  </si>
  <si>
    <t>Hasičský záchranný sbor SK</t>
  </si>
  <si>
    <t>Zdravotnický dozor_Den otevřených dveří CHS Kutná Hora</t>
  </si>
  <si>
    <t>S-155/75030926/2025</t>
  </si>
  <si>
    <t>Zdravotnický dozor_Mistrovství ČR v Trialu_Trialpark Sklenka</t>
  </si>
  <si>
    <t>Smlouva na služby_Podpora při nastavení a vedení účetních procesů</t>
  </si>
  <si>
    <t>Vyšetřovací jednorázové rukavice</t>
  </si>
  <si>
    <t>VULKAN – Medical, a.s.</t>
  </si>
  <si>
    <t>Jednorázové elektrody - EKG</t>
  </si>
  <si>
    <t>obj. 13.5.2025</t>
  </si>
  <si>
    <t>09.09.2024,15,5,2025</t>
  </si>
  <si>
    <t>16.05.2023,15.5.2025</t>
  </si>
  <si>
    <t>obj.</t>
  </si>
  <si>
    <t>08.06.2023,201.5.2025</t>
  </si>
  <si>
    <t>12.07.2022,20.5.2025</t>
  </si>
  <si>
    <t>S-156/75030926/2025</t>
  </si>
  <si>
    <t>S-157/75030926/2025</t>
  </si>
  <si>
    <t>S-158/75030926/2025</t>
  </si>
  <si>
    <t>S-159/75030926/2025</t>
  </si>
  <si>
    <t>S-160/75030926/2025</t>
  </si>
  <si>
    <t>S-161/75030926/2025</t>
  </si>
  <si>
    <t>S-162/75030926/2025</t>
  </si>
  <si>
    <t>S-163/75030926/2025</t>
  </si>
  <si>
    <t>S-164/75030926/2025</t>
  </si>
  <si>
    <t>S-165/75030926/2025</t>
  </si>
  <si>
    <t>S-166/75030926/2025</t>
  </si>
  <si>
    <t>S-167/75030926/2025</t>
  </si>
  <si>
    <t>Zajištění praxe_MUDr. Simona Chrtová_7 směn</t>
  </si>
  <si>
    <t>Zajištění praxe_MUDr. Eliška Nová_7 směn</t>
  </si>
  <si>
    <t>Zdravotnický dozor_Den bezpčenosti_Čáslav</t>
  </si>
  <si>
    <t>Zajištění praxe_Vít Šmolík_JČU_3 dny</t>
  </si>
  <si>
    <t>Zajištění praxe_Jaroslav Hájek_10 dnů</t>
  </si>
  <si>
    <t>Zdravotnický dozor_140. výročí založení SDH Veltruby</t>
  </si>
  <si>
    <t>Zdravotnický dozor_Dětský den_Nové Strašecí</t>
  </si>
  <si>
    <t>Zdravotnický dozor_20 let od zahájení výroby TMMCZ_Kolín</t>
  </si>
  <si>
    <t>Zdravotnický dozor_Dětský den_Velké Chvalovice</t>
  </si>
  <si>
    <t>Zajištění praxe_Martin Novák_ZZUM Brno_1 den</t>
  </si>
  <si>
    <t>Zdravotnický dozor_50. výročí profesionálních hasičů v Dobříši</t>
  </si>
  <si>
    <t>Zdravotnický dozor_Hvožďany v květnu</t>
  </si>
  <si>
    <t>celkem uhrazeno</t>
  </si>
  <si>
    <t>Smlouva na služby_poskytování právních služeb_Soudní jednání _Marcela Uličná</t>
  </si>
  <si>
    <t>S-168/75030926/2025</t>
  </si>
  <si>
    <t>SH ČMS - Sbor dobrovolných hasičů Veltruby</t>
  </si>
  <si>
    <t>MUDr. Eliška Nová</t>
  </si>
  <si>
    <t>Vít Šmolík</t>
  </si>
  <si>
    <t>Jaroslav Hájek</t>
  </si>
  <si>
    <t>Martin Novák</t>
  </si>
  <si>
    <t>Ordinace Řepy, s.r.o.</t>
  </si>
  <si>
    <t>Dům dětí a mládeže Rakovník</t>
  </si>
  <si>
    <t>Kulturní středisko města Pečky</t>
  </si>
  <si>
    <t>Obec Hvožďany</t>
  </si>
  <si>
    <t>S-169/75030926/2025</t>
  </si>
  <si>
    <t>Obec Kly</t>
  </si>
  <si>
    <t>Zdravotnický dozor_Den s IZS_Kly, Mělník</t>
  </si>
  <si>
    <t>S-170/75030926/2025</t>
  </si>
  <si>
    <t>29.12.2021,26.5.2025</t>
  </si>
  <si>
    <t>S-171/75030926/2025</t>
  </si>
  <si>
    <t>S-172/75030926/2025</t>
  </si>
  <si>
    <t>S-173/75030926/2025</t>
  </si>
  <si>
    <t>S-174/75030926/2025</t>
  </si>
  <si>
    <t>S-175/75030926/2025</t>
  </si>
  <si>
    <t>S-176/75030926/2025</t>
  </si>
  <si>
    <t>S-177/75030926/2025</t>
  </si>
  <si>
    <t>Zdravotnický dozor_Dopravní den v Liblicích</t>
  </si>
  <si>
    <t>Zdravotnický dozor_Dětský den_Panenské Břežany</t>
  </si>
  <si>
    <t>Zdravotnický dozor_Dětský den_Říčany</t>
  </si>
  <si>
    <t>Zdravotnický dozor_Den s IZS_Šanov u Rakovníka</t>
  </si>
  <si>
    <t>Zdravotnický dozor_Den s IZS_zahrada Spolenčeského domu v Hořovicích</t>
  </si>
  <si>
    <t>Zajištění praxe_Sára Pávová_TUL_3 dny</t>
  </si>
  <si>
    <t>Smlouva o bezúplatném převodu majetku _sanity Volkswagen RZ: 2SK 4979</t>
  </si>
  <si>
    <t>Smlouva o bezúplatném převodu majetku _sanity Volkswagen RZ: 2SK 4980</t>
  </si>
  <si>
    <t>Obec Panenské Břežany</t>
  </si>
  <si>
    <t>Tělovýchova jednota Sokol Pacov</t>
  </si>
  <si>
    <t>TJ Šanov, z.s.</t>
  </si>
  <si>
    <t>Městské kulturní centrum Hořovice</t>
  </si>
  <si>
    <t>Sára Pávová</t>
  </si>
  <si>
    <t>S-178/75030926/2025</t>
  </si>
  <si>
    <t>Pojistná smlouva o hav. pojištění plavidel a o pojištění odpovědnosti</t>
  </si>
  <si>
    <t>S-179/75030926/2025</t>
  </si>
  <si>
    <t>David Buchtele</t>
  </si>
  <si>
    <t>Zajištění praxe_David Buchtele_ZZUM_1 den</t>
  </si>
  <si>
    <t>S-180/75030926/2025</t>
  </si>
  <si>
    <t>S-181/75030926/2025</t>
  </si>
  <si>
    <t>S-182/75030926/2025</t>
  </si>
  <si>
    <t>S-183/75030926/2025</t>
  </si>
  <si>
    <t>S-184/75030926/2025</t>
  </si>
  <si>
    <t>Smlouva o účtu_hlavní účet_č. 6522192/0800</t>
  </si>
  <si>
    <t>Smlouva o účtu_Fond investic_č. 6522272/0800</t>
  </si>
  <si>
    <t>Smlouva o účtu_FKSP_č. 6522352/0800</t>
  </si>
  <si>
    <t>Smlouva o účtu_PKP_č. 6522432/0800</t>
  </si>
  <si>
    <t>Smlouva o účtu_FZŠ_č. 14231862/0800</t>
  </si>
  <si>
    <t>Smlouva o účtu_hlavní účet_č. 6522192/0801</t>
  </si>
  <si>
    <t>Smlouva o účtu_Fond investic_č. 6522272/0801</t>
  </si>
  <si>
    <t>Smlouva o účtu_FKSP_č. 6522352/0801</t>
  </si>
  <si>
    <t>Smlouva o účtu_PKP_č. 6522432/0801</t>
  </si>
  <si>
    <t>Smlouva o účtu_FZŠ_č. 14231862/0801</t>
  </si>
  <si>
    <t>zveřejněno protistranou pod ID 7598243</t>
  </si>
  <si>
    <t>zveřejněno protistranou pod ID 7598255</t>
  </si>
  <si>
    <t>zveřejněno protistranou pod ID 7598275</t>
  </si>
  <si>
    <t>zveřejněno protistranou pod ID 7598283</t>
  </si>
  <si>
    <t>zveřejněno protistranou pod ID 31392672</t>
  </si>
  <si>
    <t>S-011/75030926/2025</t>
  </si>
  <si>
    <t>31.01.2024, 9.6.2025</t>
  </si>
  <si>
    <t>S-185/75030926/2025</t>
  </si>
  <si>
    <t>Marina Orlík s.r.o.</t>
  </si>
  <si>
    <t>Nájemní smlouva_nájem Orlík</t>
  </si>
  <si>
    <t>SMLOUVA O ÚČTU</t>
  </si>
  <si>
    <t>S-186/75030926/2025</t>
  </si>
  <si>
    <t>S-187/75030926/2025</t>
  </si>
  <si>
    <t>S-188/75030926/2025</t>
  </si>
  <si>
    <t>S-189/75030926/2025</t>
  </si>
  <si>
    <t>S-190/75030926/2025</t>
  </si>
  <si>
    <t>S-191/75030926/2025</t>
  </si>
  <si>
    <t>S-192/75030926/2025</t>
  </si>
  <si>
    <t>S-193/75030926/2025</t>
  </si>
  <si>
    <t>S-194/75030926/2025</t>
  </si>
  <si>
    <t>S-195/75030926/2025</t>
  </si>
  <si>
    <t>S-196/75030926/2025</t>
  </si>
  <si>
    <t>S-197/75030926/2025</t>
  </si>
  <si>
    <t>Zdravotnický dozor_Den záchranářů_Struhařov</t>
  </si>
  <si>
    <t>Zdravotnický dozor_140. výročí založení SDH_Klášter Hradiště nad Jizerou</t>
  </si>
  <si>
    <t>Zdravotnický dozor_pietní akt u hrobu lidických mužů_Lidice</t>
  </si>
  <si>
    <t>Zdravotnický dozor_Vítání léta na pivovarském dvoře_Rakovník</t>
  </si>
  <si>
    <t>Zdravotnický dozor_Den bezpečí a pořádku_Mělník</t>
  </si>
  <si>
    <t>Zdravotnický dozor_Bezpečný den_Luční v Sedlčanech</t>
  </si>
  <si>
    <t>Zdravotnický dozor_Bezpečně do prázdnin_Konopiště</t>
  </si>
  <si>
    <t>Zdravotnický dozor_Den dětí_Domov mládeže_Jesenice</t>
  </si>
  <si>
    <t>Zdravotnický dozor_Dětský den_Louňovice</t>
  </si>
  <si>
    <t>Zajištění praxe_David Mysliveček_TUL_16 dnů</t>
  </si>
  <si>
    <t>Zdravotnický dozor_Den dětí_Tmaň</t>
  </si>
  <si>
    <t>Zdravotnický dozor_První pomoc pro všechny_Kladno</t>
  </si>
  <si>
    <t>TJ Slavia Louňovice, z.s.</t>
  </si>
  <si>
    <t>SŠ a ZŠ Jesenice, p.o.</t>
  </si>
  <si>
    <t xml:space="preserve">SH ČMS - Sbor dobrovolných hasičů Klášter Hradiště nad Jizerou </t>
  </si>
  <si>
    <t>SDH Struhařov</t>
  </si>
  <si>
    <t xml:space="preserve">změnilo se DPH v průběhu </t>
  </si>
  <si>
    <t>S-198/75030926/2025</t>
  </si>
  <si>
    <t>Smlouva o dílo_výměra ležatých rozvodů vodovodu a baterií_ZZS Kolín</t>
  </si>
  <si>
    <t>S-199/75030926/2025</t>
  </si>
  <si>
    <t>Rámcová kupní smlouva_hadička spojovací</t>
  </si>
  <si>
    <t>RÁMCOVÁ KUPNÍ</t>
  </si>
  <si>
    <t>150000, 200000 Kč</t>
  </si>
  <si>
    <t>19302799, 31592773</t>
  </si>
  <si>
    <t>17.06.2022,17.6.2025</t>
  </si>
  <si>
    <t>S-200/75030926/2025</t>
  </si>
  <si>
    <t>Zdravotnická záchranná služba Jihočeského kraje</t>
  </si>
  <si>
    <t>KLM Security Group</t>
  </si>
  <si>
    <t>S-201/75030926/2025</t>
  </si>
  <si>
    <t>S-202/75030926/2025</t>
  </si>
  <si>
    <t>S-203/75030926/2025</t>
  </si>
  <si>
    <t>S-204/75030926/2025</t>
  </si>
  <si>
    <t>Dohoda o spolupráci_zajišťování a poskytování služeb na stanovišti VZS_Orlík</t>
  </si>
  <si>
    <t>DOHODA O SPOLUPRÁCI</t>
  </si>
  <si>
    <t>Zdravotnický dozor_Den záchranářů_Říčany</t>
  </si>
  <si>
    <t>Zajištění praxe_MUDr. Karel Metyš_10 směn</t>
  </si>
  <si>
    <t>Zdravotnický dozor_Dětský den_Svojetín</t>
  </si>
  <si>
    <t>Zajištění praxe_MUDr. Nela Broukalová_10 směn</t>
  </si>
  <si>
    <t>Obec Svojetín</t>
  </si>
  <si>
    <t>MUDr. Rostislav Broukal, s.r.o.</t>
  </si>
  <si>
    <t>Smlouva o dílo_oprava san. vozidla VW Transporter SPZ 6SF8598</t>
  </si>
  <si>
    <t>S-205/75030926/2025</t>
  </si>
  <si>
    <t>METLA s.r.o.</t>
  </si>
  <si>
    <t>Smlouva na služby_Svoz odpadu_Hostivice_Kladno</t>
  </si>
  <si>
    <t>S-206/75030926/2025</t>
  </si>
  <si>
    <t>S-207/75030926/2025</t>
  </si>
  <si>
    <t>S-208/75030926/2025</t>
  </si>
  <si>
    <t>S-209/75030926/2025</t>
  </si>
  <si>
    <t>S-210/75030926/2025</t>
  </si>
  <si>
    <t>Zajištění praxe_Karolína Nováková_LF_3 dny</t>
  </si>
  <si>
    <t>Zajištění praxe_Bc. Mario Guida_ZZUM_1 den</t>
  </si>
  <si>
    <t>Zdravotnický dozor_Oslava 140 let od založení SDH_Pavlíkov</t>
  </si>
  <si>
    <t>Zdravotnický dozor_145 let od založení SDH Tuklaty_Tuklaty</t>
  </si>
  <si>
    <t>Zajištění praxe_MUDr. Jan Turek_60 směn</t>
  </si>
  <si>
    <t>Obec Tuklaty</t>
  </si>
  <si>
    <t>SDH Chlum - Ryšín</t>
  </si>
  <si>
    <t>Bc. Mario Guida</t>
  </si>
  <si>
    <t xml:space="preserve">Karolína Nováková </t>
  </si>
  <si>
    <t>Smlouva o poskytování pracovnělékařských služeb_MUDr.Darebná</t>
  </si>
  <si>
    <t>Dohoda o vypořádání bezdůvodného obohacení ke sml S-210/-/21</t>
  </si>
  <si>
    <t>S-211/75030926/2025</t>
  </si>
  <si>
    <t>HZ Consult s.r.o.</t>
  </si>
  <si>
    <t>Smlouva na služby_Audit účetních závěrek ZZS SK 2025 a 2026</t>
  </si>
  <si>
    <t>S-212/75030926/2025</t>
  </si>
  <si>
    <t>Kupní smlouva_7 ks simulátorů defibrilátoru Corpuls</t>
  </si>
  <si>
    <t>S-213/75030926/2025</t>
  </si>
  <si>
    <t>Kupní smlouva_200 ks helem pro výj. skupiny ZZS SK</t>
  </si>
  <si>
    <t>967 395, 00 Kč</t>
  </si>
  <si>
    <t xml:space="preserve">  </t>
  </si>
  <si>
    <t>S-214/75030926/2025</t>
  </si>
  <si>
    <t>Smlouva o dílo_oprava vozidla 4ST 7503</t>
  </si>
  <si>
    <t>S-215/75030926/2025</t>
  </si>
  <si>
    <t>Smlouva o dílo_oprava vozidla 5SB 1807</t>
  </si>
  <si>
    <t>S-083/75030926/24/02</t>
  </si>
  <si>
    <t>Dílčí smlouva č. 2 k Rámcové dohodě S-083/75030926/24</t>
  </si>
  <si>
    <t xml:space="preserve">vyčerpaná </t>
  </si>
  <si>
    <t>S-216/75030926/2025</t>
  </si>
  <si>
    <t>Zdravotnický dozor_Bezpečně u vody_Krásná louka v Mladé Boleslavi</t>
  </si>
  <si>
    <t>S-217/75030926/2025</t>
  </si>
  <si>
    <t>Váš praktik Hloubětín s.r.o.</t>
  </si>
  <si>
    <t>Zajištění praxe_MUDr. Štěpán Maryško_7 směn</t>
  </si>
  <si>
    <t>S-218/75030926/2025</t>
  </si>
  <si>
    <t>Zajištění praxe_MUDr. Sandra Vlčková_7 směn</t>
  </si>
  <si>
    <t>MUDr. Sandra Vlčková</t>
  </si>
  <si>
    <t>S-219/75030926/2025</t>
  </si>
  <si>
    <t>S-220/75030926/2025</t>
  </si>
  <si>
    <t>S-221/75030926/2025</t>
  </si>
  <si>
    <t>Smlouva na služby_zpracování přiznání k dani z příjmů PO a daň. porad,</t>
  </si>
  <si>
    <t>Zajištění praktické výuky určených studentů 2025/2026</t>
  </si>
  <si>
    <t>Dohoda o narovnání_narovnání sporu ve věci MUDr. Půžové</t>
  </si>
  <si>
    <t>Smlouva na služby_zpracování přiznání k dani z příjmů PO a daň. porad.</t>
  </si>
  <si>
    <t>MUDr. Zdenka Půžová</t>
  </si>
  <si>
    <t>S-222/75030926/2025</t>
  </si>
  <si>
    <t>S-223/75030926/2025</t>
  </si>
  <si>
    <t>Mělnická zdravotní a.s.</t>
  </si>
  <si>
    <t>Nájemní smlouva_Heliport Mělník</t>
  </si>
  <si>
    <t>ÚLÉ</t>
  </si>
  <si>
    <t>29390736,30832,31874065</t>
  </si>
  <si>
    <t>12.12.2024, 15.4.2025, 8,7,2025</t>
  </si>
  <si>
    <t>HZConsult s.r.o.</t>
  </si>
  <si>
    <t>Smlouva na služby_zpracování přiznání k dani z příjmů PO a daň. porad. 2025/2026</t>
  </si>
  <si>
    <t>vyčerpáno</t>
  </si>
  <si>
    <t>skončeno</t>
  </si>
  <si>
    <t>S-224/75030926/2025</t>
  </si>
  <si>
    <t>S-225/75030926/2025</t>
  </si>
  <si>
    <t>S-226/75030926/2025</t>
  </si>
  <si>
    <t>Zajištění praxe_Valentýna Novotná_TUL_11 dnů</t>
  </si>
  <si>
    <t>Zajištění praxe_Lucie Hrubá_ZZ JČU_Příbram_7 dnů</t>
  </si>
  <si>
    <t>Zajištění praxe_určeným studentům v roce 2025/2026</t>
  </si>
  <si>
    <t>S-227/75030926/2025</t>
  </si>
  <si>
    <t>Nikolas Wolf</t>
  </si>
  <si>
    <t>Zajištění praxe_Nikolas Wolf_LF_2 dny</t>
  </si>
  <si>
    <t>Smlouva o úklidových službách_Mladá Boleslav</t>
  </si>
  <si>
    <t>Smlouva o dílo_oprava san. vozidla VW Transporter_SPZ: 5SJ 2590</t>
  </si>
  <si>
    <t>S-228/75030926/2025</t>
  </si>
  <si>
    <t>Prozachranu.cz s.r.o.</t>
  </si>
  <si>
    <t>Kupní smlouva_Dodávka taktických škrtidel typu tourniquet</t>
  </si>
  <si>
    <t>S-229/75030926/2025</t>
  </si>
  <si>
    <t>Rámcová kupní smlouva_ČÁST A_Laryngeální masky pro dospělé</t>
  </si>
  <si>
    <t>S-230/75030926/2025</t>
  </si>
  <si>
    <t>Rámcová kup smlouva_ČÁST B_Laryngeální masky pro děti</t>
  </si>
  <si>
    <t>S-231/75030926/2025</t>
  </si>
  <si>
    <t>MetCom s.r.o.</t>
  </si>
  <si>
    <t>Kupní smlouva_ČÁST A - Dodávka CCTV kamer</t>
  </si>
  <si>
    <t>S-232/75030926/2025</t>
  </si>
  <si>
    <t>Smlouva o dílo_ČÁST B - Dodávka a instalace CCTV kamer</t>
  </si>
  <si>
    <t>S-233/75030926/2025</t>
  </si>
  <si>
    <t>Rámcová kupní smlouva_Popáleninové roušky část A_rozměrem 10x10 cm</t>
  </si>
  <si>
    <t>S-234/75030926/2025</t>
  </si>
  <si>
    <t>Rámcová kupní smlouva_Popáleninové roušky část B_rozměrem 20x20 cm</t>
  </si>
  <si>
    <t>S-235/75030926/2025</t>
  </si>
  <si>
    <t>Rámcová kupní smlouva_Popáleninové roušky část C_20-30x40-45 cm na obličej</t>
  </si>
  <si>
    <t>S-236/75030926/2025</t>
  </si>
  <si>
    <t>Smlouva o dílo_oprava sanitního vozidla VW Transporter T6 SPZ 4SB 9177</t>
  </si>
  <si>
    <t>S-237/75030926/2025</t>
  </si>
  <si>
    <t>S-238/75030926/2025</t>
  </si>
  <si>
    <t>S-239/75030926/2025</t>
  </si>
  <si>
    <t>S-240/75030926/2025</t>
  </si>
  <si>
    <t>S-241/75030926/2025</t>
  </si>
  <si>
    <t>S-242/75030926/2025</t>
  </si>
  <si>
    <t>S-243/75030926/2025</t>
  </si>
  <si>
    <t>S-244/75030926/2025</t>
  </si>
  <si>
    <t>Zajištění praxe_MUC. Vanessa Jeníková_Nymburk</t>
  </si>
  <si>
    <t>Zajištění praxe_Mária Jackulíková_5 dnů_Příbram</t>
  </si>
  <si>
    <t>Zajištění praxe_MUDr. Petr Nemerád_1 den_Benešov</t>
  </si>
  <si>
    <t>Zdravotnický dozor_KEEP RESPECT_Kladruby</t>
  </si>
  <si>
    <t>Zajištění praxe_Magdaléna Dorazilová_15 dnů_Brandýs nad Labem</t>
  </si>
  <si>
    <t>Zajištění praxe_MUDr. Agáta Koukalová_7 směn_Hostivice</t>
  </si>
  <si>
    <t>Zdravotnický dozor_Krásnohorské léto_Krásná Hora nad Vltavou</t>
  </si>
  <si>
    <t>Zdravotnický dozor_Oslavy 100 let založení SDH Bratkovice_Bratkovice</t>
  </si>
  <si>
    <t>Mária Jackulíková</t>
  </si>
  <si>
    <t>MUDr. Petr Nemerád</t>
  </si>
  <si>
    <t>Magdaléna Dorazilová</t>
  </si>
  <si>
    <t>Obec Bratkovice</t>
  </si>
  <si>
    <t>Laryngeální masky_ČÁST A_Laryngeální masky pro dospělé</t>
  </si>
  <si>
    <t>Laryngeální masky_ČÁST B_Laryngeální masky pro děti</t>
  </si>
  <si>
    <t>Cheirón a.s.</t>
  </si>
  <si>
    <t>S-245/75030926/2025</t>
  </si>
  <si>
    <t>Závěrkový list_Smlouva na elektřinu EL-20250728-5704-220</t>
  </si>
  <si>
    <t>S-246/75030926/2025</t>
  </si>
  <si>
    <t>Závěrkový list_Smlouva na elektřinu EL-20250728-5705-33</t>
  </si>
  <si>
    <t>S-249/75030926/2025</t>
  </si>
  <si>
    <t>BAXTER CZECH spol. s.r.o.</t>
  </si>
  <si>
    <t>Rámcová dohoda_Infuzní roztoky IV_část B</t>
  </si>
  <si>
    <t>S-250/75030926/2025</t>
  </si>
  <si>
    <t>Rámcová dohoda_Infuzní roztoky IV_část A</t>
  </si>
  <si>
    <t>S-247/75030926/2025</t>
  </si>
  <si>
    <t>S-248/75030926/2025</t>
  </si>
  <si>
    <t>Zajištění praxe_Veronika Dvořáková_Kladno_10 dnů</t>
  </si>
  <si>
    <t>Zajištění praxe_Bc. Michal Ivanka_kurz řidiče_Benešov_4 dny</t>
  </si>
  <si>
    <t xml:space="preserve">Vyčerpané/skončené smlouvy </t>
  </si>
  <si>
    <t>B. Braun Medical s.r.o.  (třetí strana Interpharmac, s.r.o. - IČO 25277961)</t>
  </si>
  <si>
    <t>S-251/75030926/2025</t>
  </si>
  <si>
    <t>Smlouva na služby_obsluha plynové kotelny_Mnichovo Hradiště</t>
  </si>
  <si>
    <t>Mgr. arch. Jaroslav Trávníček</t>
  </si>
  <si>
    <t>PD_Vybudování nového stanov. ZZS SK_Říčany</t>
  </si>
  <si>
    <t>PD_Výstavba nového stanoviště ZZS SK, Vlašim</t>
  </si>
  <si>
    <t>PD_Výstavba nového stanoviště ZZS SK, Český Brod</t>
  </si>
  <si>
    <t>Baxter Czech spol. s r.o.</t>
  </si>
  <si>
    <t>S-252/75030926/2025</t>
  </si>
  <si>
    <t>Julie Bambasová</t>
  </si>
  <si>
    <t>Zajištění praxe_Julie Bambasová_Příbram_6 dnů</t>
  </si>
  <si>
    <t>obj. 28.02.2025</t>
  </si>
  <si>
    <t>PD_Vybudování nového stanov. ZZS SK_Brandýs</t>
  </si>
  <si>
    <t>PD_Výstavba nového stanoviště ZZS SK_Benešov</t>
  </si>
  <si>
    <t>S-253/75030926/2025</t>
  </si>
  <si>
    <t>bika - velkoobchod papírem, sp</t>
  </si>
  <si>
    <t>Rámcová kup. smlouva_Čistící prostředky a drogistické zboží pro ZZS SK</t>
  </si>
  <si>
    <t>S-254/75030926/2025</t>
  </si>
  <si>
    <t>Smlouva na služby_Stavebně-technická činnost ZZS SK 2025-2027_TDI</t>
  </si>
  <si>
    <t>14.2.02026</t>
  </si>
  <si>
    <t>S-255/75030926/2025</t>
  </si>
  <si>
    <t>VČELÍ STRÁŽ z.s.</t>
  </si>
  <si>
    <t>Zdravotnický dozor_TADY TO BZZZUČÍ_botanická zahrada Rakovník</t>
  </si>
  <si>
    <t>S-256/75030926/2025</t>
  </si>
  <si>
    <t>Zdravotnický dozor_hokejová utkání_ŠKO-ENERGO Aréna_Mladá Boleslav</t>
  </si>
  <si>
    <t>S-257/75030926/2025</t>
  </si>
  <si>
    <t>Zdravotnický dozor_Vedle Jedle Fest_Žluté lázně_Praha</t>
  </si>
  <si>
    <t>S-258/75030926/2025</t>
  </si>
  <si>
    <t>Zdravotnický dozor_Den IZS_Týnec nad Sázavou</t>
  </si>
  <si>
    <t>S-259/75030926/2025</t>
  </si>
  <si>
    <t>MUDr. Dan Kysilka</t>
  </si>
  <si>
    <t>Zajištění praxe_MUDr. Dan Kysilka_Benešov</t>
  </si>
  <si>
    <t>S-260/75030926/2025</t>
  </si>
  <si>
    <t>MUDr. Jan Brodníček s.r.o.</t>
  </si>
  <si>
    <t>Zajištění praxe_MUDr. Petra Mrkáčková_10 směn_Příbram</t>
  </si>
  <si>
    <t>S-261/75030926/2025</t>
  </si>
  <si>
    <t>Cybrify s.r.o.</t>
  </si>
  <si>
    <t>Smlouva na služby_Zajištění kyb.bezpečnosti ZZS SK_realizace opatření ID008</t>
  </si>
  <si>
    <t>S-262/75030926/2025</t>
  </si>
  <si>
    <t>Zetun a.s.</t>
  </si>
  <si>
    <t>Smlouva o budoucí nájemní smlouvě Hořovice</t>
  </si>
  <si>
    <t>S-263/75030926/2025</t>
  </si>
  <si>
    <t>Smlouva o nájmu nemovité věci_Hořovice</t>
  </si>
  <si>
    <t>S-264/75030926/2025</t>
  </si>
  <si>
    <t>S-265/75030926/2025</t>
  </si>
  <si>
    <t>S-266/75030926/2025</t>
  </si>
  <si>
    <t xml:space="preserve">Zámek Loučeň a.s. </t>
  </si>
  <si>
    <t>Kupní smlouva_Vozidlo rychlé lékařské pomoci v setkávacím systému 2023</t>
  </si>
  <si>
    <t>7051283, 32444925</t>
  </si>
  <si>
    <t>12.12.2018, 29.8.2025</t>
  </si>
  <si>
    <t>Smlouva o poskytování služeb_Zajištění prostor pro dvoudenní vzdělávací a výcvikovou akci</t>
  </si>
  <si>
    <t>S-267/75030926/2025</t>
  </si>
  <si>
    <t>S-268/75030926/2025</t>
  </si>
  <si>
    <t>S-269/75030926/2025</t>
  </si>
  <si>
    <t>S-270/75030926/2025</t>
  </si>
  <si>
    <t>S-271/75030926/2025</t>
  </si>
  <si>
    <t>S-272/75030926/2025</t>
  </si>
  <si>
    <t>S-273/75030926/2025</t>
  </si>
  <si>
    <t>S-274/75030926/2025</t>
  </si>
  <si>
    <t>S-275/75030926/2025</t>
  </si>
  <si>
    <t>S-276/75030926/2025</t>
  </si>
  <si>
    <t>S-277/75030926/2025</t>
  </si>
  <si>
    <t>Zajištění praxe_Pavlína Fantová_Zdiby_2 dny</t>
  </si>
  <si>
    <t>Zdravotnický dozor_Pohádková louka_Vysokopecký rybníkv obci Bohutín</t>
  </si>
  <si>
    <t>Zdravotnický dozor_Evropský pohár BMX_Benátky nad Jizerou</t>
  </si>
  <si>
    <t>Zdravotnický dozor_Dětský den_Červené Plečky</t>
  </si>
  <si>
    <t>Zajištění praxe_Dorotea Hořáková_ZOS_5 dní</t>
  </si>
  <si>
    <t>Kupní smlouva_Batohy pro výjezdové skupiny ZZS SK – část G</t>
  </si>
  <si>
    <t>Rámcová kupní smlouva_Batohy pro výjezdové skupiny ZZS SK – část B</t>
  </si>
  <si>
    <t>Rámcová kupní smlouva_Batohy pro výjezdové skupiny ZZS SK – část A</t>
  </si>
  <si>
    <t>Zajištění praxe_MUDr. Radka Kettnerová_Mladá Boleslav_7 směn</t>
  </si>
  <si>
    <t>Zajištění praxe_MUDr. Kristýna Beščecová_Beroun_10 směn</t>
  </si>
  <si>
    <t>Zajištění praxe_Martin Šimík_Vlašim_5 dnů</t>
  </si>
  <si>
    <t>Martin Šimík</t>
  </si>
  <si>
    <t>MUDr. Tereza Hamouzová</t>
  </si>
  <si>
    <t>Carpe Vitam, s.r.o.</t>
  </si>
  <si>
    <t>Vakuform, s.r.o.</t>
  </si>
  <si>
    <t>Dorotea Hořáková</t>
  </si>
  <si>
    <t>Junák - český skaut, středisko Červené Plečky, z.s.</t>
  </si>
  <si>
    <t>SC BMX Benátky nad Jizerou</t>
  </si>
  <si>
    <t>Obec Bohutín</t>
  </si>
  <si>
    <t>Pavlína Fantová</t>
  </si>
  <si>
    <t>S-278/75030926/2025</t>
  </si>
  <si>
    <t>ARCHITEKTURA, s.r.o.</t>
  </si>
  <si>
    <t>Smlouva o dílo_Studie rekonstrukce výjezdové základny Mělník ZZS SK</t>
  </si>
  <si>
    <t>S-279/75030926/2025</t>
  </si>
  <si>
    <t>Dohoda</t>
  </si>
  <si>
    <t>Dohoda o uznání dluhu_Zách.sl. Asociace samaritánů ČR_Kralupy nad Vltavou</t>
  </si>
  <si>
    <t>S-280/75030926/2025</t>
  </si>
  <si>
    <t>Smlouva o spolupráci v oblasti specializačního vzdělávání_urgetní medicína</t>
  </si>
  <si>
    <t>S-281/75030926/2025</t>
  </si>
  <si>
    <t>Smlouva o spolupráci v oblasti specializačního vzdělávání_anesteziologie</t>
  </si>
  <si>
    <t>S-282/75030926/2025</t>
  </si>
  <si>
    <t>S-283/75030926/2025</t>
  </si>
  <si>
    <t>S-284/75030926/2025</t>
  </si>
  <si>
    <t>S-285/75030926/2025</t>
  </si>
  <si>
    <t>S-286/75030926/2025</t>
  </si>
  <si>
    <t>S-287/75030926/2025</t>
  </si>
  <si>
    <t>S-288/75030926/2025</t>
  </si>
  <si>
    <t>S-289/75030926/2025</t>
  </si>
  <si>
    <t>Zdravotnický dozor_hokejová utkání_ŠKO-ENERGO ARÉNA_Mladá Boleslav</t>
  </si>
  <si>
    <t>Zajištění praxe_MUDr. Věra Skořepová_Příbram_10 směn</t>
  </si>
  <si>
    <t>Zajištění praxe_MUDr. Diana Volfová (Gregorová)_Kladno_10 směn</t>
  </si>
  <si>
    <t>Zajištění praxe_Adéla Petrtýlová_Nymburk_10 dnů</t>
  </si>
  <si>
    <t>Zdravotnický dozor_slavnostní otevření nové hasičské zbrojnice_Chudíř</t>
  </si>
  <si>
    <t>Zdravotnický dozor_Den prevence města Benešov_Benešov</t>
  </si>
  <si>
    <t>JANSKO - všeobecné praktické lékařství s.r.o.</t>
  </si>
  <si>
    <t>Obec Chudíř</t>
  </si>
  <si>
    <t>O-0915/75030926/2024/EN</t>
  </si>
  <si>
    <t>Právní služby - ve věci MUDr. Marcela Uličná</t>
  </si>
  <si>
    <t>S-290/75030926/2025</t>
  </si>
  <si>
    <t>Smlouva na služby_ Svoz odpadu_Hostivice</t>
  </si>
  <si>
    <t>32234449, 32559357</t>
  </si>
  <si>
    <t>08.08.2025, 8.9.2025</t>
  </si>
  <si>
    <t>O-0523/75030926/2025/EN</t>
  </si>
  <si>
    <t>Právní zastoupení ve věci poškozování dobrého jména ZZS SK</t>
  </si>
  <si>
    <t>S-291/75030926/2025</t>
  </si>
  <si>
    <t>Dohoda o vypořádání bezdůvodného obohacení ke sml č. S-052/75030926/23</t>
  </si>
  <si>
    <t>S-292/75030926/2025</t>
  </si>
  <si>
    <t>S-293/75030926/2025</t>
  </si>
  <si>
    <t>Rámcová dohoda o podmínkách poskytování mobilních služeb elek.komunikací</t>
  </si>
  <si>
    <t>NPO_Rámcová smlouva na služby_technický dozor projektu Zajištění kyber. bezp.</t>
  </si>
  <si>
    <t>NPO_Sml o posk služeb_Komplex zajiš žád o dotaci v rámci výzvy 43 Kyber bez NPO MV</t>
  </si>
  <si>
    <t>NPO_Rámcová smlouva_Právní podpora</t>
  </si>
  <si>
    <t>NPO_Smlouva na služby_Zajištění kyb.bezpečnosti ZZS SK_realizace opatření ID008</t>
  </si>
  <si>
    <t>Cybrify, s.r.o.</t>
  </si>
  <si>
    <t>O-0145/75030926/2024/EN</t>
  </si>
  <si>
    <t>S-294/75030926/2025</t>
  </si>
  <si>
    <t>Kupní smlouva_Záchranářské nůžky</t>
  </si>
  <si>
    <t>Pořízení materiálnětechnického vybavení Zdravotnické záchranné služby Středočeského kraje, p. o.</t>
  </si>
  <si>
    <t>S-295/75030926/2025</t>
  </si>
  <si>
    <t>S-296/75030926/2025</t>
  </si>
  <si>
    <t>Smlouva o spolupráci_specializační vzdělávání_Urgentní medicina</t>
  </si>
  <si>
    <t>Kupní smlouva_Elektronické chrániče sluchu pro tým speciálních činností</t>
  </si>
  <si>
    <t>Safety Agency, s.r.o.</t>
  </si>
  <si>
    <t>Memorandum_Dohoda o zapojení příslušníků KŘP v oblasti plánované první pomoci</t>
  </si>
  <si>
    <t>Právní služby - ve věci MUDr. Zdenka Půžová</t>
  </si>
  <si>
    <t>S-297/75030926/2025</t>
  </si>
  <si>
    <t>S-298/75030926/2025</t>
  </si>
  <si>
    <t>S-299/75030926/2025</t>
  </si>
  <si>
    <t>S-300/75030926/2025</t>
  </si>
  <si>
    <t>S-301/75030926/2025</t>
  </si>
  <si>
    <t>S-302/75030926/2025</t>
  </si>
  <si>
    <t>S-303/75030926/2025</t>
  </si>
  <si>
    <t>S-304/75030926/2025</t>
  </si>
  <si>
    <t>Zajištění praxe_Valentýna Novotná_7 dnů_Kolín</t>
  </si>
  <si>
    <t>Zajištění praxe_Denisa Dudková_10 dnů_Mělník</t>
  </si>
  <si>
    <t>Denisa Dudková</t>
  </si>
  <si>
    <t>Zdravotnický dozor_Den patriotů_Nymburk</t>
  </si>
  <si>
    <t>Zdravotnický dozor_Den se složkami IZS_Mělník</t>
  </si>
  <si>
    <t>Zdravotnický dozor_Během Třebotovem 2025_Třebotov</t>
  </si>
  <si>
    <t>Zdravotnický dozor_Festival sportu_Klimeška_Kutná Hora</t>
  </si>
  <si>
    <t>Zdravotnický dozor_Freestyle Battle Rakovník 2025_Rakovník</t>
  </si>
  <si>
    <t>Zdravotnický dozor_Mistrovství HZS ČR v disciplínách TFA_Příbram</t>
  </si>
  <si>
    <t>Okresní sdružení ČUS Kutná Hora</t>
  </si>
  <si>
    <t>SH ČMS - SDH Nelahozeves</t>
  </si>
  <si>
    <t>Město Čelákovice</t>
  </si>
  <si>
    <t>S-305/75030926/2025</t>
  </si>
  <si>
    <t>Kupní smlouva_Sanitní vozy 2025_část A_10ks</t>
  </si>
  <si>
    <t>S-306/75030926/2025</t>
  </si>
  <si>
    <t>Kupní smlouva_Sanitní vozy 2026_část B_15ks</t>
  </si>
  <si>
    <t>19.92025</t>
  </si>
  <si>
    <t>CWS Hygiene Czech Republic s.r.o.</t>
  </si>
  <si>
    <t>S-307/75030926/2025</t>
  </si>
  <si>
    <t>Výpůjčka</t>
  </si>
  <si>
    <t>Smlouva o výpůjčce_Mercedes Sprinter_RZ1BI 4903_Mercedes Sprinter_RZ1BV 1903</t>
  </si>
  <si>
    <t>S-308/75030926/2025</t>
  </si>
  <si>
    <t>Rámcová dohoda_Komplexní mobilní telefonní a datové služby_část A_primární</t>
  </si>
  <si>
    <t>S-309/75030926/2025</t>
  </si>
  <si>
    <t>Přístroje pro monitoraci SpO2, SpCO, karboxyhemoglobinu a methemoglobinu</t>
  </si>
  <si>
    <t>S-310/75030926/2025</t>
  </si>
  <si>
    <t>Smlouva o dílo_oprava vozidla 5SE 8606</t>
  </si>
  <si>
    <t>S-311/75030926/2025</t>
  </si>
  <si>
    <t>NÁJEMNÍ SMLOUVA</t>
  </si>
  <si>
    <t>Výzkumný ústav geodetický Zdiby</t>
  </si>
  <si>
    <t>Intraoseální jehly II</t>
  </si>
  <si>
    <t>S-312/75030926/2025</t>
  </si>
  <si>
    <t>AMI Communications, spol. s.r.</t>
  </si>
  <si>
    <t>Smlouva o poskytnutí služeb služby_PR sanity</t>
  </si>
  <si>
    <t>S-313/75030926/2025</t>
  </si>
  <si>
    <t>Praktik Velim s.r.o.</t>
  </si>
  <si>
    <t>Zajištění praxe_MUDr. Tomáš Černý_Kolín_10 směn</t>
  </si>
  <si>
    <t>S-314/75030926/2025</t>
  </si>
  <si>
    <t>Zajištění praxe_MUDr. Lenka Novotná_Říčany_7 směn</t>
  </si>
  <si>
    <t>S-315/75030926/2025</t>
  </si>
  <si>
    <t>Kupní smlouva_Motor (3 ks) VW Transporter – Sanitní vůz</t>
  </si>
  <si>
    <t>S-316/75030926/2025</t>
  </si>
  <si>
    <t>SEMBY, s.r.o.</t>
  </si>
  <si>
    <t>Nájemní smlouva_Bystřice</t>
  </si>
  <si>
    <t>S-317/75030926/2025</t>
  </si>
  <si>
    <t>Zdravotnický dozor_Den pro rodinu aneb mezigenerační mosty_Příbram</t>
  </si>
  <si>
    <t>S-318/75030926/2025</t>
  </si>
  <si>
    <t>Zdravotnický dozor_Distanční závody ve veslování na dlouhé dráze_Mělník</t>
  </si>
  <si>
    <t>S-319/75030926/2025</t>
  </si>
  <si>
    <t>KELTIA-MED s.r.o.</t>
  </si>
  <si>
    <t>Smlouva o budoucí podnájemní smlouvě_ZZS Zbraslav</t>
  </si>
  <si>
    <t>S-320/75030926/2025</t>
  </si>
  <si>
    <t>Smlouva o výpůjčce_Zajištění kybernetické bezp._pořízení HW a SW vybavení</t>
  </si>
  <si>
    <t>S-321/75030926/2025</t>
  </si>
  <si>
    <t>Spolupráce</t>
  </si>
  <si>
    <t>Smlouva o zajištění zdravotnické asistence</t>
  </si>
  <si>
    <t>Altair Solutions, s.r.o.</t>
  </si>
  <si>
    <t>S-322/75030926/2025</t>
  </si>
  <si>
    <t>Stáž</t>
  </si>
  <si>
    <t>Smlouva na služby_o zabezpečení odborné stáže_MUDr. Barbora Kapičková</t>
  </si>
  <si>
    <t>32706369, 32959097</t>
  </si>
  <si>
    <t>19.09.2025, 9.10.2025</t>
  </si>
  <si>
    <t>S-323/75030926/2025</t>
  </si>
  <si>
    <t>S-324/75030926/2025</t>
  </si>
  <si>
    <t xml:space="preserve">Ambulans Polska </t>
  </si>
  <si>
    <t>Kupní smlouva_Sanitní vozidla ZZS – typ C – ČSN EN 1789+A1 (5 + 5 ks)_část A</t>
  </si>
  <si>
    <t>Kupní smlouva_Sanitní vozidla ZZS – typ C – ČSN EN 1789+A1 (5 + 5 ks)_část B</t>
  </si>
  <si>
    <t>04.09.2024,15.10.2025</t>
  </si>
  <si>
    <t>S-325/75030926/2025</t>
  </si>
  <si>
    <t>ACTIVA spol. s r.o.</t>
  </si>
  <si>
    <t>Rámcová kup.smlouva_Kancelářské potřeby a papírenské zboží</t>
  </si>
  <si>
    <t>28093456, 33090261</t>
  </si>
  <si>
    <t>04.09.2024, 20.10.2025</t>
  </si>
  <si>
    <t>S-326/75030926/2025</t>
  </si>
  <si>
    <t>ZZ SEDMIKRÁSKA s.r.o.</t>
  </si>
  <si>
    <t>Smlouva o poskytování pracovnělékařských služeb_MUDr.  Jiří Jenšovský</t>
  </si>
  <si>
    <t>Stavebně-technická činnost ZZS SK 2025-2027_TDI</t>
  </si>
  <si>
    <t>obj. 16.4.2025</t>
  </si>
  <si>
    <t>S-327/75030926/2025</t>
  </si>
  <si>
    <t>OHLA ŽS, a.s.</t>
  </si>
  <si>
    <t>Smlouva o dílo_Nové stanoviště ZZS SK Benešov</t>
  </si>
  <si>
    <t>obj. 27.2.2025</t>
  </si>
  <si>
    <t>Activa spol. s r.o.</t>
  </si>
  <si>
    <t>Rámcová kupní smlouva_Kancelářské potřeby a papírenské zboží pro ZZS SK</t>
  </si>
  <si>
    <t>2 299 00,00 Kč</t>
  </si>
  <si>
    <t>obj 24.10.2025</t>
  </si>
  <si>
    <t>S-328/75030926/2025</t>
  </si>
  <si>
    <t>Rámcová kupní smlouva_Intravenózní kanyly II.</t>
  </si>
  <si>
    <t>S-329/75030926/2025</t>
  </si>
  <si>
    <t>S-330/75030926/2025</t>
  </si>
  <si>
    <t>Smlouva o spolupráci při produkci podcastu_Ve stínu majáku</t>
  </si>
  <si>
    <t>Smlouva o poskytování pracovnělékařských služeb_MUDr. Jan Růžička</t>
  </si>
  <si>
    <t>Alba Albis s.r.o.</t>
  </si>
  <si>
    <t>Ordinace praktického lékaře Štěchovice s.r.o.</t>
  </si>
  <si>
    <t>32962125 - zveřejněno protistranou</t>
  </si>
  <si>
    <t>S-331/75030926/2025</t>
  </si>
  <si>
    <t>S-332/75030926/2025</t>
  </si>
  <si>
    <t>S-333/75030926/2025</t>
  </si>
  <si>
    <t>S-334/75030926/2025</t>
  </si>
  <si>
    <t>S-335/75030926/2025</t>
  </si>
  <si>
    <t>S-336/75030926/2025</t>
  </si>
  <si>
    <t>S-337/75030926/2025</t>
  </si>
  <si>
    <t>S-338/75030926/2025</t>
  </si>
  <si>
    <t>S-339/75030926/2025</t>
  </si>
  <si>
    <t>S-340/75030926/2025</t>
  </si>
  <si>
    <t>SMLOUVA NA DODÁVKU</t>
  </si>
  <si>
    <t>Smlouva na dodávku</t>
  </si>
  <si>
    <t>Zdravotnický dozor_hokejová utkání žen - turnaj WEHT U18_Příbram</t>
  </si>
  <si>
    <t>Zajištění praxe_Bianka Dušková_ZZ na ČJU_3 dny_Vlašim</t>
  </si>
  <si>
    <t>Zajištění praxe_Blanka Dušková_ZZ na JČU_7 dnů_Vlašim</t>
  </si>
  <si>
    <t>Zajištění praxe_David Mysliveček_TUL_9 dnů_Beroun</t>
  </si>
  <si>
    <t>Zajištění praxe_Kateřina Apjárová, DiS._VŠZ_7 dnů_Dobříš</t>
  </si>
  <si>
    <t>Zajištění praxe_Jiří Drnovec_kurz řidiče_10 dnů_Vlašim</t>
  </si>
  <si>
    <t>Zdravotnický dozor_Výcvik s reálnými chemickými látkami_Příbram</t>
  </si>
  <si>
    <t>Smlouva o dílo_Oprava sanitního vozidla_SPZ: 3SJ 3899_PU</t>
  </si>
  <si>
    <t>Smlouva na dodávku virtualizačních a zálohovacích serverů a datového úložiště</t>
  </si>
  <si>
    <t>M Computers s.r.o.</t>
  </si>
  <si>
    <t>Jiří Drnovec</t>
  </si>
  <si>
    <t>Kateřina Apjárová, DiS.</t>
  </si>
  <si>
    <t>David Mysliveček</t>
  </si>
  <si>
    <t>Blanka Dušková</t>
  </si>
  <si>
    <t>Hokejový klub HC Příbram, z.s.</t>
  </si>
  <si>
    <t>Smlouva o nájmu prostor sloužících k podnikání_VFN</t>
  </si>
  <si>
    <t>S-341/75030926/2025</t>
  </si>
  <si>
    <t>Aesculap Ambulance s.r.o.</t>
  </si>
  <si>
    <t>Zajištění praxe_MUDr. RNDr. Barbara Kunt Vonková, Ph.D._7 směn_Benešov</t>
  </si>
  <si>
    <t>04.04.2024,27.10.2025</t>
  </si>
  <si>
    <t>30795292, 33174093</t>
  </si>
  <si>
    <t>11.04.2025, 27.10.2025</t>
  </si>
  <si>
    <t>28731932, 33199853, 33219241</t>
  </si>
  <si>
    <t>25.10.2024,30.10.2025, 31.10.2025</t>
  </si>
  <si>
    <t>31016552,310166, 33219249</t>
  </si>
  <si>
    <t>30.04.2025,30.4.2025, 31.10.2025</t>
  </si>
  <si>
    <t>S-342/75030926/2025</t>
  </si>
  <si>
    <t>Trade Wings, spol. s.r.o.</t>
  </si>
  <si>
    <t>Kupní smlouva_Taktické vesty ZZS SK_část _A</t>
  </si>
  <si>
    <t>S-343/75030926/2025</t>
  </si>
  <si>
    <t>Kupní smlouva_Taktické vesty ZZS SK_část B</t>
  </si>
  <si>
    <t>S-344/75030926/2025</t>
  </si>
  <si>
    <t>S-345/75030926/2025</t>
  </si>
  <si>
    <t>Bc. Petra Hofmanová</t>
  </si>
  <si>
    <t>Róbert Lorencovič</t>
  </si>
  <si>
    <t>Zajištění praxe_Bc. Petra Hofmanová_5 dní_Říčany</t>
  </si>
  <si>
    <t>Zajištění praxe_Róbert Lorencovič_IP na LF_4 dny_Zruč nad Sázavou</t>
  </si>
  <si>
    <t>Intravenózní kanyly II.</t>
  </si>
  <si>
    <t>PROMEDICA PRAHA GROUP, a.s.</t>
  </si>
  <si>
    <t>obj 6.11.2025</t>
  </si>
  <si>
    <t>S-346/75030926/2025</t>
  </si>
  <si>
    <t>S-347/75030926/2025</t>
  </si>
  <si>
    <t>Lenka Vávrová, BBA</t>
  </si>
  <si>
    <t>PTÚ_Smlouva o zajištění mytí vozidel</t>
  </si>
  <si>
    <t>Smlouva o zajištění mytí vozidel</t>
  </si>
  <si>
    <t>S-348/75030926/2025</t>
  </si>
  <si>
    <t>Pramacom Prague spol s.r.o.</t>
  </si>
  <si>
    <t>Kupní smlouva_Výměna a doplnění ruční radiostanice Matra s kitem</t>
  </si>
  <si>
    <t>S-349/75030926/2025</t>
  </si>
  <si>
    <t>J + M autodíly, s.r.o.</t>
  </si>
  <si>
    <t>Kupní smlouva_Nákup 68 ks zimních pneumatik</t>
  </si>
  <si>
    <t>16.04.2024,30.10.2025</t>
  </si>
  <si>
    <t>18434099, 33334837</t>
  </si>
  <si>
    <t>29.03.2022, 10.11.2025</t>
  </si>
  <si>
    <t xml:space="preserve"> - </t>
  </si>
  <si>
    <t>31.12.2024,11.11.2025</t>
  </si>
  <si>
    <t>Dohoda o uznání dluhu a způsobu jeho placení</t>
  </si>
  <si>
    <t>ZS ASČR Kralupy</t>
  </si>
  <si>
    <t>obj 7.11.2025</t>
  </si>
  <si>
    <t>obj 11.11.2025</t>
  </si>
  <si>
    <t>S-350/75030926/2025</t>
  </si>
  <si>
    <t>Connect plus s.r.o.</t>
  </si>
  <si>
    <t>Smlouva na služby_internetové připojení</t>
  </si>
  <si>
    <t>S-351/75030926/2025</t>
  </si>
  <si>
    <t>Smlouva o výpůjčce_Volkswagen R5,RZ 6U6259,Volkswagen T5 RZ 7U02917</t>
  </si>
  <si>
    <t>S-352/75030926/2025</t>
  </si>
  <si>
    <t>MUDr. Martin Feder</t>
  </si>
  <si>
    <t>Zajištění praxe_MUDr. Martin Feder_lékař_5 směn_Příbram a Beroun</t>
  </si>
  <si>
    <t>S-353/75030926/2025</t>
  </si>
  <si>
    <t>Západočeská univerzita v Plzni</t>
  </si>
  <si>
    <t>Zajištění praxe_Tomáš Janota_7 dnů_Příbram</t>
  </si>
  <si>
    <t>S-354/75030926/2025</t>
  </si>
  <si>
    <t>Zajištění praxe_MUDr. Anna Blažková_7 směn_Benešov</t>
  </si>
  <si>
    <t>4200,00 Kč</t>
  </si>
  <si>
    <t>S-355/75030926/2025</t>
  </si>
  <si>
    <t>S-356/75030926/2025</t>
  </si>
  <si>
    <t>RCS Brno-radiostanice.cz, a.s.</t>
  </si>
  <si>
    <t>Kupní smlouva_Technické vybavení výjezdových stanovišť_část B</t>
  </si>
  <si>
    <t>140 263,20 Kč</t>
  </si>
  <si>
    <t>S-357/75030926/2025</t>
  </si>
  <si>
    <t>Zajištění praxe_MUDr. Ekaterina Gladkikh_7 směn_Beroun</t>
  </si>
  <si>
    <t>S-358/75030926/2025</t>
  </si>
  <si>
    <t>PragMed s.r.o.</t>
  </si>
  <si>
    <t>Zajištění praxe_MUDr. Pavel Šimon_7 směn_Mělník</t>
  </si>
  <si>
    <t>S-359/75030926/2025</t>
  </si>
  <si>
    <t>Zajištění praxe_Lucie Hrubá_ZZ na JČU_10 dnů_Příbram</t>
  </si>
  <si>
    <t>S-360/75030926/2025</t>
  </si>
  <si>
    <t>Monika Holečková</t>
  </si>
  <si>
    <t>Zajištění praxe_Monika Holečková_kurz řidiče_7 dnů_Vranov</t>
  </si>
  <si>
    <t>S-361/75030926/2025</t>
  </si>
  <si>
    <t>Zajištění praxe_Denisa Dudková_ZZ na UJEP_27 dní_Mělník</t>
  </si>
  <si>
    <t>obj 20.11.2025</t>
  </si>
  <si>
    <t>NNLZP</t>
  </si>
  <si>
    <t>EN</t>
  </si>
  <si>
    <t>LN</t>
  </si>
  <si>
    <t>PTN</t>
  </si>
  <si>
    <t>k říjnu 2025</t>
  </si>
  <si>
    <t>S-362/75030926/2025</t>
  </si>
  <si>
    <t>Nakládání s odpadem_Smlouva o nakládání s odpadem_provozovna Čáslav</t>
  </si>
  <si>
    <t>Batohy pro výjezdové skupiny ZZS SK – část B</t>
  </si>
  <si>
    <t>Batohy pro výjezdové skupiny ZZS SK – část A</t>
  </si>
  <si>
    <t>Popáleninové roušky část A_rozměr 10x10 cm</t>
  </si>
  <si>
    <t>Popáleninové roušky_část B</t>
  </si>
  <si>
    <t>Popáleninové roušky část C_20-30x40-45 cm na obličej</t>
  </si>
  <si>
    <t>S-363/75030926/2025</t>
  </si>
  <si>
    <t>Podnájemní smlouva_nebytové prostory_Zbraslav</t>
  </si>
  <si>
    <t>S-364/75030926/2025</t>
  </si>
  <si>
    <t>Iatri Cauti, s.r.o.</t>
  </si>
  <si>
    <t>Smlouva o poskytování pracovnělékařských služeb_MUDr. Martin Šimša</t>
  </si>
  <si>
    <t>S-365/75030926/2025</t>
  </si>
  <si>
    <t>DrVoštěp s.r.o.</t>
  </si>
  <si>
    <t>Smlouva na služby v rámci správy budovy k podnájemní smlouvě_Zbraslav</t>
  </si>
  <si>
    <t>S-366/75030926/2025</t>
  </si>
  <si>
    <t>JP - KONTAKT s.r.o.</t>
  </si>
  <si>
    <t>Kupní smlouva_dodávka dřevěných skříní_část A</t>
  </si>
  <si>
    <t>S-367/75030926/2025</t>
  </si>
  <si>
    <t>Kupní smlouva_dodávka kovových skříní_část B</t>
  </si>
  <si>
    <t>S-368/75030926/2025</t>
  </si>
  <si>
    <t>Podnájemní smlouva parkovacích míst k podnájemní smlouvě Zbraslav</t>
  </si>
  <si>
    <t>DrVoštěp druhý s.r.o.</t>
  </si>
  <si>
    <t>S-369/75030926/2025</t>
  </si>
  <si>
    <t>Zdenka Zikešová</t>
  </si>
  <si>
    <t>Kupní smlouva_nábytek_kuchyňka a umyvadlo se skříní_Zbraslav</t>
  </si>
  <si>
    <t>S-370/75030926/2025</t>
  </si>
  <si>
    <t>BB kovo s.r.o.</t>
  </si>
  <si>
    <t>Smlouva o dílo_dodávka a montáž bezpečnostních dveří KZOS</t>
  </si>
  <si>
    <t>22.02.2024,1.12.2025,1.12.2025</t>
  </si>
  <si>
    <t>25902519,3362127,33621293</t>
  </si>
  <si>
    <t>GML Health Care s.r.o.</t>
  </si>
  <si>
    <t>ÚLE_Smlouva o výpůjčce_zápůjčka ultrazvuku</t>
  </si>
  <si>
    <t>Smlouva o výpůjčce_zápůjčka ultrazvuku</t>
  </si>
  <si>
    <t>S-371/75030926/2025</t>
  </si>
  <si>
    <t>S-372/75030926/2025</t>
  </si>
  <si>
    <t>S-373/75030926/2025</t>
  </si>
  <si>
    <t>Zajištění praxe_Petr Oppitz_kurz řidiče_2 dny_Mělník</t>
  </si>
  <si>
    <t>S-374/75030926/2025</t>
  </si>
  <si>
    <t>Bc. Jan Švejda, DiS</t>
  </si>
  <si>
    <t>Zajištění praxe_Bc. Jan Švejda, DiS._6 dnů_Mělník</t>
  </si>
  <si>
    <t>S-375/75030926/2025</t>
  </si>
  <si>
    <t>S-376/75030926/2025</t>
  </si>
  <si>
    <t>Zajištění praxe_Antonín Lukeš_voják</t>
  </si>
  <si>
    <t>Zajištění praxe_Jiří Kálal_voják</t>
  </si>
  <si>
    <t>S-377/75030926/2025</t>
  </si>
  <si>
    <t>Přefakturace elektrické energie_Sedlčany 159</t>
  </si>
  <si>
    <t>S-378/75030926/2025</t>
  </si>
  <si>
    <t>Zajištění praxe_Bc. Brunclík Filip Richard_voják_Rakovník</t>
  </si>
  <si>
    <t>2000888050</t>
  </si>
  <si>
    <t>2000911239</t>
  </si>
  <si>
    <t>2000824009</t>
  </si>
  <si>
    <t>2000824010</t>
  </si>
  <si>
    <t>2000838578</t>
  </si>
  <si>
    <t>2000857272</t>
  </si>
  <si>
    <t>2000857505</t>
  </si>
  <si>
    <t>2000857948</t>
  </si>
  <si>
    <t>2000859064</t>
  </si>
  <si>
    <t>2000859436</t>
  </si>
  <si>
    <t>2000859590</t>
  </si>
  <si>
    <t>2000859742</t>
  </si>
  <si>
    <t>2000860078</t>
  </si>
  <si>
    <t>2000861313</t>
  </si>
  <si>
    <t>2000863682</t>
  </si>
  <si>
    <t>2000864102</t>
  </si>
  <si>
    <t>2000866465</t>
  </si>
  <si>
    <t>2000869218</t>
  </si>
  <si>
    <t>2000871703</t>
  </si>
  <si>
    <t>2000871952</t>
  </si>
  <si>
    <t>2000875750</t>
  </si>
  <si>
    <t>2000876091</t>
  </si>
  <si>
    <t>2000880051</t>
  </si>
  <si>
    <t>číslo fa</t>
  </si>
  <si>
    <t>20250201</t>
  </si>
  <si>
    <t>20250204</t>
  </si>
  <si>
    <t>20250223</t>
  </si>
  <si>
    <t>20250224</t>
  </si>
  <si>
    <t>2025148</t>
  </si>
  <si>
    <t>20250019</t>
  </si>
  <si>
    <t>20250020</t>
  </si>
  <si>
    <t>20250038</t>
  </si>
  <si>
    <t>20250039</t>
  </si>
  <si>
    <t>20250060</t>
  </si>
  <si>
    <t>20250061</t>
  </si>
  <si>
    <t>20250078</t>
  </si>
  <si>
    <t>20250079</t>
  </si>
  <si>
    <t>20250085</t>
  </si>
  <si>
    <t>20250097</t>
  </si>
  <si>
    <t>20250098</t>
  </si>
  <si>
    <t>20250110</t>
  </si>
  <si>
    <t>20250111</t>
  </si>
  <si>
    <t>20250126</t>
  </si>
  <si>
    <t>20250127</t>
  </si>
  <si>
    <t>20250147</t>
  </si>
  <si>
    <t>20250151</t>
  </si>
  <si>
    <t>20250164</t>
  </si>
  <si>
    <t>20250165</t>
  </si>
  <si>
    <t>20250186</t>
  </si>
  <si>
    <t>20250187</t>
  </si>
  <si>
    <t>12500016</t>
  </si>
  <si>
    <t>1325282392</t>
  </si>
  <si>
    <t>1325282560</t>
  </si>
  <si>
    <t>1325286679</t>
  </si>
  <si>
    <t>1325013705</t>
  </si>
  <si>
    <t>1325014289</t>
  </si>
  <si>
    <t>1325042871</t>
  </si>
  <si>
    <t>1325058695</t>
  </si>
  <si>
    <t>1325093092</t>
  </si>
  <si>
    <t>1325123231</t>
  </si>
  <si>
    <t>1325128199</t>
  </si>
  <si>
    <t>1325153728</t>
  </si>
  <si>
    <t>1325171665</t>
  </si>
  <si>
    <t>1325191131</t>
  </si>
  <si>
    <t>1325205718</t>
  </si>
  <si>
    <t>1325211967</t>
  </si>
  <si>
    <t>1325223165</t>
  </si>
  <si>
    <t>1325234722</t>
  </si>
  <si>
    <t>1325236652</t>
  </si>
  <si>
    <t>250101810</t>
  </si>
  <si>
    <t>250101812</t>
  </si>
  <si>
    <t>250101829</t>
  </si>
  <si>
    <t>250101871</t>
  </si>
  <si>
    <t>250101877</t>
  </si>
  <si>
    <t>250101878</t>
  </si>
  <si>
    <t>250101880</t>
  </si>
  <si>
    <t>250101913</t>
  </si>
  <si>
    <t>250101920</t>
  </si>
  <si>
    <t>250101973</t>
  </si>
  <si>
    <t>250102006</t>
  </si>
  <si>
    <t>250102007</t>
  </si>
  <si>
    <t>250102008</t>
  </si>
  <si>
    <t>250102009</t>
  </si>
  <si>
    <t>250102063</t>
  </si>
  <si>
    <t>250102131</t>
  </si>
  <si>
    <t>250102132</t>
  </si>
  <si>
    <t>240100633</t>
  </si>
  <si>
    <t>250100005</t>
  </si>
  <si>
    <t>250100006</t>
  </si>
  <si>
    <t>250100007</t>
  </si>
  <si>
    <t>250100011</t>
  </si>
  <si>
    <t>250100089</t>
  </si>
  <si>
    <t>250100090</t>
  </si>
  <si>
    <t>250100091</t>
  </si>
  <si>
    <t>250100138</t>
  </si>
  <si>
    <t>250100165</t>
  </si>
  <si>
    <t>250100166</t>
  </si>
  <si>
    <t>250100167</t>
  </si>
  <si>
    <t>250100210</t>
  </si>
  <si>
    <t>250100237</t>
  </si>
  <si>
    <t>250100309</t>
  </si>
  <si>
    <t>250100338</t>
  </si>
  <si>
    <t>250100339</t>
  </si>
  <si>
    <t>250100353</t>
  </si>
  <si>
    <t>250100419</t>
  </si>
  <si>
    <t>250100426</t>
  </si>
  <si>
    <t>250100430</t>
  </si>
  <si>
    <t>250100456</t>
  </si>
  <si>
    <t>250100459</t>
  </si>
  <si>
    <t>250100471</t>
  </si>
  <si>
    <t>250100472</t>
  </si>
  <si>
    <t>250100496</t>
  </si>
  <si>
    <t>250100497</t>
  </si>
  <si>
    <t>250100505</t>
  </si>
  <si>
    <t>250100508</t>
  </si>
  <si>
    <t>250100550</t>
  </si>
  <si>
    <t>250100568</t>
  </si>
  <si>
    <t>250100574</t>
  </si>
  <si>
    <t>250100583</t>
  </si>
  <si>
    <t>250100584</t>
  </si>
  <si>
    <t>250100588</t>
  </si>
  <si>
    <t>250100589</t>
  </si>
  <si>
    <t>250100590</t>
  </si>
  <si>
    <t>250100593</t>
  </si>
  <si>
    <t>250100594</t>
  </si>
  <si>
    <t>250100595</t>
  </si>
  <si>
    <t>250100611</t>
  </si>
  <si>
    <t>250100639</t>
  </si>
  <si>
    <t>250100655</t>
  </si>
  <si>
    <t>250100673</t>
  </si>
  <si>
    <t>250100675</t>
  </si>
  <si>
    <t>250100706</t>
  </si>
  <si>
    <t>250100707</t>
  </si>
  <si>
    <t>250100727</t>
  </si>
  <si>
    <t>250100758</t>
  </si>
  <si>
    <t>250100776</t>
  </si>
  <si>
    <t>250100800</t>
  </si>
  <si>
    <t>250100850</t>
  </si>
  <si>
    <t>250100865</t>
  </si>
  <si>
    <t>250100866</t>
  </si>
  <si>
    <t>250100867</t>
  </si>
  <si>
    <t>250100868</t>
  </si>
  <si>
    <t>250100877</t>
  </si>
  <si>
    <t>250100880</t>
  </si>
  <si>
    <t>250100881</t>
  </si>
  <si>
    <t>250100883</t>
  </si>
  <si>
    <t>250100894</t>
  </si>
  <si>
    <t>250100929</t>
  </si>
  <si>
    <t>250100946</t>
  </si>
  <si>
    <t>250100954</t>
  </si>
  <si>
    <t>250100967</t>
  </si>
  <si>
    <t>250101027</t>
  </si>
  <si>
    <t>250101028</t>
  </si>
  <si>
    <t>250101042</t>
  </si>
  <si>
    <t>250101048</t>
  </si>
  <si>
    <t>250101068</t>
  </si>
  <si>
    <t>250101071</t>
  </si>
  <si>
    <t>250101116</t>
  </si>
  <si>
    <t>250101183</t>
  </si>
  <si>
    <t>250101199</t>
  </si>
  <si>
    <t>250101271</t>
  </si>
  <si>
    <t>250101305</t>
  </si>
  <si>
    <t>250101307</t>
  </si>
  <si>
    <t>250101311</t>
  </si>
  <si>
    <t>250101357</t>
  </si>
  <si>
    <t>250101360</t>
  </si>
  <si>
    <t>250101364</t>
  </si>
  <si>
    <t>250101369</t>
  </si>
  <si>
    <t>250101370</t>
  </si>
  <si>
    <t>250101380</t>
  </si>
  <si>
    <t>250101381</t>
  </si>
  <si>
    <t>250101382</t>
  </si>
  <si>
    <t>250101383</t>
  </si>
  <si>
    <t>250101384</t>
  </si>
  <si>
    <t>250101443</t>
  </si>
  <si>
    <t>250101445</t>
  </si>
  <si>
    <t>250101446</t>
  </si>
  <si>
    <t>250101447</t>
  </si>
  <si>
    <t>250101448</t>
  </si>
  <si>
    <t>250101456</t>
  </si>
  <si>
    <t>250101478</t>
  </si>
  <si>
    <t>250101479</t>
  </si>
  <si>
    <t>250101524</t>
  </si>
  <si>
    <t>250101528</t>
  </si>
  <si>
    <t>250101531</t>
  </si>
  <si>
    <t>250101540</t>
  </si>
  <si>
    <t>250101541</t>
  </si>
  <si>
    <t>250101544</t>
  </si>
  <si>
    <t>250101545</t>
  </si>
  <si>
    <t>250101627</t>
  </si>
  <si>
    <t>250101630</t>
  </si>
  <si>
    <t>250101631</t>
  </si>
  <si>
    <t>250101658</t>
  </si>
  <si>
    <t>250101686</t>
  </si>
  <si>
    <t>250101688</t>
  </si>
  <si>
    <t>250101708</t>
  </si>
  <si>
    <t>250101741</t>
  </si>
  <si>
    <t>250101757</t>
  </si>
  <si>
    <t>OPERATIVNÍ LEASING</t>
  </si>
  <si>
    <t>Smlouva o operativním leasingu a dalších službách ''ComfortPlan''</t>
  </si>
  <si>
    <t>S-383/75030926/2025</t>
  </si>
  <si>
    <t>S-382/75030926/2025</t>
  </si>
  <si>
    <t>S-381/75030926/2025</t>
  </si>
  <si>
    <t>S-380/75030926/2025</t>
  </si>
  <si>
    <t>S-379/75030926/2025</t>
  </si>
  <si>
    <t>Marianna Savlyaková</t>
  </si>
  <si>
    <t>Zajištění praxe_Marianna Savlyaková_4 dny_Brandýs nad Labem</t>
  </si>
  <si>
    <t>Zajištění praxe_Karolína Walterová_9 dnů_Kolín</t>
  </si>
  <si>
    <t>MUDr. Vendula Talácková</t>
  </si>
  <si>
    <t>Zajištění praxe_MUDr. Vendula Talácková_5 směn_Benešov</t>
  </si>
  <si>
    <t>Zajištění praxe_Adéla Vitásková_9 dnů_Příbram</t>
  </si>
  <si>
    <t>Veronika Štychová</t>
  </si>
  <si>
    <t>Zajištění praxe_Veronika Štychová_12 dnů_Beroun</t>
  </si>
  <si>
    <t>Martin Šebesta</t>
  </si>
  <si>
    <t>Zajištění praxe_Martin Šebesta_5 dnů_Kolín</t>
  </si>
  <si>
    <t>Drivalia Lease Czech Republic</t>
  </si>
  <si>
    <t>1325289074</t>
  </si>
  <si>
    <t>obj. 8.12.2025</t>
  </si>
  <si>
    <t>1032516414</t>
  </si>
  <si>
    <t>250102212</t>
  </si>
  <si>
    <t>obj. 9.12.2025</t>
  </si>
  <si>
    <t>S-384/75030926/2025</t>
  </si>
  <si>
    <t>Smlouva na právní služby</t>
  </si>
  <si>
    <t>11935332, 14088055,017402247, 19665963, 21116901, 27169224,32111341,33746713</t>
  </si>
  <si>
    <t>29.05.2020, 08.01.2021, 14.12.2021, 25.07.2022, 09.12.2022,29.7.2025,9.12.2025</t>
  </si>
  <si>
    <t>631,50521,90</t>
  </si>
  <si>
    <t>S-385/75030926/2025</t>
  </si>
  <si>
    <t>Daniel Brindžák</t>
  </si>
  <si>
    <t>Zajištění praxe_Daniel Brindžák_LF_5 dnů_Kladno</t>
  </si>
  <si>
    <t>11.12.2019,12.12.2025</t>
  </si>
  <si>
    <t>250102346</t>
  </si>
  <si>
    <t>250102342</t>
  </si>
  <si>
    <t>250102340</t>
  </si>
  <si>
    <t>250102274</t>
  </si>
  <si>
    <t>250102273</t>
  </si>
  <si>
    <t>250102369</t>
  </si>
  <si>
    <t>222251831</t>
  </si>
  <si>
    <t>222251837</t>
  </si>
  <si>
    <t>Smlouva na právní služby_poradenství v oblasti pracovního práva</t>
  </si>
  <si>
    <t>OBJ. 15.12.</t>
  </si>
  <si>
    <t>06.11.2025,15.12.2025</t>
  </si>
  <si>
    <t>222251849</t>
  </si>
  <si>
    <t>222251850</t>
  </si>
  <si>
    <t>250102371</t>
  </si>
  <si>
    <t>1325300767</t>
  </si>
  <si>
    <t>1325303288</t>
  </si>
  <si>
    <t>1325303289</t>
  </si>
  <si>
    <t>S-386/75030926/2025</t>
  </si>
  <si>
    <t>Kupní smlouva_Část A_Oprava motoru vozidla 4SY 7701</t>
  </si>
  <si>
    <t>S-387/75030926/2025</t>
  </si>
  <si>
    <t>Kupní smlouva_Část B_Oprava převodovky vozidla 5SE 8607</t>
  </si>
  <si>
    <t>Operativní leasing</t>
  </si>
  <si>
    <t>250102421</t>
  </si>
  <si>
    <t>250102425</t>
  </si>
  <si>
    <t>1032517041</t>
  </si>
  <si>
    <t>1032516721</t>
  </si>
  <si>
    <t>1325305622</t>
  </si>
  <si>
    <t>1325306956</t>
  </si>
  <si>
    <t>1325296876</t>
  </si>
  <si>
    <t>01.04.2025,19.12.2025</t>
  </si>
  <si>
    <t>S-388/75030926/2025</t>
  </si>
  <si>
    <t>Smlouva o zřízení věc. břemene-služebnosti_Benešov u Prahy</t>
  </si>
  <si>
    <t>k listopadu 2025</t>
  </si>
  <si>
    <t>k prosinci 2025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</si>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</sst>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#,##0\ &quot;Kč&quot;;[Red]\-#,##0\ &quot;Kč&quot;"/>
    <numFmt numFmtId="8" formatCode="#,##0.00\ &quot;Kč&quot;;[Red]\-#,##0.00\ &quot;Kč&quot;"/>
    <numFmt numFmtId="42" formatCode="_-* #,##0\ &quot;Kč&quot;_-;\-* #,##0\ &quot;Kč&quot;_-;_-* &quot;-&quot;\ &quot;Kč&quot;_-;_-@_-"/>
    <numFmt numFmtId="44" formatCode="_-* #,##0.00\ &quot;Kč&quot;_-;\-* #,##0.00\ &quot;Kč&quot;_-;_-* &quot;-&quot;??\ &quot;Kč&quot;_-;_-@_-"/>
    <numFmt numFmtId="164" formatCode="d\.m\.yyyy"/>
    <numFmt numFmtId="165" formatCode="_-* #,##0.00\ [$Kč-405]_-;\-* #,##0.00\ [$Kč-405]_-;_-* &quot;-&quot;??\ [$Kč-405]_-;_-@"/>
    <numFmt numFmtId="166" formatCode="dd\.mm\.yyyy"/>
    <numFmt numFmtId="167" formatCode="#,##0.00\ &quot;Kč&quot;"/>
    <numFmt numFmtId="168" formatCode="0;[Red]0"/>
  </numFmts>
  <fonts count="76">
    <font>
      <sz val="10"/>
      <color rgb="FF000000"/>
      <name val="Arial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color theme="1"/>
      <name val="Arial"/>
      <family val="2"/>
      <charset val="238"/>
      <scheme val="minor"/>
    </font>
    <font>
      <sz val="10"/>
      <color theme="1"/>
      <name val="Arimo"/>
    </font>
    <font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  <scheme val="minor"/>
    </font>
    <font>
      <u/>
      <sz val="10"/>
      <color rgb="FF0000FF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rgb="FFFF00FF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&quot;Arial&quot;"/>
    </font>
    <font>
      <b/>
      <sz val="10"/>
      <color rgb="FF000000"/>
      <name val="Arial"/>
      <family val="2"/>
      <charset val="238"/>
    </font>
    <font>
      <b/>
      <sz val="10"/>
      <color rgb="FFFF0000"/>
      <name val="&quot;Arial&quot;"/>
    </font>
    <font>
      <b/>
      <sz val="10"/>
      <color theme="1"/>
      <name val="Arial"/>
      <family val="2"/>
      <charset val="238"/>
    </font>
    <font>
      <sz val="10"/>
      <color theme="1"/>
      <name val="&quot;Arial&quot;"/>
    </font>
    <font>
      <b/>
      <sz val="10"/>
      <color rgb="FFFF0000"/>
      <name val="Arial"/>
      <family val="2"/>
      <charset val="238"/>
      <scheme val="minor"/>
    </font>
    <font>
      <b/>
      <sz val="10"/>
      <color rgb="FF00B050"/>
      <name val="Arial"/>
      <family val="2"/>
      <charset val="238"/>
    </font>
    <font>
      <sz val="10"/>
      <color rgb="FF000000"/>
      <name val="&quot;Arial&quot;"/>
    </font>
    <font>
      <sz val="11"/>
      <color rgb="FFFF0000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0"/>
      <color rgb="FF953734"/>
      <name val="Arial"/>
      <family val="2"/>
      <charset val="238"/>
    </font>
    <font>
      <sz val="10"/>
      <color rgb="FFC65911"/>
      <name val="Arial"/>
      <family val="2"/>
      <charset val="238"/>
    </font>
    <font>
      <sz val="10"/>
      <color rgb="FF953734"/>
      <name val="Arial"/>
      <family val="2"/>
      <charset val="238"/>
    </font>
    <font>
      <b/>
      <sz val="10"/>
      <color rgb="FFC65911"/>
      <name val="Arial"/>
      <family val="2"/>
      <charset val="238"/>
    </font>
    <font>
      <sz val="10"/>
      <color rgb="FF0066CC"/>
      <name val="Arial"/>
      <family val="2"/>
      <charset val="238"/>
    </font>
    <font>
      <sz val="10"/>
      <color rgb="FFED7D31"/>
      <name val="Arial"/>
      <family val="2"/>
      <charset val="238"/>
    </font>
    <font>
      <sz val="10"/>
      <color theme="5"/>
      <name val="Arial"/>
      <family val="2"/>
      <charset val="238"/>
    </font>
    <font>
      <sz val="10"/>
      <color rgb="FFED7D31"/>
      <name val="&quot;Arial&quot;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10"/>
      <color rgb="FFFF6600"/>
      <name val="Arial"/>
      <family val="2"/>
      <charset val="238"/>
    </font>
    <font>
      <sz val="10"/>
      <color rgb="FFFF6600"/>
      <name val="Arial"/>
      <family val="2"/>
      <charset val="238"/>
    </font>
    <font>
      <sz val="10"/>
      <color rgb="FF000000"/>
      <name val="Arial"/>
      <family val="2"/>
      <charset val="238"/>
      <scheme val="minor"/>
    </font>
    <font>
      <sz val="10"/>
      <name val="Arial"/>
      <family val="2"/>
      <charset val="238"/>
    </font>
    <font>
      <sz val="8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  <font>
      <sz val="11"/>
      <color rgb="FF006100"/>
      <name val="Arial"/>
      <family val="2"/>
      <charset val="238"/>
      <scheme val="minor"/>
    </font>
    <font>
      <u/>
      <sz val="11"/>
      <color theme="10"/>
      <name val="Arial"/>
      <family val="2"/>
      <charset val="238"/>
      <scheme val="minor"/>
    </font>
    <font>
      <sz val="11"/>
      <name val="Calibri"/>
      <family val="2"/>
      <charset val="238"/>
    </font>
    <font>
      <sz val="10"/>
      <color rgb="FF000000"/>
      <name val="Arial"/>
      <family val="2"/>
      <charset val="238"/>
      <scheme val="major"/>
    </font>
    <font>
      <b/>
      <sz val="10"/>
      <color theme="1"/>
      <name val="Arial"/>
      <family val="2"/>
      <charset val="238"/>
      <scheme val="major"/>
    </font>
    <font>
      <sz val="10"/>
      <color theme="1"/>
      <name val="Arial"/>
      <family val="2"/>
      <charset val="238"/>
      <scheme val="major"/>
    </font>
    <font>
      <b/>
      <sz val="10"/>
      <color rgb="FF000000"/>
      <name val="Arial"/>
      <family val="2"/>
      <charset val="238"/>
      <scheme val="major"/>
    </font>
    <font>
      <strike/>
      <sz val="10"/>
      <color rgb="FF000000"/>
      <name val="Arial"/>
      <family val="2"/>
      <charset val="238"/>
      <scheme val="major"/>
    </font>
    <font>
      <b/>
      <sz val="10"/>
      <color theme="1"/>
      <name val="Arial"/>
      <family val="2"/>
      <charset val="238"/>
      <scheme val="minor"/>
    </font>
    <font>
      <i/>
      <sz val="10"/>
      <color rgb="FF000000"/>
      <name val="Arial"/>
      <family val="2"/>
      <charset val="238"/>
      <scheme val="major"/>
    </font>
    <font>
      <b/>
      <sz val="10"/>
      <color rgb="FF7030A0"/>
      <name val="Arial"/>
      <family val="2"/>
      <charset val="238"/>
    </font>
    <font>
      <sz val="10"/>
      <color rgb="FF7030A0"/>
      <name val="Arial"/>
      <family val="2"/>
      <charset val="238"/>
    </font>
    <font>
      <i/>
      <sz val="10"/>
      <color theme="1"/>
      <name val="Arial"/>
      <family val="2"/>
      <charset val="238"/>
      <scheme val="minor"/>
    </font>
    <font>
      <strike/>
      <sz val="10"/>
      <color rgb="FF000000"/>
      <name val="Arial"/>
      <family val="2"/>
      <charset val="238"/>
      <scheme val="minor"/>
    </font>
    <font>
      <b/>
      <sz val="10"/>
      <color rgb="FF000000"/>
      <name val="Arial"/>
      <family val="2"/>
      <charset val="238"/>
      <scheme val="minor"/>
    </font>
    <font>
      <sz val="10"/>
      <name val="Arial"/>
      <family val="2"/>
      <charset val="238"/>
      <scheme val="minor"/>
    </font>
    <font>
      <sz val="10"/>
      <name val="Arimo"/>
    </font>
    <font>
      <b/>
      <sz val="10"/>
      <name val="Arial"/>
      <family val="2"/>
      <charset val="238"/>
    </font>
    <font>
      <b/>
      <sz val="16"/>
      <color rgb="FF000000"/>
      <name val="Calibri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1"/>
      <color rgb="FF000000"/>
      <name val="Arial"/>
      <family val="2"/>
      <charset val="238"/>
      <scheme val="major"/>
    </font>
    <font>
      <sz val="11"/>
      <color rgb="FF000000"/>
      <name val="Aptos"/>
      <family val="2"/>
    </font>
    <font>
      <i/>
      <sz val="10"/>
      <color theme="1"/>
      <name val="Arial"/>
      <family val="2"/>
      <charset val="238"/>
    </font>
    <font>
      <sz val="10"/>
      <name val="Arial"/>
      <family val="2"/>
      <charset val="238"/>
      <scheme val="major"/>
    </font>
    <font>
      <b/>
      <sz val="10"/>
      <name val="Arial"/>
      <family val="2"/>
      <charset val="238"/>
      <scheme val="major"/>
    </font>
    <font>
      <i/>
      <sz val="10"/>
      <color rgb="FF000000"/>
      <name val="Arial"/>
      <family val="2"/>
      <charset val="238"/>
    </font>
    <font>
      <sz val="11"/>
      <color rgb="FF00000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FFCC00"/>
        <bgColor rgb="FFFFCC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E5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5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auto="1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medium">
        <color indexed="64"/>
      </bottom>
      <diagonal/>
    </border>
    <border>
      <left style="thick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thick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dashed">
        <color indexed="64"/>
      </right>
      <top style="medium">
        <color auto="1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ck">
        <color indexed="64"/>
      </right>
      <top style="dashed">
        <color indexed="64"/>
      </top>
      <bottom/>
      <diagonal/>
    </border>
    <border>
      <left style="thick">
        <color indexed="64"/>
      </left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/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/>
      <right style="thick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thick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thick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thick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thick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 diagonalUp="1"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 style="thin">
        <color indexed="64"/>
      </diagonal>
    </border>
    <border diagonalUp="1">
      <left style="dashed">
        <color indexed="64"/>
      </left>
      <right style="medium">
        <color indexed="64"/>
      </right>
      <top/>
      <bottom style="dashed">
        <color indexed="64"/>
      </bottom>
      <diagonal style="thin">
        <color indexed="64"/>
      </diagonal>
    </border>
    <border diagonalUp="1"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 style="thin">
        <color indexed="64"/>
      </diagonal>
    </border>
    <border diagonalUp="1">
      <left style="thick">
        <color indexed="64"/>
      </left>
      <right style="dashed">
        <color indexed="64"/>
      </right>
      <top style="medium">
        <color indexed="64"/>
      </top>
      <bottom style="medium">
        <color auto="1"/>
      </bottom>
      <diagonal style="thin">
        <color indexed="64"/>
      </diagonal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thick">
        <color indexed="64"/>
      </left>
      <right style="dashed">
        <color indexed="64"/>
      </right>
      <top/>
      <bottom style="medium">
        <color indexed="64"/>
      </bottom>
      <diagonal/>
    </border>
    <border>
      <left style="thick">
        <color indexed="64"/>
      </left>
      <right style="dashed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 diagonalUp="1"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 style="dashed">
        <color indexed="64"/>
      </diagonal>
    </border>
    <border diagonalUp="1"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 style="dashed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 style="thick">
        <color indexed="64"/>
      </left>
      <right style="dashed">
        <color indexed="64"/>
      </right>
      <top style="medium">
        <color indexed="64"/>
      </top>
      <bottom style="medium">
        <color auto="1"/>
      </bottom>
      <diagonal style="dashed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ck">
        <color indexed="64"/>
      </left>
      <right style="dashed">
        <color indexed="64"/>
      </right>
      <top/>
      <bottom style="thick">
        <color indexed="64"/>
      </bottom>
      <diagonal/>
    </border>
    <border>
      <left/>
      <right style="dashed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dashed">
        <color indexed="64"/>
      </left>
      <right style="medium">
        <color indexed="64"/>
      </right>
      <top/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auto="1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4" fontId="47" fillId="0" borderId="0" applyFont="0" applyFill="0" applyBorder="0" applyAlignment="0" applyProtection="0"/>
    <xf numFmtId="0" fontId="4" fillId="0" borderId="1"/>
    <xf numFmtId="0" fontId="49" fillId="0" borderId="1" applyNumberFormat="0" applyFill="0" applyBorder="0" applyAlignment="0" applyProtection="0"/>
    <xf numFmtId="0" fontId="48" fillId="7" borderId="1" applyNumberFormat="0" applyBorder="0" applyAlignment="0" applyProtection="0"/>
    <xf numFmtId="0" fontId="50" fillId="0" borderId="1"/>
    <xf numFmtId="0" fontId="3" fillId="0" borderId="1"/>
    <xf numFmtId="0" fontId="2" fillId="0" borderId="1"/>
    <xf numFmtId="0" fontId="1" fillId="0" borderId="1"/>
  </cellStyleXfs>
  <cellXfs count="1782">
    <xf numFmtId="0" fontId="0" fillId="0" borderId="0" xfId="0"/>
    <xf numFmtId="1" fontId="6" fillId="0" borderId="0" xfId="0" applyNumberFormat="1" applyFont="1"/>
    <xf numFmtId="49" fontId="6" fillId="0" borderId="0" xfId="0" applyNumberFormat="1" applyFont="1"/>
    <xf numFmtId="0" fontId="6" fillId="0" borderId="0" xfId="0" applyFont="1"/>
    <xf numFmtId="49" fontId="7" fillId="0" borderId="0" xfId="0" applyNumberFormat="1" applyFont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/>
    <xf numFmtId="49" fontId="6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right" vertical="top"/>
    </xf>
    <xf numFmtId="164" fontId="6" fillId="0" borderId="0" xfId="0" applyNumberFormat="1" applyFont="1"/>
    <xf numFmtId="165" fontId="6" fillId="0" borderId="0" xfId="0" applyNumberFormat="1" applyFont="1"/>
    <xf numFmtId="49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0" fontId="10" fillId="0" borderId="0" xfId="0" applyFont="1"/>
    <xf numFmtId="49" fontId="10" fillId="0" borderId="0" xfId="0" applyNumberFormat="1" applyFont="1"/>
    <xf numFmtId="0" fontId="11" fillId="0" borderId="0" xfId="0" applyFont="1"/>
    <xf numFmtId="164" fontId="10" fillId="0" borderId="0" xfId="0" applyNumberFormat="1" applyFont="1"/>
    <xf numFmtId="0" fontId="12" fillId="0" borderId="0" xfId="0" applyFont="1"/>
    <xf numFmtId="0" fontId="6" fillId="0" borderId="0" xfId="0" applyFont="1" applyAlignment="1">
      <alignment vertical="center" wrapText="1"/>
    </xf>
    <xf numFmtId="164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5" fontId="13" fillId="0" borderId="0" xfId="0" applyNumberFormat="1" applyFont="1" applyAlignment="1">
      <alignment horizontal="right"/>
    </xf>
    <xf numFmtId="165" fontId="8" fillId="0" borderId="0" xfId="0" applyNumberFormat="1" applyFont="1"/>
    <xf numFmtId="164" fontId="14" fillId="0" borderId="0" xfId="0" applyNumberFormat="1" applyFont="1" applyAlignment="1">
      <alignment horizontal="right"/>
    </xf>
    <xf numFmtId="0" fontId="13" fillId="0" borderId="0" xfId="0" applyFont="1"/>
    <xf numFmtId="0" fontId="14" fillId="0" borderId="0" xfId="0" applyFont="1"/>
    <xf numFmtId="164" fontId="13" fillId="0" borderId="0" xfId="0" applyNumberFormat="1" applyFont="1"/>
    <xf numFmtId="0" fontId="15" fillId="0" borderId="0" xfId="0" applyFont="1"/>
    <xf numFmtId="0" fontId="16" fillId="0" borderId="0" xfId="0" applyFont="1"/>
    <xf numFmtId="165" fontId="13" fillId="0" borderId="0" xfId="0" applyNumberFormat="1" applyFont="1"/>
    <xf numFmtId="0" fontId="13" fillId="0" borderId="0" xfId="0" applyFont="1" applyAlignment="1">
      <alignment horizontal="left"/>
    </xf>
    <xf numFmtId="0" fontId="17" fillId="0" borderId="0" xfId="0" applyFont="1"/>
    <xf numFmtId="49" fontId="18" fillId="0" borderId="0" xfId="0" applyNumberFormat="1" applyFont="1"/>
    <xf numFmtId="49" fontId="19" fillId="0" borderId="0" xfId="0" applyNumberFormat="1" applyFont="1"/>
    <xf numFmtId="0" fontId="17" fillId="0" borderId="0" xfId="0" applyFont="1" applyAlignment="1">
      <alignment horizontal="right"/>
    </xf>
    <xf numFmtId="0" fontId="20" fillId="0" borderId="0" xfId="0" applyFont="1"/>
    <xf numFmtId="49" fontId="21" fillId="0" borderId="0" xfId="0" applyNumberFormat="1" applyFont="1"/>
    <xf numFmtId="165" fontId="22" fillId="0" borderId="0" xfId="0" applyNumberFormat="1" applyFont="1" applyAlignment="1">
      <alignment horizontal="right"/>
    </xf>
    <xf numFmtId="165" fontId="23" fillId="0" borderId="0" xfId="0" applyNumberFormat="1" applyFont="1"/>
    <xf numFmtId="0" fontId="24" fillId="0" borderId="0" xfId="0" applyFont="1"/>
    <xf numFmtId="165" fontId="22" fillId="0" borderId="0" xfId="0" applyNumberFormat="1" applyFont="1"/>
    <xf numFmtId="164" fontId="20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/>
    </xf>
    <xf numFmtId="165" fontId="26" fillId="0" borderId="0" xfId="0" applyNumberFormat="1" applyFont="1"/>
    <xf numFmtId="164" fontId="17" fillId="0" borderId="0" xfId="0" applyNumberFormat="1" applyFont="1"/>
    <xf numFmtId="165" fontId="14" fillId="0" borderId="0" xfId="0" applyNumberFormat="1" applyFont="1" applyAlignment="1">
      <alignment horizontal="right"/>
    </xf>
    <xf numFmtId="0" fontId="27" fillId="0" borderId="0" xfId="0" applyFont="1"/>
    <xf numFmtId="165" fontId="17" fillId="0" borderId="0" xfId="0" applyNumberFormat="1" applyFont="1"/>
    <xf numFmtId="49" fontId="6" fillId="4" borderId="0" xfId="0" applyNumberFormat="1" applyFont="1" applyFill="1"/>
    <xf numFmtId="165" fontId="17" fillId="0" borderId="0" xfId="0" applyNumberFormat="1" applyFont="1" applyAlignment="1">
      <alignment horizontal="right"/>
    </xf>
    <xf numFmtId="49" fontId="8" fillId="4" borderId="0" xfId="0" applyNumberFormat="1" applyFont="1" applyFill="1"/>
    <xf numFmtId="0" fontId="20" fillId="0" borderId="0" xfId="0" applyFont="1" applyAlignment="1">
      <alignment horizontal="left"/>
    </xf>
    <xf numFmtId="164" fontId="28" fillId="0" borderId="0" xfId="0" applyNumberFormat="1" applyFont="1" applyAlignment="1">
      <alignment horizontal="right"/>
    </xf>
    <xf numFmtId="0" fontId="28" fillId="0" borderId="0" xfId="0" applyFont="1"/>
    <xf numFmtId="164" fontId="29" fillId="0" borderId="0" xfId="0" applyNumberFormat="1" applyFont="1" applyAlignment="1">
      <alignment horizontal="right"/>
    </xf>
    <xf numFmtId="0" fontId="29" fillId="0" borderId="0" xfId="0" applyFont="1"/>
    <xf numFmtId="0" fontId="30" fillId="0" borderId="0" xfId="0" applyFont="1"/>
    <xf numFmtId="0" fontId="28" fillId="0" borderId="0" xfId="0" applyFont="1" applyAlignment="1">
      <alignment horizontal="right"/>
    </xf>
    <xf numFmtId="49" fontId="31" fillId="0" borderId="0" xfId="0" applyNumberFormat="1" applyFont="1"/>
    <xf numFmtId="0" fontId="32" fillId="0" borderId="0" xfId="0" applyFont="1"/>
    <xf numFmtId="49" fontId="6" fillId="0" borderId="1" xfId="0" applyNumberFormat="1" applyFont="1" applyBorder="1" applyAlignment="1">
      <alignment horizontal="left" vertical="center"/>
    </xf>
    <xf numFmtId="49" fontId="33" fillId="0" borderId="0" xfId="0" applyNumberFormat="1" applyFont="1"/>
    <xf numFmtId="0" fontId="34" fillId="0" borderId="0" xfId="0" applyFont="1"/>
    <xf numFmtId="49" fontId="35" fillId="0" borderId="0" xfId="0" applyNumberFormat="1" applyFont="1"/>
    <xf numFmtId="0" fontId="6" fillId="0" borderId="1" xfId="0" applyFont="1" applyBorder="1"/>
    <xf numFmtId="1" fontId="6" fillId="0" borderId="1" xfId="0" applyNumberFormat="1" applyFont="1" applyBorder="1" applyAlignment="1">
      <alignment horizontal="right" vertical="top"/>
    </xf>
    <xf numFmtId="49" fontId="6" fillId="0" borderId="1" xfId="0" applyNumberFormat="1" applyFont="1" applyBorder="1"/>
    <xf numFmtId="164" fontId="23" fillId="0" borderId="0" xfId="0" applyNumberFormat="1" applyFont="1"/>
    <xf numFmtId="49" fontId="6" fillId="0" borderId="0" xfId="0" applyNumberFormat="1" applyFont="1" applyAlignment="1">
      <alignment horizontal="left"/>
    </xf>
    <xf numFmtId="164" fontId="5" fillId="0" borderId="0" xfId="0" applyNumberFormat="1" applyFont="1"/>
    <xf numFmtId="49" fontId="5" fillId="0" borderId="0" xfId="0" applyNumberFormat="1" applyFont="1"/>
    <xf numFmtId="0" fontId="36" fillId="0" borderId="0" xfId="0" applyFont="1"/>
    <xf numFmtId="49" fontId="37" fillId="0" borderId="0" xfId="0" applyNumberFormat="1" applyFont="1"/>
    <xf numFmtId="165" fontId="5" fillId="0" borderId="0" xfId="0" applyNumberFormat="1" applyFont="1"/>
    <xf numFmtId="49" fontId="38" fillId="0" borderId="0" xfId="0" applyNumberFormat="1" applyFont="1"/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49" fontId="24" fillId="0" borderId="0" xfId="0" applyNumberFormat="1" applyFont="1"/>
    <xf numFmtId="164" fontId="39" fillId="0" borderId="0" xfId="0" applyNumberFormat="1" applyFont="1"/>
    <xf numFmtId="165" fontId="40" fillId="0" borderId="0" xfId="0" applyNumberFormat="1" applyFont="1"/>
    <xf numFmtId="1" fontId="40" fillId="0" borderId="0" xfId="0" applyNumberFormat="1" applyFont="1"/>
    <xf numFmtId="49" fontId="10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right"/>
    </xf>
    <xf numFmtId="0" fontId="41" fillId="0" borderId="0" xfId="0" applyFont="1"/>
    <xf numFmtId="49" fontId="14" fillId="5" borderId="0" xfId="0" applyNumberFormat="1" applyFont="1" applyFill="1" applyAlignment="1">
      <alignment horizontal="left"/>
    </xf>
    <xf numFmtId="0" fontId="44" fillId="0" borderId="0" xfId="0" applyFont="1"/>
    <xf numFmtId="0" fontId="10" fillId="0" borderId="0" xfId="0" applyFont="1" applyAlignment="1">
      <alignment horizontal="left" vertical="center"/>
    </xf>
    <xf numFmtId="49" fontId="7" fillId="6" borderId="0" xfId="0" applyNumberFormat="1" applyFont="1" applyFill="1" applyAlignment="1">
      <alignment horizontal="center" vertical="center"/>
    </xf>
    <xf numFmtId="14" fontId="0" fillId="0" borderId="0" xfId="0" applyNumberFormat="1"/>
    <xf numFmtId="167" fontId="0" fillId="0" borderId="0" xfId="0" applyNumberFormat="1"/>
    <xf numFmtId="1" fontId="6" fillId="0" borderId="0" xfId="0" applyNumberFormat="1" applyFont="1" applyAlignment="1">
      <alignment horizontal="right"/>
    </xf>
    <xf numFmtId="0" fontId="44" fillId="0" borderId="0" xfId="0" applyFont="1" applyAlignment="1">
      <alignment horizontal="center" vertical="center"/>
    </xf>
    <xf numFmtId="0" fontId="45" fillId="0" borderId="0" xfId="0" applyFont="1"/>
    <xf numFmtId="0" fontId="44" fillId="0" borderId="0" xfId="0" applyFont="1" applyAlignment="1">
      <alignment wrapText="1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wrapText="1"/>
    </xf>
    <xf numFmtId="49" fontId="14" fillId="0" borderId="0" xfId="0" applyNumberFormat="1" applyFont="1"/>
    <xf numFmtId="44" fontId="0" fillId="0" borderId="0" xfId="1" applyFont="1"/>
    <xf numFmtId="44" fontId="0" fillId="0" borderId="0" xfId="0" applyNumberFormat="1"/>
    <xf numFmtId="0" fontId="51" fillId="0" borderId="0" xfId="0" applyFont="1"/>
    <xf numFmtId="0" fontId="52" fillId="0" borderId="2" xfId="2" applyFont="1" applyBorder="1" applyAlignment="1">
      <alignment horizontal="center" vertical="center"/>
    </xf>
    <xf numFmtId="4" fontId="52" fillId="0" borderId="2" xfId="2" applyNumberFormat="1" applyFont="1" applyBorder="1" applyAlignment="1">
      <alignment horizontal="center" vertical="center" wrapText="1"/>
    </xf>
    <xf numFmtId="0" fontId="52" fillId="0" borderId="3" xfId="2" applyFont="1" applyBorder="1" applyAlignment="1">
      <alignment horizontal="center" vertical="center"/>
    </xf>
    <xf numFmtId="0" fontId="52" fillId="0" borderId="2" xfId="2" applyFont="1" applyBorder="1" applyAlignment="1">
      <alignment horizontal="center" vertical="center" wrapText="1"/>
    </xf>
    <xf numFmtId="4" fontId="53" fillId="0" borderId="11" xfId="2" applyNumberFormat="1" applyFont="1" applyBorder="1" applyAlignment="1">
      <alignment horizontal="right" vertical="center" wrapText="1"/>
    </xf>
    <xf numFmtId="4" fontId="53" fillId="0" borderId="12" xfId="2" applyNumberFormat="1" applyFont="1" applyBorder="1" applyAlignment="1">
      <alignment horizontal="right" vertical="center" wrapText="1"/>
    </xf>
    <xf numFmtId="14" fontId="53" fillId="0" borderId="2" xfId="2" applyNumberFormat="1" applyFont="1" applyBorder="1" applyAlignment="1">
      <alignment horizontal="right" vertical="center" wrapText="1"/>
    </xf>
    <xf numFmtId="0" fontId="53" fillId="0" borderId="16" xfId="2" applyFont="1" applyBorder="1" applyAlignment="1">
      <alignment horizontal="left" vertical="center" wrapText="1"/>
    </xf>
    <xf numFmtId="14" fontId="53" fillId="9" borderId="28" xfId="2" applyNumberFormat="1" applyFont="1" applyFill="1" applyBorder="1" applyAlignment="1">
      <alignment horizontal="right" vertical="center"/>
    </xf>
    <xf numFmtId="44" fontId="53" fillId="9" borderId="31" xfId="2" applyNumberFormat="1" applyFont="1" applyFill="1" applyBorder="1" applyAlignment="1">
      <alignment horizontal="right" vertical="center"/>
    </xf>
    <xf numFmtId="44" fontId="53" fillId="9" borderId="54" xfId="2" applyNumberFormat="1" applyFont="1" applyFill="1" applyBorder="1" applyAlignment="1">
      <alignment horizontal="right" vertical="center"/>
    </xf>
    <xf numFmtId="14" fontId="53" fillId="10" borderId="37" xfId="2" applyNumberFormat="1" applyFont="1" applyFill="1" applyBorder="1" applyAlignment="1">
      <alignment horizontal="right" vertical="center"/>
    </xf>
    <xf numFmtId="14" fontId="53" fillId="8" borderId="37" xfId="2" applyNumberFormat="1" applyFont="1" applyFill="1" applyBorder="1" applyAlignment="1">
      <alignment horizontal="right" vertical="center"/>
    </xf>
    <xf numFmtId="49" fontId="53" fillId="0" borderId="6" xfId="2" applyNumberFormat="1" applyFont="1" applyBorder="1" applyAlignment="1">
      <alignment horizontal="left" vertical="center"/>
    </xf>
    <xf numFmtId="4" fontId="53" fillId="0" borderId="1" xfId="2" applyNumberFormat="1" applyFont="1" applyAlignment="1">
      <alignment horizontal="right" vertical="center" wrapText="1"/>
    </xf>
    <xf numFmtId="14" fontId="53" fillId="0" borderId="1" xfId="2" applyNumberFormat="1" applyFont="1" applyAlignment="1">
      <alignment horizontal="right" vertical="center" wrapText="1"/>
    </xf>
    <xf numFmtId="0" fontId="53" fillId="0" borderId="15" xfId="2" applyFont="1" applyBorder="1" applyAlignment="1">
      <alignment horizontal="left" vertical="center" wrapText="1"/>
    </xf>
    <xf numFmtId="14" fontId="53" fillId="9" borderId="30" xfId="2" applyNumberFormat="1" applyFont="1" applyFill="1" applyBorder="1" applyAlignment="1">
      <alignment horizontal="right" vertical="center"/>
    </xf>
    <xf numFmtId="44" fontId="53" fillId="9" borderId="35" xfId="2" applyNumberFormat="1" applyFont="1" applyFill="1" applyBorder="1" applyAlignment="1">
      <alignment horizontal="right" vertical="center"/>
    </xf>
    <xf numFmtId="14" fontId="53" fillId="8" borderId="38" xfId="2" applyNumberFormat="1" applyFont="1" applyFill="1" applyBorder="1" applyAlignment="1">
      <alignment horizontal="right" vertical="center"/>
    </xf>
    <xf numFmtId="0" fontId="53" fillId="0" borderId="26" xfId="2" applyFont="1" applyBorder="1" applyAlignment="1">
      <alignment horizontal="left" vertical="center"/>
    </xf>
    <xf numFmtId="0" fontId="53" fillId="0" borderId="6" xfId="2" applyFont="1" applyBorder="1" applyAlignment="1">
      <alignment horizontal="left" vertical="center"/>
    </xf>
    <xf numFmtId="49" fontId="53" fillId="0" borderId="1" xfId="2" applyNumberFormat="1" applyFont="1" applyAlignment="1">
      <alignment horizontal="left" vertical="center"/>
    </xf>
    <xf numFmtId="0" fontId="53" fillId="0" borderId="14" xfId="2" applyFont="1" applyBorder="1" applyAlignment="1">
      <alignment horizontal="left" vertical="center"/>
    </xf>
    <xf numFmtId="0" fontId="53" fillId="0" borderId="1" xfId="2" applyFont="1" applyAlignment="1">
      <alignment horizontal="left" vertical="center"/>
    </xf>
    <xf numFmtId="14" fontId="53" fillId="9" borderId="47" xfId="2" applyNumberFormat="1" applyFont="1" applyFill="1" applyBorder="1" applyAlignment="1">
      <alignment horizontal="right" vertical="center"/>
    </xf>
    <xf numFmtId="44" fontId="53" fillId="9" borderId="48" xfId="2" applyNumberFormat="1" applyFont="1" applyFill="1" applyBorder="1" applyAlignment="1">
      <alignment horizontal="right" vertical="center"/>
    </xf>
    <xf numFmtId="44" fontId="53" fillId="9" borderId="49" xfId="2" applyNumberFormat="1" applyFont="1" applyFill="1" applyBorder="1" applyAlignment="1">
      <alignment horizontal="right" vertical="center"/>
    </xf>
    <xf numFmtId="49" fontId="51" fillId="0" borderId="1" xfId="0" applyNumberFormat="1" applyFont="1" applyBorder="1" applyAlignment="1">
      <alignment horizontal="left" vertical="center"/>
    </xf>
    <xf numFmtId="44" fontId="53" fillId="9" borderId="29" xfId="2" applyNumberFormat="1" applyFont="1" applyFill="1" applyBorder="1" applyAlignment="1">
      <alignment horizontal="right" vertical="center"/>
    </xf>
    <xf numFmtId="44" fontId="53" fillId="9" borderId="34" xfId="2" applyNumberFormat="1" applyFont="1" applyFill="1" applyBorder="1" applyAlignment="1">
      <alignment horizontal="right" vertical="center"/>
    </xf>
    <xf numFmtId="44" fontId="52" fillId="0" borderId="43" xfId="2" applyNumberFormat="1" applyFont="1" applyBorder="1" applyAlignment="1">
      <alignment horizontal="right" vertical="center"/>
    </xf>
    <xf numFmtId="44" fontId="52" fillId="0" borderId="44" xfId="2" applyNumberFormat="1" applyFont="1" applyBorder="1" applyAlignment="1">
      <alignment horizontal="right" vertical="center"/>
    </xf>
    <xf numFmtId="0" fontId="53" fillId="0" borderId="21" xfId="2" applyFont="1" applyBorder="1" applyAlignment="1">
      <alignment horizontal="left" vertical="center" wrapText="1"/>
    </xf>
    <xf numFmtId="0" fontId="53" fillId="0" borderId="22" xfId="2" applyFont="1" applyBorder="1" applyAlignment="1">
      <alignment horizontal="left" vertical="center" wrapText="1"/>
    </xf>
    <xf numFmtId="14" fontId="53" fillId="10" borderId="50" xfId="2" applyNumberFormat="1" applyFont="1" applyFill="1" applyBorder="1" applyAlignment="1">
      <alignment horizontal="right" vertical="center"/>
    </xf>
    <xf numFmtId="0" fontId="53" fillId="0" borderId="10" xfId="2" applyFont="1" applyBorder="1" applyAlignment="1">
      <alignment horizontal="left" vertical="center"/>
    </xf>
    <xf numFmtId="49" fontId="53" fillId="0" borderId="2" xfId="2" applyNumberFormat="1" applyFont="1" applyBorder="1" applyAlignment="1">
      <alignment horizontal="left" vertical="center"/>
    </xf>
    <xf numFmtId="44" fontId="53" fillId="9" borderId="29" xfId="2" applyNumberFormat="1" applyFont="1" applyFill="1" applyBorder="1" applyAlignment="1">
      <alignment horizontal="left" vertical="center"/>
    </xf>
    <xf numFmtId="44" fontId="53" fillId="9" borderId="31" xfId="2" applyNumberFormat="1" applyFont="1" applyFill="1" applyBorder="1" applyAlignment="1">
      <alignment horizontal="left" vertical="center"/>
    </xf>
    <xf numFmtId="44" fontId="53" fillId="9" borderId="35" xfId="2" applyNumberFormat="1" applyFont="1" applyFill="1" applyBorder="1" applyAlignment="1">
      <alignment horizontal="left" vertical="center"/>
    </xf>
    <xf numFmtId="44" fontId="53" fillId="9" borderId="48" xfId="2" applyNumberFormat="1" applyFont="1" applyFill="1" applyBorder="1" applyAlignment="1">
      <alignment horizontal="left" vertical="center"/>
    </xf>
    <xf numFmtId="44" fontId="53" fillId="9" borderId="49" xfId="2" applyNumberFormat="1" applyFont="1" applyFill="1" applyBorder="1" applyAlignment="1">
      <alignment horizontal="left" vertical="center"/>
    </xf>
    <xf numFmtId="14" fontId="53" fillId="8" borderId="50" xfId="2" applyNumberFormat="1" applyFont="1" applyFill="1" applyBorder="1" applyAlignment="1">
      <alignment horizontal="right" vertical="center"/>
    </xf>
    <xf numFmtId="0" fontId="53" fillId="0" borderId="17" xfId="2" applyFont="1" applyBorder="1" applyAlignment="1">
      <alignment horizontal="left" vertical="center" wrapText="1"/>
    </xf>
    <xf numFmtId="44" fontId="52" fillId="0" borderId="43" xfId="2" applyNumberFormat="1" applyFont="1" applyBorder="1" applyAlignment="1">
      <alignment horizontal="left" vertical="center"/>
    </xf>
    <xf numFmtId="44" fontId="52" fillId="0" borderId="44" xfId="2" applyNumberFormat="1" applyFont="1" applyBorder="1" applyAlignment="1">
      <alignment horizontal="left" vertical="center"/>
    </xf>
    <xf numFmtId="44" fontId="53" fillId="8" borderId="45" xfId="2" applyNumberFormat="1" applyFont="1" applyFill="1" applyBorder="1" applyAlignment="1">
      <alignment horizontal="right" vertical="center"/>
    </xf>
    <xf numFmtId="44" fontId="53" fillId="8" borderId="35" xfId="2" applyNumberFormat="1" applyFont="1" applyFill="1" applyBorder="1" applyAlignment="1">
      <alignment horizontal="right" vertical="center"/>
    </xf>
    <xf numFmtId="44" fontId="53" fillId="8" borderId="49" xfId="2" applyNumberFormat="1" applyFont="1" applyFill="1" applyBorder="1" applyAlignment="1">
      <alignment horizontal="right" vertical="center"/>
    </xf>
    <xf numFmtId="0" fontId="51" fillId="0" borderId="1" xfId="0" applyFont="1" applyBorder="1"/>
    <xf numFmtId="49" fontId="53" fillId="0" borderId="1" xfId="2" applyNumberFormat="1" applyFont="1"/>
    <xf numFmtId="0" fontId="53" fillId="0" borderId="1" xfId="2" applyFont="1"/>
    <xf numFmtId="49" fontId="53" fillId="0" borderId="1" xfId="2" applyNumberFormat="1" applyFont="1" applyAlignment="1">
      <alignment horizontal="right"/>
    </xf>
    <xf numFmtId="0" fontId="53" fillId="0" borderId="1" xfId="2" applyFont="1" applyAlignment="1">
      <alignment horizontal="left" vertical="center" wrapText="1"/>
    </xf>
    <xf numFmtId="44" fontId="53" fillId="0" borderId="1" xfId="2" applyNumberFormat="1" applyFont="1" applyAlignment="1">
      <alignment horizontal="left" vertical="center"/>
    </xf>
    <xf numFmtId="14" fontId="53" fillId="0" borderId="1" xfId="2" applyNumberFormat="1" applyFont="1" applyAlignment="1">
      <alignment horizontal="right" vertical="center"/>
    </xf>
    <xf numFmtId="44" fontId="53" fillId="0" borderId="1" xfId="2" applyNumberFormat="1" applyFont="1" applyAlignment="1">
      <alignment horizontal="right" vertical="center"/>
    </xf>
    <xf numFmtId="44" fontId="52" fillId="0" borderId="1" xfId="2" applyNumberFormat="1" applyFont="1" applyAlignment="1">
      <alignment horizontal="left" vertical="center"/>
    </xf>
    <xf numFmtId="49" fontId="51" fillId="0" borderId="2" xfId="0" applyNumberFormat="1" applyFont="1" applyBorder="1" applyAlignment="1">
      <alignment horizontal="left" vertical="center"/>
    </xf>
    <xf numFmtId="0" fontId="54" fillId="0" borderId="2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4" fontId="54" fillId="0" borderId="3" xfId="0" applyNumberFormat="1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51" fillId="0" borderId="22" xfId="0" applyFont="1" applyBorder="1" applyAlignment="1">
      <alignment horizontal="center"/>
    </xf>
    <xf numFmtId="0" fontId="51" fillId="0" borderId="10" xfId="0" applyFont="1" applyBorder="1"/>
    <xf numFmtId="4" fontId="51" fillId="0" borderId="1" xfId="0" applyNumberFormat="1" applyFont="1" applyBorder="1" applyAlignment="1">
      <alignment wrapText="1"/>
    </xf>
    <xf numFmtId="0" fontId="54" fillId="0" borderId="1" xfId="0" applyFont="1" applyBorder="1" applyAlignment="1">
      <alignment wrapText="1"/>
    </xf>
    <xf numFmtId="1" fontId="54" fillId="11" borderId="6" xfId="0" applyNumberFormat="1" applyFont="1" applyFill="1" applyBorder="1" applyAlignment="1">
      <alignment horizontal="center"/>
    </xf>
    <xf numFmtId="1" fontId="54" fillId="11" borderId="58" xfId="0" applyNumberFormat="1" applyFont="1" applyFill="1" applyBorder="1" applyAlignment="1">
      <alignment horizontal="center"/>
    </xf>
    <xf numFmtId="1" fontId="54" fillId="11" borderId="59" xfId="0" applyNumberFormat="1" applyFont="1" applyFill="1" applyBorder="1" applyAlignment="1">
      <alignment horizontal="center"/>
    </xf>
    <xf numFmtId="1" fontId="54" fillId="12" borderId="6" xfId="0" applyNumberFormat="1" applyFont="1" applyFill="1" applyBorder="1" applyAlignment="1">
      <alignment horizontal="center"/>
    </xf>
    <xf numFmtId="1" fontId="54" fillId="12" borderId="5" xfId="0" applyNumberFormat="1" applyFont="1" applyFill="1" applyBorder="1" applyAlignment="1">
      <alignment horizontal="center"/>
    </xf>
    <xf numFmtId="1" fontId="54" fillId="12" borderId="60" xfId="0" applyNumberFormat="1" applyFont="1" applyFill="1" applyBorder="1" applyAlignment="1">
      <alignment horizontal="center"/>
    </xf>
    <xf numFmtId="1" fontId="54" fillId="13" borderId="6" xfId="0" applyNumberFormat="1" applyFont="1" applyFill="1" applyBorder="1" applyAlignment="1">
      <alignment horizontal="center"/>
    </xf>
    <xf numFmtId="1" fontId="54" fillId="13" borderId="58" xfId="0" applyNumberFormat="1" applyFont="1" applyFill="1" applyBorder="1" applyAlignment="1">
      <alignment horizontal="center"/>
    </xf>
    <xf numFmtId="1" fontId="54" fillId="13" borderId="8" xfId="0" applyNumberFormat="1" applyFont="1" applyFill="1" applyBorder="1" applyAlignment="1">
      <alignment horizontal="center"/>
    </xf>
    <xf numFmtId="1" fontId="54" fillId="0" borderId="61" xfId="0" applyNumberFormat="1" applyFont="1" applyBorder="1" applyAlignment="1">
      <alignment horizontal="right"/>
    </xf>
    <xf numFmtId="1" fontId="54" fillId="0" borderId="5" xfId="0" applyNumberFormat="1" applyFont="1" applyBorder="1" applyAlignment="1">
      <alignment horizontal="right"/>
    </xf>
    <xf numFmtId="49" fontId="51" fillId="0" borderId="3" xfId="0" applyNumberFormat="1" applyFont="1" applyBorder="1"/>
    <xf numFmtId="49" fontId="51" fillId="0" borderId="4" xfId="0" applyNumberFormat="1" applyFont="1" applyBorder="1" applyAlignment="1">
      <alignment horizontal="right" vertical="center"/>
    </xf>
    <xf numFmtId="4" fontId="51" fillId="0" borderId="11" xfId="0" applyNumberFormat="1" applyFont="1" applyBorder="1" applyAlignment="1">
      <alignment horizontal="right" vertical="center" wrapText="1"/>
    </xf>
    <xf numFmtId="4" fontId="51" fillId="0" borderId="3" xfId="0" applyNumberFormat="1" applyFont="1" applyBorder="1" applyAlignment="1">
      <alignment horizontal="right" vertical="center" wrapText="1"/>
    </xf>
    <xf numFmtId="14" fontId="51" fillId="0" borderId="3" xfId="0" applyNumberFormat="1" applyFont="1" applyBorder="1" applyAlignment="1">
      <alignment horizontal="right" vertical="center" wrapText="1"/>
    </xf>
    <xf numFmtId="0" fontId="51" fillId="0" borderId="62" xfId="0" applyFont="1" applyBorder="1" applyAlignment="1">
      <alignment horizontal="left" vertical="center" wrapText="1"/>
    </xf>
    <xf numFmtId="14" fontId="51" fillId="11" borderId="63" xfId="0" applyNumberFormat="1" applyFont="1" applyFill="1" applyBorder="1" applyAlignment="1">
      <alignment horizontal="right" vertical="center"/>
    </xf>
    <xf numFmtId="44" fontId="51" fillId="11" borderId="13" xfId="0" applyNumberFormat="1" applyFont="1" applyFill="1" applyBorder="1" applyAlignment="1">
      <alignment horizontal="right" vertical="center"/>
    </xf>
    <xf numFmtId="44" fontId="51" fillId="11" borderId="64" xfId="0" applyNumberFormat="1" applyFont="1" applyFill="1" applyBorder="1" applyAlignment="1">
      <alignment horizontal="right" vertical="center"/>
    </xf>
    <xf numFmtId="14" fontId="51" fillId="12" borderId="63" xfId="0" applyNumberFormat="1" applyFont="1" applyFill="1" applyBorder="1" applyAlignment="1">
      <alignment horizontal="right" vertical="center"/>
    </xf>
    <xf numFmtId="44" fontId="51" fillId="12" borderId="65" xfId="0" applyNumberFormat="1" applyFont="1" applyFill="1" applyBorder="1" applyAlignment="1">
      <alignment horizontal="left" vertical="center"/>
    </xf>
    <xf numFmtId="44" fontId="51" fillId="12" borderId="66" xfId="0" applyNumberFormat="1" applyFont="1" applyFill="1" applyBorder="1" applyAlignment="1">
      <alignment horizontal="left" vertical="center"/>
    </xf>
    <xf numFmtId="14" fontId="51" fillId="13" borderId="63" xfId="0" applyNumberFormat="1" applyFont="1" applyFill="1" applyBorder="1" applyAlignment="1">
      <alignment horizontal="right" vertical="center"/>
    </xf>
    <xf numFmtId="44" fontId="51" fillId="13" borderId="67" xfId="0" applyNumberFormat="1" applyFont="1" applyFill="1" applyBorder="1" applyAlignment="1">
      <alignment horizontal="left" vertical="center"/>
    </xf>
    <xf numFmtId="44" fontId="51" fillId="13" borderId="66" xfId="0" applyNumberFormat="1" applyFont="1" applyFill="1" applyBorder="1" applyAlignment="1">
      <alignment horizontal="left" vertical="center"/>
    </xf>
    <xf numFmtId="44" fontId="54" fillId="0" borderId="68" xfId="0" applyNumberFormat="1" applyFont="1" applyBorder="1" applyAlignment="1">
      <alignment horizontal="right" vertical="center"/>
    </xf>
    <xf numFmtId="44" fontId="54" fillId="0" borderId="25" xfId="0" applyNumberFormat="1" applyFont="1" applyBorder="1" applyAlignment="1">
      <alignment horizontal="right" vertical="center"/>
    </xf>
    <xf numFmtId="49" fontId="51" fillId="0" borderId="6" xfId="0" applyNumberFormat="1" applyFont="1" applyBorder="1" applyAlignment="1">
      <alignment horizontal="left" vertical="center"/>
    </xf>
    <xf numFmtId="49" fontId="51" fillId="0" borderId="1" xfId="0" applyNumberFormat="1" applyFont="1" applyBorder="1"/>
    <xf numFmtId="4" fontId="51" fillId="0" borderId="1" xfId="0" applyNumberFormat="1" applyFont="1" applyBorder="1" applyAlignment="1">
      <alignment horizontal="right" vertical="center" wrapText="1"/>
    </xf>
    <xf numFmtId="14" fontId="51" fillId="0" borderId="1" xfId="0" applyNumberFormat="1" applyFont="1" applyBorder="1" applyAlignment="1">
      <alignment horizontal="right" vertical="center" wrapText="1"/>
    </xf>
    <xf numFmtId="0" fontId="51" fillId="0" borderId="21" xfId="0" applyFont="1" applyBorder="1" applyAlignment="1">
      <alignment horizontal="left" vertical="center" wrapText="1"/>
    </xf>
    <xf numFmtId="14" fontId="51" fillId="11" borderId="69" xfId="0" applyNumberFormat="1" applyFont="1" applyFill="1" applyBorder="1" applyAlignment="1">
      <alignment horizontal="right" vertical="center"/>
    </xf>
    <xf numFmtId="44" fontId="51" fillId="11" borderId="67" xfId="0" applyNumberFormat="1" applyFont="1" applyFill="1" applyBorder="1" applyAlignment="1">
      <alignment horizontal="right" vertical="center"/>
    </xf>
    <xf numFmtId="14" fontId="51" fillId="12" borderId="69" xfId="0" applyNumberFormat="1" applyFont="1" applyFill="1" applyBorder="1" applyAlignment="1">
      <alignment horizontal="right" vertical="center"/>
    </xf>
    <xf numFmtId="44" fontId="51" fillId="12" borderId="67" xfId="0" applyNumberFormat="1" applyFont="1" applyFill="1" applyBorder="1" applyAlignment="1">
      <alignment horizontal="left" vertical="center"/>
    </xf>
    <xf numFmtId="44" fontId="51" fillId="12" borderId="64" xfId="0" applyNumberFormat="1" applyFont="1" applyFill="1" applyBorder="1" applyAlignment="1">
      <alignment horizontal="left" vertical="center"/>
    </xf>
    <xf numFmtId="14" fontId="51" fillId="13" borderId="69" xfId="0" applyNumberFormat="1" applyFont="1" applyFill="1" applyBorder="1" applyAlignment="1">
      <alignment horizontal="right" vertical="center"/>
    </xf>
    <xf numFmtId="44" fontId="51" fillId="13" borderId="64" xfId="0" applyNumberFormat="1" applyFont="1" applyFill="1" applyBorder="1" applyAlignment="1">
      <alignment horizontal="left" vertical="center"/>
    </xf>
    <xf numFmtId="0" fontId="51" fillId="0" borderId="6" xfId="0" applyFont="1" applyBorder="1" applyAlignment="1">
      <alignment horizontal="left" vertical="center"/>
    </xf>
    <xf numFmtId="0" fontId="51" fillId="12" borderId="69" xfId="0" applyFont="1" applyFill="1" applyBorder="1" applyAlignment="1">
      <alignment horizontal="right" vertical="center"/>
    </xf>
    <xf numFmtId="4" fontId="51" fillId="12" borderId="67" xfId="0" applyNumberFormat="1" applyFont="1" applyFill="1" applyBorder="1" applyAlignment="1">
      <alignment horizontal="left" vertical="center"/>
    </xf>
    <xf numFmtId="4" fontId="51" fillId="12" borderId="64" xfId="0" applyNumberFormat="1" applyFont="1" applyFill="1" applyBorder="1" applyAlignment="1">
      <alignment horizontal="left" vertical="center"/>
    </xf>
    <xf numFmtId="0" fontId="51" fillId="0" borderId="1" xfId="0" applyFont="1" applyBorder="1" applyAlignment="1">
      <alignment horizontal="left" vertical="center"/>
    </xf>
    <xf numFmtId="14" fontId="51" fillId="11" borderId="70" xfId="0" applyNumberFormat="1" applyFont="1" applyFill="1" applyBorder="1" applyAlignment="1">
      <alignment horizontal="right" vertical="center"/>
    </xf>
    <xf numFmtId="44" fontId="51" fillId="11" borderId="5" xfId="0" applyNumberFormat="1" applyFont="1" applyFill="1" applyBorder="1" applyAlignment="1">
      <alignment horizontal="right" vertical="center"/>
    </xf>
    <xf numFmtId="44" fontId="51" fillId="11" borderId="71" xfId="0" applyNumberFormat="1" applyFont="1" applyFill="1" applyBorder="1" applyAlignment="1">
      <alignment horizontal="right" vertical="center"/>
    </xf>
    <xf numFmtId="14" fontId="51" fillId="11" borderId="72" xfId="0" applyNumberFormat="1" applyFont="1" applyFill="1" applyBorder="1" applyAlignment="1">
      <alignment horizontal="right" vertical="center"/>
    </xf>
    <xf numFmtId="44" fontId="51" fillId="11" borderId="52" xfId="0" applyNumberFormat="1" applyFont="1" applyFill="1" applyBorder="1" applyAlignment="1">
      <alignment horizontal="right" vertical="center"/>
    </xf>
    <xf numFmtId="14" fontId="51" fillId="13" borderId="69" xfId="0" applyNumberFormat="1" applyFont="1" applyFill="1" applyBorder="1" applyAlignment="1">
      <alignment horizontal="left" vertical="center"/>
    </xf>
    <xf numFmtId="0" fontId="51" fillId="0" borderId="22" xfId="0" applyFont="1" applyBorder="1" applyAlignment="1">
      <alignment horizontal="left" vertical="center" wrapText="1"/>
    </xf>
    <xf numFmtId="0" fontId="51" fillId="11" borderId="70" xfId="0" applyFont="1" applyFill="1" applyBorder="1" applyAlignment="1">
      <alignment horizontal="left" vertical="center"/>
    </xf>
    <xf numFmtId="44" fontId="54" fillId="11" borderId="5" xfId="0" applyNumberFormat="1" applyFont="1" applyFill="1" applyBorder="1" applyAlignment="1">
      <alignment horizontal="right" vertical="center"/>
    </xf>
    <xf numFmtId="44" fontId="54" fillId="11" borderId="71" xfId="0" applyNumberFormat="1" applyFont="1" applyFill="1" applyBorder="1" applyAlignment="1">
      <alignment horizontal="right" vertical="center"/>
    </xf>
    <xf numFmtId="0" fontId="51" fillId="12" borderId="70" xfId="0" applyFont="1" applyFill="1" applyBorder="1" applyAlignment="1">
      <alignment horizontal="right" vertical="center"/>
    </xf>
    <xf numFmtId="4" fontId="54" fillId="12" borderId="5" xfId="0" applyNumberFormat="1" applyFont="1" applyFill="1" applyBorder="1" applyAlignment="1">
      <alignment horizontal="left" vertical="center"/>
    </xf>
    <xf numFmtId="4" fontId="54" fillId="12" borderId="71" xfId="0" applyNumberFormat="1" applyFont="1" applyFill="1" applyBorder="1" applyAlignment="1">
      <alignment horizontal="left" vertical="center"/>
    </xf>
    <xf numFmtId="0" fontId="51" fillId="13" borderId="70" xfId="0" applyFont="1" applyFill="1" applyBorder="1" applyAlignment="1">
      <alignment horizontal="left" vertical="center"/>
    </xf>
    <xf numFmtId="44" fontId="54" fillId="13" borderId="5" xfId="0" applyNumberFormat="1" applyFont="1" applyFill="1" applyBorder="1" applyAlignment="1">
      <alignment horizontal="left" vertical="center"/>
    </xf>
    <xf numFmtId="44" fontId="54" fillId="13" borderId="71" xfId="0" applyNumberFormat="1" applyFont="1" applyFill="1" applyBorder="1" applyAlignment="1">
      <alignment horizontal="left" vertical="center"/>
    </xf>
    <xf numFmtId="0" fontId="51" fillId="0" borderId="9" xfId="0" applyFont="1" applyBorder="1"/>
    <xf numFmtId="44" fontId="51" fillId="11" borderId="65" xfId="0" applyNumberFormat="1" applyFont="1" applyFill="1" applyBorder="1" applyAlignment="1">
      <alignment horizontal="right" vertical="center"/>
    </xf>
    <xf numFmtId="44" fontId="51" fillId="11" borderId="66" xfId="0" applyNumberFormat="1" applyFont="1" applyFill="1" applyBorder="1" applyAlignment="1">
      <alignment horizontal="right" vertical="center"/>
    </xf>
    <xf numFmtId="0" fontId="51" fillId="13" borderId="63" xfId="0" applyFont="1" applyFill="1" applyBorder="1" applyAlignment="1">
      <alignment horizontal="left" vertical="center"/>
    </xf>
    <xf numFmtId="44" fontId="51" fillId="13" borderId="65" xfId="0" applyNumberFormat="1" applyFont="1" applyFill="1" applyBorder="1" applyAlignment="1">
      <alignment horizontal="left" vertical="center"/>
    </xf>
    <xf numFmtId="44" fontId="54" fillId="0" borderId="73" xfId="0" applyNumberFormat="1" applyFont="1" applyBorder="1" applyAlignment="1">
      <alignment horizontal="right" vertical="center"/>
    </xf>
    <xf numFmtId="44" fontId="54" fillId="0" borderId="3" xfId="0" applyNumberFormat="1" applyFont="1" applyBorder="1" applyAlignment="1">
      <alignment horizontal="right" vertical="center"/>
    </xf>
    <xf numFmtId="0" fontId="51" fillId="11" borderId="69" xfId="0" applyFont="1" applyFill="1" applyBorder="1" applyAlignment="1">
      <alignment horizontal="left" vertical="center"/>
    </xf>
    <xf numFmtId="4" fontId="51" fillId="11" borderId="67" xfId="0" applyNumberFormat="1" applyFont="1" applyFill="1" applyBorder="1" applyAlignment="1">
      <alignment horizontal="left" vertical="center"/>
    </xf>
    <xf numFmtId="4" fontId="51" fillId="11" borderId="64" xfId="0" applyNumberFormat="1" applyFont="1" applyFill="1" applyBorder="1" applyAlignment="1">
      <alignment horizontal="left" vertical="center"/>
    </xf>
    <xf numFmtId="0" fontId="51" fillId="13" borderId="69" xfId="0" applyFont="1" applyFill="1" applyBorder="1" applyAlignment="1">
      <alignment horizontal="left" vertical="center"/>
    </xf>
    <xf numFmtId="4" fontId="51" fillId="11" borderId="5" xfId="0" applyNumberFormat="1" applyFont="1" applyFill="1" applyBorder="1" applyAlignment="1">
      <alignment horizontal="left" vertical="center"/>
    </xf>
    <xf numFmtId="4" fontId="51" fillId="11" borderId="71" xfId="0" applyNumberFormat="1" applyFont="1" applyFill="1" applyBorder="1" applyAlignment="1">
      <alignment horizontal="left" vertical="center"/>
    </xf>
    <xf numFmtId="14" fontId="51" fillId="12" borderId="70" xfId="0" applyNumberFormat="1" applyFont="1" applyFill="1" applyBorder="1" applyAlignment="1">
      <alignment horizontal="right" vertical="center"/>
    </xf>
    <xf numFmtId="44" fontId="51" fillId="13" borderId="5" xfId="0" applyNumberFormat="1" applyFont="1" applyFill="1" applyBorder="1" applyAlignment="1">
      <alignment horizontal="left" vertical="center"/>
    </xf>
    <xf numFmtId="44" fontId="51" fillId="13" borderId="71" xfId="0" applyNumberFormat="1" applyFont="1" applyFill="1" applyBorder="1" applyAlignment="1">
      <alignment horizontal="left" vertical="center"/>
    </xf>
    <xf numFmtId="0" fontId="51" fillId="0" borderId="51" xfId="0" applyFont="1" applyBorder="1" applyAlignment="1">
      <alignment horizontal="left" vertical="center" wrapText="1"/>
    </xf>
    <xf numFmtId="0" fontId="51" fillId="11" borderId="74" xfId="0" applyFont="1" applyFill="1" applyBorder="1" applyAlignment="1">
      <alignment horizontal="left" vertical="center"/>
    </xf>
    <xf numFmtId="4" fontId="51" fillId="11" borderId="75" xfId="0" applyNumberFormat="1" applyFont="1" applyFill="1" applyBorder="1" applyAlignment="1">
      <alignment horizontal="left" vertical="center"/>
    </xf>
    <xf numFmtId="4" fontId="51" fillId="11" borderId="76" xfId="0" applyNumberFormat="1" applyFont="1" applyFill="1" applyBorder="1" applyAlignment="1">
      <alignment horizontal="left" vertical="center"/>
    </xf>
    <xf numFmtId="14" fontId="51" fillId="12" borderId="74" xfId="0" applyNumberFormat="1" applyFont="1" applyFill="1" applyBorder="1" applyAlignment="1">
      <alignment horizontal="right" vertical="center"/>
    </xf>
    <xf numFmtId="0" fontId="51" fillId="13" borderId="74" xfId="0" applyFont="1" applyFill="1" applyBorder="1" applyAlignment="1">
      <alignment horizontal="left" vertical="center"/>
    </xf>
    <xf numFmtId="44" fontId="51" fillId="13" borderId="75" xfId="0" applyNumberFormat="1" applyFont="1" applyFill="1" applyBorder="1" applyAlignment="1">
      <alignment horizontal="left" vertical="center"/>
    </xf>
    <xf numFmtId="44" fontId="51" fillId="13" borderId="76" xfId="0" applyNumberFormat="1" applyFont="1" applyFill="1" applyBorder="1" applyAlignment="1">
      <alignment horizontal="left" vertical="center"/>
    </xf>
    <xf numFmtId="49" fontId="51" fillId="0" borderId="10" xfId="0" applyNumberFormat="1" applyFont="1" applyBorder="1" applyAlignment="1">
      <alignment horizontal="left" vertical="center"/>
    </xf>
    <xf numFmtId="0" fontId="51" fillId="11" borderId="77" xfId="0" applyFont="1" applyFill="1" applyBorder="1" applyAlignment="1">
      <alignment horizontal="left" vertical="center"/>
    </xf>
    <xf numFmtId="44" fontId="54" fillId="11" borderId="78" xfId="0" applyNumberFormat="1" applyFont="1" applyFill="1" applyBorder="1" applyAlignment="1">
      <alignment horizontal="left" vertical="center"/>
    </xf>
    <xf numFmtId="44" fontId="54" fillId="11" borderId="79" xfId="0" applyNumberFormat="1" applyFont="1" applyFill="1" applyBorder="1" applyAlignment="1">
      <alignment horizontal="left" vertical="center"/>
    </xf>
    <xf numFmtId="0" fontId="51" fillId="12" borderId="77" xfId="0" applyFont="1" applyFill="1" applyBorder="1" applyAlignment="1">
      <alignment horizontal="left" vertical="center"/>
    </xf>
    <xf numFmtId="44" fontId="54" fillId="12" borderId="58" xfId="0" applyNumberFormat="1" applyFont="1" applyFill="1" applyBorder="1"/>
    <xf numFmtId="44" fontId="54" fillId="12" borderId="1" xfId="0" applyNumberFormat="1" applyFont="1" applyFill="1" applyBorder="1"/>
    <xf numFmtId="0" fontId="51" fillId="13" borderId="39" xfId="0" applyFont="1" applyFill="1" applyBorder="1" applyAlignment="1">
      <alignment horizontal="left" vertical="center"/>
    </xf>
    <xf numFmtId="44" fontId="51" fillId="13" borderId="78" xfId="0" applyNumberFormat="1" applyFont="1" applyFill="1" applyBorder="1" applyAlignment="1">
      <alignment horizontal="left" vertical="center"/>
    </xf>
    <xf numFmtId="44" fontId="51" fillId="13" borderId="79" xfId="0" applyNumberFormat="1" applyFont="1" applyFill="1" applyBorder="1" applyAlignment="1">
      <alignment horizontal="left" vertical="center"/>
    </xf>
    <xf numFmtId="0" fontId="51" fillId="0" borderId="10" xfId="0" applyFont="1" applyBorder="1" applyAlignment="1">
      <alignment horizontal="left" vertical="center"/>
    </xf>
    <xf numFmtId="49" fontId="51" fillId="0" borderId="80" xfId="0" applyNumberFormat="1" applyFont="1" applyBorder="1" applyAlignment="1">
      <alignment horizontal="left" vertical="center"/>
    </xf>
    <xf numFmtId="49" fontId="51" fillId="0" borderId="4" xfId="0" applyNumberFormat="1" applyFont="1" applyBorder="1" applyAlignment="1">
      <alignment horizontal="right"/>
    </xf>
    <xf numFmtId="44" fontId="51" fillId="11" borderId="67" xfId="0" applyNumberFormat="1" applyFont="1" applyFill="1" applyBorder="1" applyAlignment="1">
      <alignment horizontal="left" vertical="center"/>
    </xf>
    <xf numFmtId="44" fontId="51" fillId="11" borderId="64" xfId="0" applyNumberFormat="1" applyFont="1" applyFill="1" applyBorder="1" applyAlignment="1">
      <alignment horizontal="left" vertical="center"/>
    </xf>
    <xf numFmtId="44" fontId="51" fillId="13" borderId="13" xfId="0" applyNumberFormat="1" applyFont="1" applyFill="1" applyBorder="1" applyAlignment="1">
      <alignment horizontal="left" vertical="center"/>
    </xf>
    <xf numFmtId="44" fontId="51" fillId="11" borderId="5" xfId="0" applyNumberFormat="1" applyFont="1" applyFill="1" applyBorder="1" applyAlignment="1">
      <alignment horizontal="left" vertical="center"/>
    </xf>
    <xf numFmtId="44" fontId="51" fillId="11" borderId="71" xfId="0" applyNumberFormat="1" applyFont="1" applyFill="1" applyBorder="1" applyAlignment="1">
      <alignment horizontal="left" vertical="center"/>
    </xf>
    <xf numFmtId="0" fontId="51" fillId="12" borderId="70" xfId="0" applyFont="1" applyFill="1" applyBorder="1" applyAlignment="1">
      <alignment horizontal="left" vertical="center"/>
    </xf>
    <xf numFmtId="44" fontId="51" fillId="12" borderId="5" xfId="0" applyNumberFormat="1" applyFont="1" applyFill="1" applyBorder="1" applyAlignment="1">
      <alignment horizontal="left" vertical="center"/>
    </xf>
    <xf numFmtId="44" fontId="51" fillId="12" borderId="71" xfId="0" applyNumberFormat="1" applyFont="1" applyFill="1" applyBorder="1" applyAlignment="1">
      <alignment horizontal="left" vertical="center"/>
    </xf>
    <xf numFmtId="14" fontId="51" fillId="13" borderId="70" xfId="0" applyNumberFormat="1" applyFont="1" applyFill="1" applyBorder="1" applyAlignment="1">
      <alignment horizontal="right" vertical="center"/>
    </xf>
    <xf numFmtId="44" fontId="51" fillId="11" borderId="75" xfId="0" applyNumberFormat="1" applyFont="1" applyFill="1" applyBorder="1" applyAlignment="1">
      <alignment horizontal="left" vertical="center"/>
    </xf>
    <xf numFmtId="44" fontId="51" fillId="11" borderId="76" xfId="0" applyNumberFormat="1" applyFont="1" applyFill="1" applyBorder="1" applyAlignment="1">
      <alignment horizontal="left" vertical="center"/>
    </xf>
    <xf numFmtId="0" fontId="51" fillId="12" borderId="74" xfId="0" applyFont="1" applyFill="1" applyBorder="1" applyAlignment="1">
      <alignment horizontal="left" vertical="center"/>
    </xf>
    <xf numFmtId="44" fontId="51" fillId="12" borderId="75" xfId="0" applyNumberFormat="1" applyFont="1" applyFill="1" applyBorder="1" applyAlignment="1">
      <alignment horizontal="left" vertical="center"/>
    </xf>
    <xf numFmtId="44" fontId="51" fillId="12" borderId="76" xfId="0" applyNumberFormat="1" applyFont="1" applyFill="1" applyBorder="1" applyAlignment="1">
      <alignment horizontal="left" vertical="center"/>
    </xf>
    <xf numFmtId="0" fontId="51" fillId="0" borderId="80" xfId="0" applyFont="1" applyBorder="1" applyAlignment="1">
      <alignment horizontal="left" vertical="center" wrapText="1"/>
    </xf>
    <xf numFmtId="44" fontId="51" fillId="11" borderId="78" xfId="0" applyNumberFormat="1" applyFont="1" applyFill="1" applyBorder="1" applyAlignment="1">
      <alignment horizontal="left" vertical="center"/>
    </xf>
    <xf numFmtId="44" fontId="51" fillId="11" borderId="79" xfId="0" applyNumberFormat="1" applyFont="1" applyFill="1" applyBorder="1" applyAlignment="1">
      <alignment horizontal="left" vertical="center"/>
    </xf>
    <xf numFmtId="44" fontId="54" fillId="12" borderId="78" xfId="0" applyNumberFormat="1" applyFont="1" applyFill="1" applyBorder="1" applyAlignment="1">
      <alignment horizontal="left" vertical="center"/>
    </xf>
    <xf numFmtId="44" fontId="54" fillId="12" borderId="79" xfId="0" applyNumberFormat="1" applyFont="1" applyFill="1" applyBorder="1" applyAlignment="1">
      <alignment horizontal="left" vertical="center"/>
    </xf>
    <xf numFmtId="0" fontId="51" fillId="13" borderId="77" xfId="0" applyFont="1" applyFill="1" applyBorder="1" applyAlignment="1">
      <alignment horizontal="left" vertical="center"/>
    </xf>
    <xf numFmtId="44" fontId="54" fillId="13" borderId="78" xfId="0" applyNumberFormat="1" applyFont="1" applyFill="1" applyBorder="1" applyAlignment="1">
      <alignment horizontal="left" vertical="center"/>
    </xf>
    <xf numFmtId="44" fontId="54" fillId="13" borderId="79" xfId="0" applyNumberFormat="1" applyFont="1" applyFill="1" applyBorder="1" applyAlignment="1">
      <alignment horizontal="left" vertical="center"/>
    </xf>
    <xf numFmtId="0" fontId="51" fillId="0" borderId="81" xfId="0" applyFont="1" applyBorder="1" applyAlignment="1">
      <alignment horizontal="left" vertical="center" wrapText="1"/>
    </xf>
    <xf numFmtId="0" fontId="51" fillId="12" borderId="69" xfId="0" applyFont="1" applyFill="1" applyBorder="1" applyAlignment="1">
      <alignment horizontal="left" vertical="center"/>
    </xf>
    <xf numFmtId="44" fontId="51" fillId="13" borderId="82" xfId="0" applyNumberFormat="1" applyFont="1" applyFill="1" applyBorder="1" applyAlignment="1">
      <alignment horizontal="left" vertical="center"/>
    </xf>
    <xf numFmtId="44" fontId="54" fillId="0" borderId="43" xfId="0" applyNumberFormat="1" applyFont="1" applyBorder="1" applyAlignment="1">
      <alignment horizontal="left" vertical="center"/>
    </xf>
    <xf numFmtId="44" fontId="54" fillId="0" borderId="3" xfId="0" applyNumberFormat="1" applyFont="1" applyBorder="1" applyAlignment="1">
      <alignment horizontal="left" vertical="center"/>
    </xf>
    <xf numFmtId="0" fontId="51" fillId="11" borderId="83" xfId="0" applyFont="1" applyFill="1" applyBorder="1" applyAlignment="1">
      <alignment horizontal="left" vertical="center"/>
    </xf>
    <xf numFmtId="44" fontId="51" fillId="11" borderId="58" xfId="0" applyNumberFormat="1" applyFont="1" applyFill="1" applyBorder="1" applyAlignment="1">
      <alignment horizontal="left" vertical="center"/>
    </xf>
    <xf numFmtId="44" fontId="51" fillId="11" borderId="59" xfId="0" applyNumberFormat="1" applyFont="1" applyFill="1" applyBorder="1" applyAlignment="1">
      <alignment horizontal="left" vertical="center"/>
    </xf>
    <xf numFmtId="0" fontId="51" fillId="12" borderId="83" xfId="0" applyFont="1" applyFill="1" applyBorder="1" applyAlignment="1">
      <alignment horizontal="left" vertical="center"/>
    </xf>
    <xf numFmtId="44" fontId="51" fillId="12" borderId="58" xfId="0" applyNumberFormat="1" applyFont="1" applyFill="1" applyBorder="1" applyAlignment="1">
      <alignment horizontal="left" vertical="center"/>
    </xf>
    <xf numFmtId="44" fontId="51" fillId="12" borderId="59" xfId="0" applyNumberFormat="1" applyFont="1" applyFill="1" applyBorder="1" applyAlignment="1">
      <alignment horizontal="left" vertical="center"/>
    </xf>
    <xf numFmtId="0" fontId="51" fillId="13" borderId="83" xfId="0" applyFont="1" applyFill="1" applyBorder="1" applyAlignment="1">
      <alignment horizontal="left" vertical="center"/>
    </xf>
    <xf numFmtId="44" fontId="54" fillId="13" borderId="58" xfId="0" applyNumberFormat="1" applyFont="1" applyFill="1" applyBorder="1" applyAlignment="1">
      <alignment horizontal="left" vertical="center"/>
    </xf>
    <xf numFmtId="44" fontId="54" fillId="13" borderId="59" xfId="0" applyNumberFormat="1" applyFont="1" applyFill="1" applyBorder="1" applyAlignment="1">
      <alignment horizontal="left" vertical="center"/>
    </xf>
    <xf numFmtId="44" fontId="51" fillId="13" borderId="82" xfId="0" applyNumberFormat="1" applyFont="1" applyFill="1" applyBorder="1" applyAlignment="1">
      <alignment horizontal="right" vertical="center"/>
    </xf>
    <xf numFmtId="49" fontId="51" fillId="0" borderId="1" xfId="0" applyNumberFormat="1" applyFont="1" applyBorder="1" applyAlignment="1">
      <alignment horizontal="right"/>
    </xf>
    <xf numFmtId="44" fontId="51" fillId="13" borderId="64" xfId="0" applyNumberFormat="1" applyFont="1" applyFill="1" applyBorder="1" applyAlignment="1">
      <alignment horizontal="right" vertical="center"/>
    </xf>
    <xf numFmtId="44" fontId="51" fillId="13" borderId="71" xfId="0" applyNumberFormat="1" applyFont="1" applyFill="1" applyBorder="1" applyAlignment="1">
      <alignment horizontal="right" vertical="center"/>
    </xf>
    <xf numFmtId="14" fontId="51" fillId="13" borderId="74" xfId="0" applyNumberFormat="1" applyFont="1" applyFill="1" applyBorder="1" applyAlignment="1">
      <alignment horizontal="right" vertical="center"/>
    </xf>
    <xf numFmtId="44" fontId="51" fillId="13" borderId="76" xfId="0" applyNumberFormat="1" applyFont="1" applyFill="1" applyBorder="1" applyAlignment="1">
      <alignment horizontal="right" vertical="center"/>
    </xf>
    <xf numFmtId="44" fontId="51" fillId="12" borderId="78" xfId="0" applyNumberFormat="1" applyFont="1" applyFill="1" applyBorder="1" applyAlignment="1">
      <alignment horizontal="left" vertical="center"/>
    </xf>
    <xf numFmtId="44" fontId="51" fillId="12" borderId="79" xfId="0" applyNumberFormat="1" applyFont="1" applyFill="1" applyBorder="1" applyAlignment="1">
      <alignment horizontal="left" vertical="center"/>
    </xf>
    <xf numFmtId="0" fontId="51" fillId="0" borderId="43" xfId="0" applyFont="1" applyBorder="1" applyAlignment="1">
      <alignment horizontal="left" vertical="center"/>
    </xf>
    <xf numFmtId="0" fontId="51" fillId="0" borderId="44" xfId="0" applyFont="1" applyBorder="1" applyAlignment="1">
      <alignment horizontal="left" vertical="center"/>
    </xf>
    <xf numFmtId="0" fontId="51" fillId="0" borderId="0" xfId="0" applyFont="1" applyAlignment="1">
      <alignment horizontal="left"/>
    </xf>
    <xf numFmtId="0" fontId="53" fillId="0" borderId="1" xfId="2" applyFont="1" applyAlignment="1">
      <alignment horizontal="left"/>
    </xf>
    <xf numFmtId="49" fontId="53" fillId="0" borderId="4" xfId="2" applyNumberFormat="1" applyFont="1" applyBorder="1" applyAlignment="1">
      <alignment horizontal="left" vertical="center"/>
    </xf>
    <xf numFmtId="49" fontId="53" fillId="0" borderId="1" xfId="2" applyNumberFormat="1" applyFont="1" applyAlignment="1">
      <alignment horizontal="left"/>
    </xf>
    <xf numFmtId="49" fontId="53" fillId="0" borderId="4" xfId="2" applyNumberFormat="1" applyFont="1" applyBorder="1" applyAlignment="1">
      <alignment horizontal="left"/>
    </xf>
    <xf numFmtId="0" fontId="53" fillId="0" borderId="4" xfId="2" applyFont="1" applyBorder="1" applyAlignment="1">
      <alignment horizontal="left"/>
    </xf>
    <xf numFmtId="49" fontId="53" fillId="0" borderId="2" xfId="2" applyNumberFormat="1" applyFont="1" applyBorder="1" applyAlignment="1">
      <alignment horizontal="left"/>
    </xf>
    <xf numFmtId="0" fontId="51" fillId="0" borderId="0" xfId="0" applyFont="1" applyAlignment="1">
      <alignment horizontal="center" vertical="center"/>
    </xf>
    <xf numFmtId="0" fontId="53" fillId="0" borderId="20" xfId="2" applyFont="1" applyBorder="1" applyAlignment="1">
      <alignment horizontal="center" vertical="center"/>
    </xf>
    <xf numFmtId="0" fontId="53" fillId="0" borderId="1" xfId="2" applyFont="1" applyAlignment="1">
      <alignment horizontal="center" vertical="center"/>
    </xf>
    <xf numFmtId="0" fontId="53" fillId="0" borderId="9" xfId="2" applyFont="1" applyBorder="1" applyAlignment="1">
      <alignment horizontal="center" vertical="center"/>
    </xf>
    <xf numFmtId="4" fontId="53" fillId="0" borderId="1" xfId="2" applyNumberFormat="1" applyFont="1" applyAlignment="1">
      <alignment horizontal="center" vertical="center" wrapText="1"/>
    </xf>
    <xf numFmtId="0" fontId="52" fillId="0" borderId="1" xfId="2" applyFont="1" applyAlignment="1">
      <alignment horizontal="center" vertical="center" wrapText="1"/>
    </xf>
    <xf numFmtId="1" fontId="52" fillId="9" borderId="6" xfId="2" applyNumberFormat="1" applyFont="1" applyFill="1" applyBorder="1" applyAlignment="1">
      <alignment horizontal="center" vertical="center"/>
    </xf>
    <xf numFmtId="1" fontId="52" fillId="9" borderId="3" xfId="2" applyNumberFormat="1" applyFont="1" applyFill="1" applyBorder="1" applyAlignment="1">
      <alignment horizontal="center" vertical="center"/>
    </xf>
    <xf numFmtId="1" fontId="52" fillId="9" borderId="53" xfId="2" applyNumberFormat="1" applyFont="1" applyFill="1" applyBorder="1" applyAlignment="1">
      <alignment horizontal="center" vertical="center"/>
    </xf>
    <xf numFmtId="1" fontId="52" fillId="10" borderId="26" xfId="2" applyNumberFormat="1" applyFont="1" applyFill="1" applyBorder="1" applyAlignment="1">
      <alignment horizontal="center" vertical="center"/>
    </xf>
    <xf numFmtId="1" fontId="52" fillId="10" borderId="25" xfId="2" applyNumberFormat="1" applyFont="1" applyFill="1" applyBorder="1" applyAlignment="1">
      <alignment horizontal="center" vertical="center"/>
    </xf>
    <xf numFmtId="1" fontId="52" fillId="10" borderId="27" xfId="2" applyNumberFormat="1" applyFont="1" applyFill="1" applyBorder="1" applyAlignment="1">
      <alignment horizontal="center" vertical="center"/>
    </xf>
    <xf numFmtId="1" fontId="52" fillId="8" borderId="6" xfId="2" applyNumberFormat="1" applyFont="1" applyFill="1" applyBorder="1" applyAlignment="1">
      <alignment horizontal="center" vertical="center"/>
    </xf>
    <xf numFmtId="1" fontId="52" fillId="8" borderId="3" xfId="2" applyNumberFormat="1" applyFont="1" applyFill="1" applyBorder="1" applyAlignment="1">
      <alignment horizontal="center" vertical="center"/>
    </xf>
    <xf numFmtId="1" fontId="52" fillId="0" borderId="19" xfId="2" applyNumberFormat="1" applyFont="1" applyBorder="1" applyAlignment="1">
      <alignment horizontal="center" vertical="center"/>
    </xf>
    <xf numFmtId="1" fontId="52" fillId="0" borderId="7" xfId="2" applyNumberFormat="1" applyFont="1" applyBorder="1" applyAlignment="1">
      <alignment horizontal="center" vertical="center"/>
    </xf>
    <xf numFmtId="4" fontId="55" fillId="0" borderId="85" xfId="0" applyNumberFormat="1" applyFont="1" applyBorder="1" applyAlignment="1">
      <alignment horizontal="right" vertical="center" wrapText="1"/>
    </xf>
    <xf numFmtId="44" fontId="54" fillId="0" borderId="6" xfId="0" applyNumberFormat="1" applyFont="1" applyBorder="1" applyAlignment="1">
      <alignment horizontal="left" vertical="center"/>
    </xf>
    <xf numFmtId="0" fontId="51" fillId="0" borderId="5" xfId="0" applyFont="1" applyBorder="1" applyAlignment="1">
      <alignment horizontal="left" vertical="center" wrapText="1"/>
    </xf>
    <xf numFmtId="0" fontId="51" fillId="0" borderId="15" xfId="0" applyFont="1" applyBorder="1" applyAlignment="1">
      <alignment horizontal="left" vertical="center" wrapText="1"/>
    </xf>
    <xf numFmtId="0" fontId="53" fillId="0" borderId="2" xfId="2" applyFont="1" applyBorder="1" applyAlignment="1">
      <alignment horizontal="left"/>
    </xf>
    <xf numFmtId="14" fontId="53" fillId="9" borderId="32" xfId="2" applyNumberFormat="1" applyFont="1" applyFill="1" applyBorder="1" applyAlignment="1">
      <alignment horizontal="right" vertical="center"/>
    </xf>
    <xf numFmtId="44" fontId="52" fillId="9" borderId="48" xfId="2" applyNumberFormat="1" applyFont="1" applyFill="1" applyBorder="1" applyAlignment="1">
      <alignment horizontal="left" vertical="center"/>
    </xf>
    <xf numFmtId="44" fontId="53" fillId="9" borderId="33" xfId="2" applyNumberFormat="1" applyFont="1" applyFill="1" applyBorder="1" applyAlignment="1">
      <alignment horizontal="right" vertical="center"/>
    </xf>
    <xf numFmtId="44" fontId="52" fillId="9" borderId="49" xfId="2" applyNumberFormat="1" applyFont="1" applyFill="1" applyBorder="1" applyAlignment="1">
      <alignment horizontal="left" vertical="center"/>
    </xf>
    <xf numFmtId="44" fontId="53" fillId="9" borderId="36" xfId="2" applyNumberFormat="1" applyFont="1" applyFill="1" applyBorder="1" applyAlignment="1">
      <alignment horizontal="right" vertical="center"/>
    </xf>
    <xf numFmtId="14" fontId="53" fillId="10" borderId="39" xfId="2" applyNumberFormat="1" applyFont="1" applyFill="1" applyBorder="1" applyAlignment="1">
      <alignment horizontal="right" vertical="center"/>
    </xf>
    <xf numFmtId="0" fontId="53" fillId="10" borderId="39" xfId="2" applyFont="1" applyFill="1" applyBorder="1" applyAlignment="1">
      <alignment horizontal="right" vertical="center"/>
    </xf>
    <xf numFmtId="14" fontId="53" fillId="8" borderId="39" xfId="2" applyNumberFormat="1" applyFont="1" applyFill="1" applyBorder="1" applyAlignment="1">
      <alignment horizontal="right" vertical="center"/>
    </xf>
    <xf numFmtId="44" fontId="53" fillId="8" borderId="34" xfId="2" applyNumberFormat="1" applyFont="1" applyFill="1" applyBorder="1" applyAlignment="1">
      <alignment horizontal="right" vertical="center"/>
    </xf>
    <xf numFmtId="44" fontId="52" fillId="0" borderId="14" xfId="2" applyNumberFormat="1" applyFont="1" applyBorder="1" applyAlignment="1">
      <alignment horizontal="left" vertical="center"/>
    </xf>
    <xf numFmtId="0" fontId="51" fillId="0" borderId="14" xfId="0" applyFont="1" applyBorder="1"/>
    <xf numFmtId="44" fontId="52" fillId="0" borderId="42" xfId="2" applyNumberFormat="1" applyFont="1" applyBorder="1" applyAlignment="1">
      <alignment horizontal="left" vertical="center"/>
    </xf>
    <xf numFmtId="44" fontId="52" fillId="0" borderId="26" xfId="2" applyNumberFormat="1" applyFont="1" applyBorder="1" applyAlignment="1">
      <alignment horizontal="left" vertical="center"/>
    </xf>
    <xf numFmtId="0" fontId="51" fillId="0" borderId="26" xfId="0" applyFont="1" applyBorder="1"/>
    <xf numFmtId="44" fontId="52" fillId="0" borderId="14" xfId="2" applyNumberFormat="1" applyFont="1" applyBorder="1" applyAlignment="1">
      <alignment horizontal="right" vertical="center"/>
    </xf>
    <xf numFmtId="44" fontId="52" fillId="0" borderId="6" xfId="2" applyNumberFormat="1" applyFont="1" applyBorder="1" applyAlignment="1">
      <alignment horizontal="left" vertical="center"/>
    </xf>
    <xf numFmtId="4" fontId="53" fillId="0" borderId="2" xfId="2" applyNumberFormat="1" applyFont="1" applyBorder="1" applyAlignment="1">
      <alignment horizontal="right" vertical="center" wrapText="1"/>
    </xf>
    <xf numFmtId="0" fontId="51" fillId="0" borderId="1" xfId="0" applyFont="1" applyBorder="1" applyAlignment="1">
      <alignment horizontal="left"/>
    </xf>
    <xf numFmtId="14" fontId="53" fillId="9" borderId="86" xfId="2" applyNumberFormat="1" applyFont="1" applyFill="1" applyBorder="1" applyAlignment="1">
      <alignment horizontal="right" vertical="center"/>
    </xf>
    <xf numFmtId="44" fontId="53" fillId="9" borderId="55" xfId="2" applyNumberFormat="1" applyFont="1" applyFill="1" applyBorder="1" applyAlignment="1">
      <alignment horizontal="right" vertical="center"/>
    </xf>
    <xf numFmtId="14" fontId="53" fillId="10" borderId="87" xfId="2" applyNumberFormat="1" applyFont="1" applyFill="1" applyBorder="1" applyAlignment="1">
      <alignment horizontal="right" vertical="center"/>
    </xf>
    <xf numFmtId="44" fontId="52" fillId="0" borderId="26" xfId="2" applyNumberFormat="1" applyFont="1" applyBorder="1" applyAlignment="1">
      <alignment horizontal="right" vertical="center"/>
    </xf>
    <xf numFmtId="44" fontId="52" fillId="9" borderId="36" xfId="2" applyNumberFormat="1" applyFont="1" applyFill="1" applyBorder="1" applyAlignment="1">
      <alignment horizontal="left" vertical="center"/>
    </xf>
    <xf numFmtId="14" fontId="53" fillId="10" borderId="38" xfId="2" applyNumberFormat="1" applyFont="1" applyFill="1" applyBorder="1" applyAlignment="1">
      <alignment horizontal="right" vertical="center"/>
    </xf>
    <xf numFmtId="44" fontId="52" fillId="8" borderId="36" xfId="2" applyNumberFormat="1" applyFont="1" applyFill="1" applyBorder="1" applyAlignment="1">
      <alignment horizontal="right" vertical="center"/>
    </xf>
    <xf numFmtId="44" fontId="52" fillId="9" borderId="33" xfId="2" applyNumberFormat="1" applyFont="1" applyFill="1" applyBorder="1" applyAlignment="1">
      <alignment horizontal="left" vertical="center"/>
    </xf>
    <xf numFmtId="0" fontId="8" fillId="0" borderId="1" xfId="6" applyFont="1"/>
    <xf numFmtId="49" fontId="8" fillId="0" borderId="2" xfId="6" applyNumberFormat="1" applyFont="1" applyBorder="1" applyAlignment="1">
      <alignment horizontal="left" vertical="center"/>
    </xf>
    <xf numFmtId="49" fontId="8" fillId="0" borderId="2" xfId="6" applyNumberFormat="1" applyFont="1" applyBorder="1"/>
    <xf numFmtId="0" fontId="8" fillId="0" borderId="4" xfId="6" applyFont="1" applyBorder="1"/>
    <xf numFmtId="49" fontId="8" fillId="0" borderId="4" xfId="6" applyNumberFormat="1" applyFont="1" applyBorder="1" applyAlignment="1">
      <alignment horizontal="right" vertical="center"/>
    </xf>
    <xf numFmtId="49" fontId="8" fillId="0" borderId="6" xfId="6" applyNumberFormat="1" applyFont="1" applyBorder="1" applyAlignment="1">
      <alignment horizontal="left" vertical="center"/>
    </xf>
    <xf numFmtId="49" fontId="8" fillId="0" borderId="1" xfId="6" applyNumberFormat="1" applyFont="1"/>
    <xf numFmtId="49" fontId="8" fillId="0" borderId="1" xfId="6" applyNumberFormat="1" applyFont="1" applyAlignment="1">
      <alignment horizontal="left" vertical="center"/>
    </xf>
    <xf numFmtId="49" fontId="8" fillId="0" borderId="10" xfId="6" applyNumberFormat="1" applyFont="1" applyBorder="1" applyAlignment="1">
      <alignment horizontal="left" vertical="center"/>
    </xf>
    <xf numFmtId="49" fontId="8" fillId="0" borderId="4" xfId="6" applyNumberFormat="1" applyFont="1" applyBorder="1" applyAlignment="1">
      <alignment horizontal="right"/>
    </xf>
    <xf numFmtId="49" fontId="8" fillId="0" borderId="1" xfId="6" applyNumberFormat="1" applyFont="1" applyAlignment="1">
      <alignment horizontal="right"/>
    </xf>
    <xf numFmtId="49" fontId="8" fillId="0" borderId="6" xfId="6" applyNumberFormat="1" applyFont="1" applyBorder="1"/>
    <xf numFmtId="0" fontId="56" fillId="0" borderId="2" xfId="6" applyFont="1" applyBorder="1" applyAlignment="1">
      <alignment horizontal="center" vertical="center"/>
    </xf>
    <xf numFmtId="4" fontId="56" fillId="0" borderId="2" xfId="6" applyNumberFormat="1" applyFont="1" applyBorder="1" applyAlignment="1">
      <alignment horizontal="center" vertical="center" wrapText="1"/>
    </xf>
    <xf numFmtId="0" fontId="56" fillId="0" borderId="3" xfId="6" applyFont="1" applyBorder="1" applyAlignment="1">
      <alignment horizontal="center" vertical="center"/>
    </xf>
    <xf numFmtId="0" fontId="56" fillId="0" borderId="2" xfId="6" applyFont="1" applyBorder="1" applyAlignment="1">
      <alignment horizontal="center" vertical="center" wrapText="1"/>
    </xf>
    <xf numFmtId="0" fontId="8" fillId="0" borderId="9" xfId="6" applyFont="1" applyBorder="1"/>
    <xf numFmtId="4" fontId="8" fillId="0" borderId="1" xfId="6" applyNumberFormat="1" applyFont="1" applyAlignment="1">
      <alignment wrapText="1"/>
    </xf>
    <xf numFmtId="0" fontId="56" fillId="0" borderId="1" xfId="6" applyFont="1" applyAlignment="1">
      <alignment wrapText="1"/>
    </xf>
    <xf numFmtId="1" fontId="56" fillId="9" borderId="3" xfId="6" applyNumberFormat="1" applyFont="1" applyFill="1" applyBorder="1" applyAlignment="1">
      <alignment horizontal="center"/>
    </xf>
    <xf numFmtId="1" fontId="56" fillId="10" borderId="26" xfId="6" applyNumberFormat="1" applyFont="1" applyFill="1" applyBorder="1" applyAlignment="1">
      <alignment horizontal="center"/>
    </xf>
    <xf numFmtId="1" fontId="56" fillId="10" borderId="25" xfId="6" applyNumberFormat="1" applyFont="1" applyFill="1" applyBorder="1" applyAlignment="1">
      <alignment horizontal="center"/>
    </xf>
    <xf numFmtId="1" fontId="56" fillId="10" borderId="27" xfId="6" applyNumberFormat="1" applyFont="1" applyFill="1" applyBorder="1" applyAlignment="1">
      <alignment horizontal="center"/>
    </xf>
    <xf numFmtId="1" fontId="56" fillId="8" borderId="6" xfId="6" applyNumberFormat="1" applyFont="1" applyFill="1" applyBorder="1" applyAlignment="1">
      <alignment horizontal="center"/>
    </xf>
    <xf numFmtId="1" fontId="56" fillId="8" borderId="3" xfId="6" applyNumberFormat="1" applyFont="1" applyFill="1" applyBorder="1" applyAlignment="1">
      <alignment horizontal="center"/>
    </xf>
    <xf numFmtId="1" fontId="56" fillId="8" borderId="18" xfId="6" applyNumberFormat="1" applyFont="1" applyFill="1" applyBorder="1" applyAlignment="1">
      <alignment horizontal="center"/>
    </xf>
    <xf numFmtId="1" fontId="56" fillId="0" borderId="19" xfId="6" applyNumberFormat="1" applyFont="1" applyBorder="1" applyAlignment="1">
      <alignment horizontal="right"/>
    </xf>
    <xf numFmtId="1" fontId="56" fillId="0" borderId="7" xfId="6" applyNumberFormat="1" applyFont="1" applyBorder="1" applyAlignment="1">
      <alignment horizontal="right"/>
    </xf>
    <xf numFmtId="4" fontId="8" fillId="0" borderId="11" xfId="6" applyNumberFormat="1" applyFont="1" applyBorder="1" applyAlignment="1">
      <alignment horizontal="right" vertical="center" wrapText="1"/>
    </xf>
    <xf numFmtId="4" fontId="8" fillId="0" borderId="12" xfId="6" applyNumberFormat="1" applyFont="1" applyBorder="1" applyAlignment="1">
      <alignment horizontal="right" vertical="center" wrapText="1"/>
    </xf>
    <xf numFmtId="14" fontId="8" fillId="0" borderId="2" xfId="6" applyNumberFormat="1" applyFont="1" applyBorder="1" applyAlignment="1">
      <alignment horizontal="right" vertical="center" wrapText="1"/>
    </xf>
    <xf numFmtId="0" fontId="8" fillId="0" borderId="16" xfId="6" applyFont="1" applyBorder="1" applyAlignment="1">
      <alignment horizontal="left" vertical="center" wrapText="1"/>
    </xf>
    <xf numFmtId="14" fontId="8" fillId="10" borderId="37" xfId="6" applyNumberFormat="1" applyFont="1" applyFill="1" applyBorder="1" applyAlignment="1">
      <alignment horizontal="right" vertical="center"/>
    </xf>
    <xf numFmtId="44" fontId="8" fillId="10" borderId="29" xfId="6" applyNumberFormat="1" applyFont="1" applyFill="1" applyBorder="1" applyAlignment="1">
      <alignment horizontal="left" vertical="center"/>
    </xf>
    <xf numFmtId="44" fontId="8" fillId="10" borderId="34" xfId="6" applyNumberFormat="1" applyFont="1" applyFill="1" applyBorder="1" applyAlignment="1">
      <alignment horizontal="left" vertical="center"/>
    </xf>
    <xf numFmtId="14" fontId="8" fillId="8" borderId="37" xfId="6" applyNumberFormat="1" applyFont="1" applyFill="1" applyBorder="1" applyAlignment="1">
      <alignment horizontal="right" vertical="center"/>
    </xf>
    <xf numFmtId="44" fontId="8" fillId="8" borderId="29" xfId="6" applyNumberFormat="1" applyFont="1" applyFill="1" applyBorder="1" applyAlignment="1">
      <alignment horizontal="left" vertical="center"/>
    </xf>
    <xf numFmtId="44" fontId="8" fillId="8" borderId="34" xfId="6" applyNumberFormat="1" applyFont="1" applyFill="1" applyBorder="1" applyAlignment="1">
      <alignment horizontal="left" vertical="center"/>
    </xf>
    <xf numFmtId="4" fontId="8" fillId="0" borderId="1" xfId="6" applyNumberFormat="1" applyFont="1" applyAlignment="1">
      <alignment horizontal="right" vertical="center" wrapText="1"/>
    </xf>
    <xf numFmtId="14" fontId="8" fillId="0" borderId="1" xfId="6" applyNumberFormat="1" applyFont="1" applyAlignment="1">
      <alignment horizontal="right" vertical="center" wrapText="1"/>
    </xf>
    <xf numFmtId="0" fontId="8" fillId="0" borderId="15" xfId="6" applyFont="1" applyBorder="1" applyAlignment="1">
      <alignment horizontal="left" vertical="center" wrapText="1"/>
    </xf>
    <xf numFmtId="14" fontId="8" fillId="10" borderId="38" xfId="6" applyNumberFormat="1" applyFont="1" applyFill="1" applyBorder="1" applyAlignment="1">
      <alignment horizontal="right" vertical="center"/>
    </xf>
    <xf numFmtId="44" fontId="8" fillId="10" borderId="31" xfId="6" applyNumberFormat="1" applyFont="1" applyFill="1" applyBorder="1" applyAlignment="1">
      <alignment horizontal="left" vertical="center"/>
    </xf>
    <xf numFmtId="44" fontId="8" fillId="10" borderId="35" xfId="6" applyNumberFormat="1" applyFont="1" applyFill="1" applyBorder="1" applyAlignment="1">
      <alignment horizontal="left" vertical="center"/>
    </xf>
    <xf numFmtId="14" fontId="8" fillId="8" borderId="38" xfId="6" applyNumberFormat="1" applyFont="1" applyFill="1" applyBorder="1" applyAlignment="1">
      <alignment horizontal="right" vertical="center"/>
    </xf>
    <xf numFmtId="44" fontId="8" fillId="8" borderId="31" xfId="6" applyNumberFormat="1" applyFont="1" applyFill="1" applyBorder="1" applyAlignment="1">
      <alignment horizontal="left" vertical="center"/>
    </xf>
    <xf numFmtId="44" fontId="8" fillId="8" borderId="35" xfId="6" applyNumberFormat="1" applyFont="1" applyFill="1" applyBorder="1" applyAlignment="1">
      <alignment horizontal="left" vertical="center"/>
    </xf>
    <xf numFmtId="0" fontId="8" fillId="0" borderId="26" xfId="6" applyFont="1" applyBorder="1" applyAlignment="1">
      <alignment horizontal="left" vertical="center"/>
    </xf>
    <xf numFmtId="0" fontId="8" fillId="0" borderId="6" xfId="6" applyFont="1" applyBorder="1" applyAlignment="1">
      <alignment horizontal="left" vertical="center"/>
    </xf>
    <xf numFmtId="0" fontId="8" fillId="10" borderId="38" xfId="6" applyFont="1" applyFill="1" applyBorder="1" applyAlignment="1">
      <alignment horizontal="right" vertical="center"/>
    </xf>
    <xf numFmtId="4" fontId="8" fillId="10" borderId="31" xfId="6" applyNumberFormat="1" applyFont="1" applyFill="1" applyBorder="1" applyAlignment="1">
      <alignment horizontal="left" vertical="center"/>
    </xf>
    <xf numFmtId="4" fontId="8" fillId="10" borderId="35" xfId="6" applyNumberFormat="1" applyFont="1" applyFill="1" applyBorder="1" applyAlignment="1">
      <alignment horizontal="left" vertical="center"/>
    </xf>
    <xf numFmtId="0" fontId="8" fillId="0" borderId="14" xfId="6" applyFont="1" applyBorder="1" applyAlignment="1">
      <alignment horizontal="left" vertical="center"/>
    </xf>
    <xf numFmtId="0" fontId="8" fillId="0" borderId="1" xfId="6" applyFont="1" applyAlignment="1">
      <alignment horizontal="left" vertical="center"/>
    </xf>
    <xf numFmtId="14" fontId="8" fillId="8" borderId="38" xfId="6" applyNumberFormat="1" applyFont="1" applyFill="1" applyBorder="1" applyAlignment="1">
      <alignment horizontal="left" vertical="center"/>
    </xf>
    <xf numFmtId="0" fontId="8" fillId="0" borderId="46" xfId="6" applyFont="1" applyBorder="1" applyAlignment="1">
      <alignment horizontal="left" vertical="center" wrapText="1"/>
    </xf>
    <xf numFmtId="0" fontId="8" fillId="10" borderId="50" xfId="6" applyFont="1" applyFill="1" applyBorder="1" applyAlignment="1">
      <alignment horizontal="right" vertical="center"/>
    </xf>
    <xf numFmtId="0" fontId="8" fillId="8" borderId="50" xfId="6" applyFont="1" applyFill="1" applyBorder="1" applyAlignment="1">
      <alignment horizontal="left" vertical="center"/>
    </xf>
    <xf numFmtId="0" fontId="8" fillId="8" borderId="37" xfId="6" applyFont="1" applyFill="1" applyBorder="1" applyAlignment="1">
      <alignment horizontal="left" vertical="center"/>
    </xf>
    <xf numFmtId="44" fontId="56" fillId="0" borderId="43" xfId="6" applyNumberFormat="1" applyFont="1" applyBorder="1" applyAlignment="1">
      <alignment horizontal="right" vertical="center"/>
    </xf>
    <xf numFmtId="44" fontId="56" fillId="0" borderId="44" xfId="6" applyNumberFormat="1" applyFont="1" applyBorder="1" applyAlignment="1">
      <alignment horizontal="right" vertical="center"/>
    </xf>
    <xf numFmtId="0" fontId="8" fillId="0" borderId="21" xfId="6" applyFont="1" applyBorder="1" applyAlignment="1">
      <alignment horizontal="left" vertical="center" wrapText="1"/>
    </xf>
    <xf numFmtId="0" fontId="8" fillId="8" borderId="38" xfId="6" applyFont="1" applyFill="1" applyBorder="1" applyAlignment="1">
      <alignment horizontal="left" vertical="center"/>
    </xf>
    <xf numFmtId="0" fontId="8" fillId="0" borderId="22" xfId="6" applyFont="1" applyBorder="1" applyAlignment="1">
      <alignment horizontal="left" vertical="center" wrapText="1"/>
    </xf>
    <xf numFmtId="14" fontId="8" fillId="10" borderId="50" xfId="6" applyNumberFormat="1" applyFont="1" applyFill="1" applyBorder="1" applyAlignment="1">
      <alignment horizontal="right" vertical="center"/>
    </xf>
    <xf numFmtId="44" fontId="8" fillId="8" borderId="48" xfId="6" applyNumberFormat="1" applyFont="1" applyFill="1" applyBorder="1" applyAlignment="1">
      <alignment horizontal="left" vertical="center"/>
    </xf>
    <xf numFmtId="44" fontId="8" fillId="8" borderId="49" xfId="6" applyNumberFormat="1" applyFont="1" applyFill="1" applyBorder="1" applyAlignment="1">
      <alignment horizontal="left" vertical="center"/>
    </xf>
    <xf numFmtId="0" fontId="8" fillId="0" borderId="51" xfId="6" applyFont="1" applyBorder="1" applyAlignment="1">
      <alignment horizontal="left" vertical="center" wrapText="1"/>
    </xf>
    <xf numFmtId="44" fontId="56" fillId="9" borderId="33" xfId="6" applyNumberFormat="1" applyFont="1" applyFill="1" applyBorder="1" applyAlignment="1">
      <alignment horizontal="left" vertical="center"/>
    </xf>
    <xf numFmtId="44" fontId="56" fillId="9" borderId="36" xfId="6" applyNumberFormat="1" applyFont="1" applyFill="1" applyBorder="1" applyAlignment="1">
      <alignment horizontal="left" vertical="center"/>
    </xf>
    <xf numFmtId="0" fontId="8" fillId="10" borderId="39" xfId="6" applyFont="1" applyFill="1" applyBorder="1" applyAlignment="1">
      <alignment horizontal="left" vertical="center"/>
    </xf>
    <xf numFmtId="44" fontId="56" fillId="10" borderId="33" xfId="6" applyNumberFormat="1" applyFont="1" applyFill="1" applyBorder="1"/>
    <xf numFmtId="0" fontId="8" fillId="8" borderId="39" xfId="6" applyFont="1" applyFill="1" applyBorder="1" applyAlignment="1">
      <alignment horizontal="left" vertical="center"/>
    </xf>
    <xf numFmtId="0" fontId="8" fillId="0" borderId="10" xfId="6" applyFont="1" applyBorder="1" applyAlignment="1">
      <alignment horizontal="left" vertical="center"/>
    </xf>
    <xf numFmtId="44" fontId="8" fillId="9" borderId="29" xfId="6" applyNumberFormat="1" applyFont="1" applyFill="1" applyBorder="1" applyAlignment="1">
      <alignment horizontal="left" vertical="center"/>
    </xf>
    <xf numFmtId="44" fontId="8" fillId="9" borderId="34" xfId="6" applyNumberFormat="1" applyFont="1" applyFill="1" applyBorder="1" applyAlignment="1">
      <alignment horizontal="left" vertical="center"/>
    </xf>
    <xf numFmtId="44" fontId="8" fillId="8" borderId="41" xfId="6" applyNumberFormat="1" applyFont="1" applyFill="1" applyBorder="1" applyAlignment="1">
      <alignment horizontal="left" vertical="center"/>
    </xf>
    <xf numFmtId="44" fontId="8" fillId="9" borderId="31" xfId="6" applyNumberFormat="1" applyFont="1" applyFill="1" applyBorder="1" applyAlignment="1">
      <alignment horizontal="left" vertical="center"/>
    </xf>
    <xf numFmtId="44" fontId="8" fillId="9" borderId="35" xfId="6" applyNumberFormat="1" applyFont="1" applyFill="1" applyBorder="1" applyAlignment="1">
      <alignment horizontal="left" vertical="center"/>
    </xf>
    <xf numFmtId="44" fontId="8" fillId="10" borderId="55" xfId="6" applyNumberFormat="1" applyFont="1" applyFill="1" applyBorder="1" applyAlignment="1">
      <alignment horizontal="left" vertical="center"/>
    </xf>
    <xf numFmtId="44" fontId="8" fillId="9" borderId="48" xfId="6" applyNumberFormat="1" applyFont="1" applyFill="1" applyBorder="1" applyAlignment="1">
      <alignment horizontal="left" vertical="center"/>
    </xf>
    <xf numFmtId="44" fontId="8" fillId="9" borderId="49" xfId="6" applyNumberFormat="1" applyFont="1" applyFill="1" applyBorder="1" applyAlignment="1">
      <alignment horizontal="left" vertical="center"/>
    </xf>
    <xf numFmtId="0" fontId="8" fillId="10" borderId="50" xfId="6" applyFont="1" applyFill="1" applyBorder="1" applyAlignment="1">
      <alignment horizontal="left" vertical="center"/>
    </xf>
    <xf numFmtId="44" fontId="8" fillId="10" borderId="48" xfId="6" applyNumberFormat="1" applyFont="1" applyFill="1" applyBorder="1" applyAlignment="1">
      <alignment horizontal="left" vertical="center"/>
    </xf>
    <xf numFmtId="44" fontId="8" fillId="10" borderId="49" xfId="6" applyNumberFormat="1" applyFont="1" applyFill="1" applyBorder="1" applyAlignment="1">
      <alignment horizontal="left" vertical="center"/>
    </xf>
    <xf numFmtId="14" fontId="8" fillId="8" borderId="50" xfId="6" applyNumberFormat="1" applyFont="1" applyFill="1" applyBorder="1" applyAlignment="1">
      <alignment horizontal="right" vertical="center"/>
    </xf>
    <xf numFmtId="0" fontId="8" fillId="0" borderId="17" xfId="6" applyFont="1" applyBorder="1" applyAlignment="1">
      <alignment horizontal="left" vertical="center" wrapText="1"/>
    </xf>
    <xf numFmtId="44" fontId="8" fillId="9" borderId="33" xfId="6" applyNumberFormat="1" applyFont="1" applyFill="1" applyBorder="1" applyAlignment="1">
      <alignment horizontal="left" vertical="center"/>
    </xf>
    <xf numFmtId="44" fontId="8" fillId="9" borderId="36" xfId="6" applyNumberFormat="1" applyFont="1" applyFill="1" applyBorder="1" applyAlignment="1">
      <alignment horizontal="left" vertical="center"/>
    </xf>
    <xf numFmtId="44" fontId="56" fillId="10" borderId="33" xfId="6" applyNumberFormat="1" applyFont="1" applyFill="1" applyBorder="1" applyAlignment="1">
      <alignment horizontal="left" vertical="center"/>
    </xf>
    <xf numFmtId="44" fontId="56" fillId="10" borderId="36" xfId="6" applyNumberFormat="1" applyFont="1" applyFill="1" applyBorder="1" applyAlignment="1">
      <alignment horizontal="left" vertical="center"/>
    </xf>
    <xf numFmtId="44" fontId="56" fillId="8" borderId="33" xfId="6" applyNumberFormat="1" applyFont="1" applyFill="1" applyBorder="1" applyAlignment="1">
      <alignment horizontal="left" vertical="center"/>
    </xf>
    <xf numFmtId="44" fontId="56" fillId="8" borderId="36" xfId="6" applyNumberFormat="1" applyFont="1" applyFill="1" applyBorder="1" applyAlignment="1">
      <alignment horizontal="left" vertical="center"/>
    </xf>
    <xf numFmtId="0" fontId="8" fillId="10" borderId="37" xfId="6" applyFont="1" applyFill="1" applyBorder="1" applyAlignment="1">
      <alignment horizontal="left" vertical="center"/>
    </xf>
    <xf numFmtId="44" fontId="56" fillId="0" borderId="43" xfId="6" applyNumberFormat="1" applyFont="1" applyBorder="1" applyAlignment="1">
      <alignment horizontal="left" vertical="center"/>
    </xf>
    <xf numFmtId="44" fontId="56" fillId="0" borderId="44" xfId="6" applyNumberFormat="1" applyFont="1" applyBorder="1" applyAlignment="1">
      <alignment horizontal="left" vertical="center"/>
    </xf>
    <xf numFmtId="0" fontId="8" fillId="10" borderId="38" xfId="6" applyFont="1" applyFill="1" applyBorder="1" applyAlignment="1">
      <alignment horizontal="left" vertical="center"/>
    </xf>
    <xf numFmtId="44" fontId="8" fillId="10" borderId="33" xfId="6" applyNumberFormat="1" applyFont="1" applyFill="1" applyBorder="1" applyAlignment="1">
      <alignment horizontal="left" vertical="center"/>
    </xf>
    <xf numFmtId="44" fontId="8" fillId="10" borderId="36" xfId="6" applyNumberFormat="1" applyFont="1" applyFill="1" applyBorder="1" applyAlignment="1">
      <alignment horizontal="left" vertical="center"/>
    </xf>
    <xf numFmtId="44" fontId="8" fillId="8" borderId="35" xfId="6" applyNumberFormat="1" applyFont="1" applyFill="1" applyBorder="1" applyAlignment="1">
      <alignment horizontal="right" vertical="center"/>
    </xf>
    <xf numFmtId="44" fontId="8" fillId="8" borderId="49" xfId="6" applyNumberFormat="1" applyFont="1" applyFill="1" applyBorder="1" applyAlignment="1">
      <alignment horizontal="right" vertical="center"/>
    </xf>
    <xf numFmtId="44" fontId="56" fillId="10" borderId="48" xfId="6" applyNumberFormat="1" applyFont="1" applyFill="1" applyBorder="1" applyAlignment="1">
      <alignment horizontal="left" vertical="center"/>
    </xf>
    <xf numFmtId="0" fontId="8" fillId="8" borderId="37" xfId="6" applyFont="1" applyFill="1" applyBorder="1" applyAlignment="1">
      <alignment horizontal="right" vertical="center"/>
    </xf>
    <xf numFmtId="4" fontId="8" fillId="0" borderId="6" xfId="6" applyNumberFormat="1" applyFont="1" applyBorder="1" applyAlignment="1">
      <alignment horizontal="right" vertical="center" wrapText="1"/>
    </xf>
    <xf numFmtId="14" fontId="8" fillId="0" borderId="25" xfId="6" applyNumberFormat="1" applyFont="1" applyBorder="1" applyAlignment="1">
      <alignment horizontal="right" vertical="center" wrapText="1"/>
    </xf>
    <xf numFmtId="14" fontId="8" fillId="0" borderId="5" xfId="6" applyNumberFormat="1" applyFont="1" applyBorder="1" applyAlignment="1">
      <alignment horizontal="right" vertical="center" wrapText="1"/>
    </xf>
    <xf numFmtId="8" fontId="0" fillId="0" borderId="0" xfId="0" applyNumberFormat="1"/>
    <xf numFmtId="44" fontId="54" fillId="0" borderId="43" xfId="0" applyNumberFormat="1" applyFont="1" applyBorder="1"/>
    <xf numFmtId="44" fontId="54" fillId="0" borderId="26" xfId="0" applyNumberFormat="1" applyFont="1" applyBorder="1" applyAlignment="1">
      <alignment horizontal="left" vertical="center"/>
    </xf>
    <xf numFmtId="44" fontId="54" fillId="0" borderId="1" xfId="0" applyNumberFormat="1" applyFont="1" applyBorder="1" applyAlignment="1">
      <alignment horizontal="left" vertical="center"/>
    </xf>
    <xf numFmtId="44" fontId="54" fillId="0" borderId="14" xfId="0" applyNumberFormat="1" applyFont="1" applyBorder="1" applyAlignment="1">
      <alignment horizontal="left" vertical="center"/>
    </xf>
    <xf numFmtId="14" fontId="51" fillId="13" borderId="63" xfId="0" applyNumberFormat="1" applyFont="1" applyFill="1" applyBorder="1" applyAlignment="1">
      <alignment horizontal="left" vertical="center"/>
    </xf>
    <xf numFmtId="14" fontId="51" fillId="13" borderId="38" xfId="0" applyNumberFormat="1" applyFont="1" applyFill="1" applyBorder="1" applyAlignment="1">
      <alignment horizontal="left" vertical="center"/>
    </xf>
    <xf numFmtId="44" fontId="51" fillId="13" borderId="52" xfId="0" applyNumberFormat="1" applyFont="1" applyFill="1" applyBorder="1" applyAlignment="1">
      <alignment horizontal="left" vertical="center"/>
    </xf>
    <xf numFmtId="44" fontId="51" fillId="13" borderId="89" xfId="0" applyNumberFormat="1" applyFont="1" applyFill="1" applyBorder="1" applyAlignment="1">
      <alignment horizontal="left" vertical="center"/>
    </xf>
    <xf numFmtId="44" fontId="51" fillId="13" borderId="90" xfId="0" applyNumberFormat="1" applyFont="1" applyFill="1" applyBorder="1" applyAlignment="1">
      <alignment horizontal="left" vertical="center"/>
    </xf>
    <xf numFmtId="44" fontId="54" fillId="13" borderId="91" xfId="0" applyNumberFormat="1" applyFont="1" applyFill="1" applyBorder="1" applyAlignment="1">
      <alignment horizontal="left" vertical="center"/>
    </xf>
    <xf numFmtId="44" fontId="54" fillId="0" borderId="92" xfId="0" applyNumberFormat="1" applyFont="1" applyBorder="1" applyAlignment="1">
      <alignment horizontal="right" vertical="center"/>
    </xf>
    <xf numFmtId="44" fontId="54" fillId="12" borderId="71" xfId="0" applyNumberFormat="1" applyFont="1" applyFill="1" applyBorder="1" applyAlignment="1">
      <alignment horizontal="right" vertical="center"/>
    </xf>
    <xf numFmtId="44" fontId="8" fillId="9" borderId="55" xfId="6" applyNumberFormat="1" applyFont="1" applyFill="1" applyBorder="1" applyAlignment="1">
      <alignment horizontal="left" vertical="center"/>
    </xf>
    <xf numFmtId="44" fontId="8" fillId="9" borderId="54" xfId="6" applyNumberFormat="1" applyFont="1" applyFill="1" applyBorder="1" applyAlignment="1">
      <alignment horizontal="left" vertical="center"/>
    </xf>
    <xf numFmtId="0" fontId="8" fillId="10" borderId="87" xfId="6" applyFont="1" applyFill="1" applyBorder="1" applyAlignment="1">
      <alignment horizontal="left" vertical="center"/>
    </xf>
    <xf numFmtId="44" fontId="8" fillId="10" borderId="54" xfId="6" applyNumberFormat="1" applyFont="1" applyFill="1" applyBorder="1" applyAlignment="1">
      <alignment horizontal="left" vertical="center"/>
    </xf>
    <xf numFmtId="14" fontId="8" fillId="8" borderId="87" xfId="6" applyNumberFormat="1" applyFont="1" applyFill="1" applyBorder="1" applyAlignment="1">
      <alignment horizontal="right" vertical="center"/>
    </xf>
    <xf numFmtId="44" fontId="8" fillId="8" borderId="55" xfId="6" applyNumberFormat="1" applyFont="1" applyFill="1" applyBorder="1" applyAlignment="1">
      <alignment horizontal="left" vertical="center"/>
    </xf>
    <xf numFmtId="44" fontId="56" fillId="0" borderId="26" xfId="6" applyNumberFormat="1" applyFont="1" applyBorder="1" applyAlignment="1">
      <alignment horizontal="left" vertical="center"/>
    </xf>
    <xf numFmtId="44" fontId="56" fillId="0" borderId="6" xfId="6" applyNumberFormat="1" applyFont="1" applyBorder="1" applyAlignment="1">
      <alignment horizontal="left" vertical="center"/>
    </xf>
    <xf numFmtId="0" fontId="8" fillId="0" borderId="6" xfId="6" applyFont="1" applyBorder="1"/>
    <xf numFmtId="49" fontId="8" fillId="0" borderId="6" xfId="6" applyNumberFormat="1" applyFont="1" applyBorder="1" applyAlignment="1">
      <alignment horizontal="right"/>
    </xf>
    <xf numFmtId="44" fontId="8" fillId="8" borderId="54" xfId="6" applyNumberFormat="1" applyFont="1" applyFill="1" applyBorder="1" applyAlignment="1">
      <alignment horizontal="left" vertical="center"/>
    </xf>
    <xf numFmtId="44" fontId="56" fillId="0" borderId="14" xfId="6" applyNumberFormat="1" applyFont="1" applyBorder="1" applyAlignment="1">
      <alignment horizontal="left" vertical="center"/>
    </xf>
    <xf numFmtId="44" fontId="56" fillId="0" borderId="1" xfId="6" applyNumberFormat="1" applyFont="1" applyAlignment="1">
      <alignment horizontal="left" vertical="center"/>
    </xf>
    <xf numFmtId="44" fontId="56" fillId="10" borderId="49" xfId="6" applyNumberFormat="1" applyFont="1" applyFill="1" applyBorder="1" applyAlignment="1">
      <alignment horizontal="left" vertical="center"/>
    </xf>
    <xf numFmtId="44" fontId="54" fillId="13" borderId="1" xfId="0" applyNumberFormat="1" applyFont="1" applyFill="1" applyBorder="1" applyAlignment="1">
      <alignment horizontal="left" vertical="center"/>
    </xf>
    <xf numFmtId="44" fontId="51" fillId="13" borderId="93" xfId="0" applyNumberFormat="1" applyFont="1" applyFill="1" applyBorder="1" applyAlignment="1">
      <alignment horizontal="left" vertical="center"/>
    </xf>
    <xf numFmtId="44" fontId="51" fillId="13" borderId="94" xfId="0" applyNumberFormat="1" applyFont="1" applyFill="1" applyBorder="1" applyAlignment="1">
      <alignment horizontal="left" vertical="center"/>
    </xf>
    <xf numFmtId="44" fontId="51" fillId="13" borderId="95" xfId="0" applyNumberFormat="1" applyFont="1" applyFill="1" applyBorder="1" applyAlignment="1">
      <alignment horizontal="left" vertical="center"/>
    </xf>
    <xf numFmtId="44" fontId="54" fillId="13" borderId="96" xfId="0" applyNumberFormat="1" applyFont="1" applyFill="1" applyBorder="1" applyAlignment="1">
      <alignment horizontal="left" vertical="center"/>
    </xf>
    <xf numFmtId="44" fontId="51" fillId="13" borderId="1" xfId="0" applyNumberFormat="1" applyFont="1" applyFill="1" applyBorder="1" applyAlignment="1">
      <alignment horizontal="left" vertical="center"/>
    </xf>
    <xf numFmtId="44" fontId="54" fillId="13" borderId="10" xfId="0" applyNumberFormat="1" applyFont="1" applyFill="1" applyBorder="1" applyAlignment="1">
      <alignment horizontal="left" vertical="center"/>
    </xf>
    <xf numFmtId="44" fontId="51" fillId="13" borderId="1" xfId="0" applyNumberFormat="1" applyFont="1" applyFill="1" applyBorder="1" applyAlignment="1">
      <alignment horizontal="right" vertical="center"/>
    </xf>
    <xf numFmtId="14" fontId="51" fillId="12" borderId="72" xfId="0" applyNumberFormat="1" applyFont="1" applyFill="1" applyBorder="1" applyAlignment="1">
      <alignment horizontal="right" vertical="center"/>
    </xf>
    <xf numFmtId="1" fontId="54" fillId="14" borderId="58" xfId="0" applyNumberFormat="1" applyFont="1" applyFill="1" applyBorder="1" applyAlignment="1">
      <alignment horizontal="center"/>
    </xf>
    <xf numFmtId="1" fontId="54" fillId="14" borderId="59" xfId="0" applyNumberFormat="1" applyFont="1" applyFill="1" applyBorder="1" applyAlignment="1">
      <alignment horizontal="center"/>
    </xf>
    <xf numFmtId="14" fontId="51" fillId="14" borderId="63" xfId="0" applyNumberFormat="1" applyFont="1" applyFill="1" applyBorder="1" applyAlignment="1">
      <alignment horizontal="right" vertical="center"/>
    </xf>
    <xf numFmtId="44" fontId="51" fillId="14" borderId="13" xfId="0" applyNumberFormat="1" applyFont="1" applyFill="1" applyBorder="1" applyAlignment="1">
      <alignment horizontal="right" vertical="center"/>
    </xf>
    <xf numFmtId="44" fontId="51" fillId="14" borderId="64" xfId="0" applyNumberFormat="1" applyFont="1" applyFill="1" applyBorder="1" applyAlignment="1">
      <alignment horizontal="right" vertical="center"/>
    </xf>
    <xf numFmtId="14" fontId="51" fillId="14" borderId="69" xfId="0" applyNumberFormat="1" applyFont="1" applyFill="1" applyBorder="1" applyAlignment="1">
      <alignment horizontal="right" vertical="center"/>
    </xf>
    <xf numFmtId="44" fontId="51" fillId="14" borderId="67" xfId="0" applyNumberFormat="1" applyFont="1" applyFill="1" applyBorder="1" applyAlignment="1">
      <alignment horizontal="right" vertical="center"/>
    </xf>
    <xf numFmtId="14" fontId="51" fillId="14" borderId="30" xfId="0" applyNumberFormat="1" applyFont="1" applyFill="1" applyBorder="1" applyAlignment="1">
      <alignment horizontal="right" vertical="center"/>
    </xf>
    <xf numFmtId="44" fontId="51" fillId="14" borderId="52" xfId="0" applyNumberFormat="1" applyFont="1" applyFill="1" applyBorder="1" applyAlignment="1">
      <alignment horizontal="right" vertical="center"/>
    </xf>
    <xf numFmtId="14" fontId="51" fillId="14" borderId="72" xfId="0" applyNumberFormat="1" applyFont="1" applyFill="1" applyBorder="1" applyAlignment="1">
      <alignment horizontal="right" vertical="center"/>
    </xf>
    <xf numFmtId="0" fontId="51" fillId="14" borderId="70" xfId="0" applyFont="1" applyFill="1" applyBorder="1" applyAlignment="1">
      <alignment horizontal="left" vertical="center"/>
    </xf>
    <xf numFmtId="44" fontId="54" fillId="14" borderId="5" xfId="0" applyNumberFormat="1" applyFont="1" applyFill="1" applyBorder="1" applyAlignment="1">
      <alignment horizontal="right" vertical="center"/>
    </xf>
    <xf numFmtId="44" fontId="54" fillId="14" borderId="71" xfId="0" applyNumberFormat="1" applyFont="1" applyFill="1" applyBorder="1" applyAlignment="1">
      <alignment horizontal="right" vertical="center"/>
    </xf>
    <xf numFmtId="44" fontId="51" fillId="14" borderId="65" xfId="0" applyNumberFormat="1" applyFont="1" applyFill="1" applyBorder="1" applyAlignment="1">
      <alignment horizontal="right" vertical="center"/>
    </xf>
    <xf numFmtId="44" fontId="51" fillId="14" borderId="66" xfId="0" applyNumberFormat="1" applyFont="1" applyFill="1" applyBorder="1" applyAlignment="1">
      <alignment horizontal="right" vertical="center"/>
    </xf>
    <xf numFmtId="0" fontId="51" fillId="14" borderId="69" xfId="0" applyFont="1" applyFill="1" applyBorder="1" applyAlignment="1">
      <alignment horizontal="left" vertical="center"/>
    </xf>
    <xf numFmtId="4" fontId="51" fillId="14" borderId="67" xfId="0" applyNumberFormat="1" applyFont="1" applyFill="1" applyBorder="1" applyAlignment="1">
      <alignment horizontal="left" vertical="center"/>
    </xf>
    <xf numFmtId="4" fontId="51" fillId="14" borderId="64" xfId="0" applyNumberFormat="1" applyFont="1" applyFill="1" applyBorder="1" applyAlignment="1">
      <alignment horizontal="left" vertical="center"/>
    </xf>
    <xf numFmtId="0" fontId="51" fillId="14" borderId="74" xfId="0" applyFont="1" applyFill="1" applyBorder="1" applyAlignment="1">
      <alignment horizontal="left" vertical="center"/>
    </xf>
    <xf numFmtId="0" fontId="51" fillId="14" borderId="77" xfId="0" applyFont="1" applyFill="1" applyBorder="1" applyAlignment="1">
      <alignment horizontal="left" vertical="center"/>
    </xf>
    <xf numFmtId="44" fontId="54" fillId="14" borderId="78" xfId="0" applyNumberFormat="1" applyFont="1" applyFill="1" applyBorder="1" applyAlignment="1">
      <alignment horizontal="left" vertical="center"/>
    </xf>
    <xf numFmtId="44" fontId="54" fillId="14" borderId="79" xfId="0" applyNumberFormat="1" applyFont="1" applyFill="1" applyBorder="1" applyAlignment="1">
      <alignment horizontal="left" vertical="center"/>
    </xf>
    <xf numFmtId="44" fontId="51" fillId="14" borderId="67" xfId="0" applyNumberFormat="1" applyFont="1" applyFill="1" applyBorder="1" applyAlignment="1">
      <alignment horizontal="left" vertical="center"/>
    </xf>
    <xf numFmtId="44" fontId="51" fillId="14" borderId="64" xfId="0" applyNumberFormat="1" applyFont="1" applyFill="1" applyBorder="1" applyAlignment="1">
      <alignment horizontal="left" vertical="center"/>
    </xf>
    <xf numFmtId="44" fontId="51" fillId="14" borderId="5" xfId="0" applyNumberFormat="1" applyFont="1" applyFill="1" applyBorder="1" applyAlignment="1">
      <alignment horizontal="left" vertical="center"/>
    </xf>
    <xf numFmtId="44" fontId="51" fillId="14" borderId="71" xfId="0" applyNumberFormat="1" applyFont="1" applyFill="1" applyBorder="1" applyAlignment="1">
      <alignment horizontal="left" vertical="center"/>
    </xf>
    <xf numFmtId="44" fontId="51" fillId="14" borderId="75" xfId="0" applyNumberFormat="1" applyFont="1" applyFill="1" applyBorder="1" applyAlignment="1">
      <alignment horizontal="left" vertical="center"/>
    </xf>
    <xf numFmtId="44" fontId="51" fillId="14" borderId="76" xfId="0" applyNumberFormat="1" applyFont="1" applyFill="1" applyBorder="1" applyAlignment="1">
      <alignment horizontal="left" vertical="center"/>
    </xf>
    <xf numFmtId="44" fontId="51" fillId="14" borderId="78" xfId="0" applyNumberFormat="1" applyFont="1" applyFill="1" applyBorder="1" applyAlignment="1">
      <alignment horizontal="left" vertical="center"/>
    </xf>
    <xf numFmtId="44" fontId="51" fillId="14" borderId="79" xfId="0" applyNumberFormat="1" applyFont="1" applyFill="1" applyBorder="1" applyAlignment="1">
      <alignment horizontal="left" vertical="center"/>
    </xf>
    <xf numFmtId="44" fontId="51" fillId="14" borderId="58" xfId="0" applyNumberFormat="1" applyFont="1" applyFill="1" applyBorder="1" applyAlignment="1">
      <alignment horizontal="left" vertical="center"/>
    </xf>
    <xf numFmtId="44" fontId="51" fillId="14" borderId="59" xfId="0" applyNumberFormat="1" applyFont="1" applyFill="1" applyBorder="1" applyAlignment="1">
      <alignment horizontal="left" vertical="center"/>
    </xf>
    <xf numFmtId="1" fontId="54" fillId="14" borderId="24" xfId="0" applyNumberFormat="1" applyFont="1" applyFill="1" applyBorder="1" applyAlignment="1">
      <alignment horizontal="center"/>
    </xf>
    <xf numFmtId="44" fontId="51" fillId="13" borderId="95" xfId="0" applyNumberFormat="1" applyFont="1" applyFill="1" applyBorder="1" applyAlignment="1">
      <alignment horizontal="right" vertical="center"/>
    </xf>
    <xf numFmtId="0" fontId="51" fillId="14" borderId="37" xfId="0" applyFont="1" applyFill="1" applyBorder="1" applyAlignment="1">
      <alignment horizontal="left" vertical="center"/>
    </xf>
    <xf numFmtId="0" fontId="51" fillId="14" borderId="87" xfId="0" applyFont="1" applyFill="1" applyBorder="1" applyAlignment="1">
      <alignment horizontal="left" vertical="center"/>
    </xf>
    <xf numFmtId="0" fontId="51" fillId="14" borderId="97" xfId="0" applyFont="1" applyFill="1" applyBorder="1" applyAlignment="1">
      <alignment horizontal="left" vertical="center"/>
    </xf>
    <xf numFmtId="0" fontId="51" fillId="14" borderId="98" xfId="0" applyFont="1" applyFill="1" applyBorder="1" applyAlignment="1">
      <alignment horizontal="left" vertical="center"/>
    </xf>
    <xf numFmtId="0" fontId="51" fillId="14" borderId="50" xfId="0" applyFont="1" applyFill="1" applyBorder="1" applyAlignment="1">
      <alignment horizontal="left" vertical="center"/>
    </xf>
    <xf numFmtId="0" fontId="51" fillId="14" borderId="39" xfId="0" applyFont="1" applyFill="1" applyBorder="1" applyAlignment="1">
      <alignment horizontal="left" vertical="center"/>
    </xf>
    <xf numFmtId="1" fontId="54" fillId="14" borderId="5" xfId="0" applyNumberFormat="1" applyFont="1" applyFill="1" applyBorder="1" applyAlignment="1">
      <alignment horizontal="center"/>
    </xf>
    <xf numFmtId="1" fontId="54" fillId="14" borderId="60" xfId="0" applyNumberFormat="1" applyFont="1" applyFill="1" applyBorder="1" applyAlignment="1">
      <alignment horizontal="center"/>
    </xf>
    <xf numFmtId="44" fontId="51" fillId="14" borderId="65" xfId="0" applyNumberFormat="1" applyFont="1" applyFill="1" applyBorder="1" applyAlignment="1">
      <alignment horizontal="left" vertical="center"/>
    </xf>
    <xf numFmtId="44" fontId="51" fillId="14" borderId="66" xfId="0" applyNumberFormat="1" applyFont="1" applyFill="1" applyBorder="1" applyAlignment="1">
      <alignment horizontal="left" vertical="center"/>
    </xf>
    <xf numFmtId="14" fontId="51" fillId="14" borderId="38" xfId="0" applyNumberFormat="1" applyFont="1" applyFill="1" applyBorder="1" applyAlignment="1">
      <alignment horizontal="right" vertical="center"/>
    </xf>
    <xf numFmtId="14" fontId="51" fillId="14" borderId="74" xfId="0" applyNumberFormat="1" applyFont="1" applyFill="1" applyBorder="1" applyAlignment="1">
      <alignment horizontal="right" vertical="center"/>
    </xf>
    <xf numFmtId="44" fontId="54" fillId="14" borderId="58" xfId="0" applyNumberFormat="1" applyFont="1" applyFill="1" applyBorder="1"/>
    <xf numFmtId="1" fontId="54" fillId="14" borderId="26" xfId="0" applyNumberFormat="1" applyFont="1" applyFill="1" applyBorder="1" applyAlignment="1">
      <alignment horizontal="center"/>
    </xf>
    <xf numFmtId="14" fontId="51" fillId="14" borderId="37" xfId="0" applyNumberFormat="1" applyFont="1" applyFill="1" applyBorder="1" applyAlignment="1">
      <alignment horizontal="right" vertical="center"/>
    </xf>
    <xf numFmtId="14" fontId="51" fillId="14" borderId="87" xfId="0" applyNumberFormat="1" applyFont="1" applyFill="1" applyBorder="1" applyAlignment="1">
      <alignment horizontal="right" vertical="center"/>
    </xf>
    <xf numFmtId="0" fontId="51" fillId="14" borderId="87" xfId="0" applyFont="1" applyFill="1" applyBorder="1" applyAlignment="1">
      <alignment horizontal="right" vertical="center"/>
    </xf>
    <xf numFmtId="0" fontId="51" fillId="14" borderId="98" xfId="0" applyFont="1" applyFill="1" applyBorder="1" applyAlignment="1">
      <alignment horizontal="right" vertical="center"/>
    </xf>
    <xf numFmtId="14" fontId="51" fillId="14" borderId="50" xfId="0" applyNumberFormat="1" applyFont="1" applyFill="1" applyBorder="1" applyAlignment="1">
      <alignment horizontal="right" vertical="center"/>
    </xf>
    <xf numFmtId="44" fontId="54" fillId="14" borderId="36" xfId="0" applyNumberFormat="1" applyFont="1" applyFill="1" applyBorder="1"/>
    <xf numFmtId="14" fontId="51" fillId="12" borderId="30" xfId="0" applyNumberFormat="1" applyFont="1" applyFill="1" applyBorder="1" applyAlignment="1">
      <alignment horizontal="right" vertical="center"/>
    </xf>
    <xf numFmtId="0" fontId="54" fillId="0" borderId="9" xfId="0" applyFont="1" applyBorder="1" applyAlignment="1">
      <alignment horizontal="center" vertical="center" wrapText="1"/>
    </xf>
    <xf numFmtId="44" fontId="51" fillId="13" borderId="96" xfId="0" applyNumberFormat="1" applyFont="1" applyFill="1" applyBorder="1" applyAlignment="1">
      <alignment horizontal="left" vertical="center"/>
    </xf>
    <xf numFmtId="14" fontId="51" fillId="14" borderId="98" xfId="0" applyNumberFormat="1" applyFont="1" applyFill="1" applyBorder="1" applyAlignment="1">
      <alignment horizontal="right" vertical="center"/>
    </xf>
    <xf numFmtId="0" fontId="51" fillId="14" borderId="38" xfId="0" applyFont="1" applyFill="1" applyBorder="1" applyAlignment="1">
      <alignment horizontal="left" vertical="center"/>
    </xf>
    <xf numFmtId="1" fontId="56" fillId="9" borderId="18" xfId="6" applyNumberFormat="1" applyFont="1" applyFill="1" applyBorder="1" applyAlignment="1">
      <alignment horizontal="center"/>
    </xf>
    <xf numFmtId="14" fontId="8" fillId="9" borderId="37" xfId="6" applyNumberFormat="1" applyFont="1" applyFill="1" applyBorder="1" applyAlignment="1">
      <alignment horizontal="right" vertical="center"/>
    </xf>
    <xf numFmtId="14" fontId="8" fillId="9" borderId="38" xfId="6" applyNumberFormat="1" applyFont="1" applyFill="1" applyBorder="1" applyAlignment="1">
      <alignment horizontal="right" vertical="center"/>
    </xf>
    <xf numFmtId="14" fontId="8" fillId="9" borderId="38" xfId="6" applyNumberFormat="1" applyFont="1" applyFill="1" applyBorder="1" applyAlignment="1">
      <alignment horizontal="left" vertical="center"/>
    </xf>
    <xf numFmtId="0" fontId="8" fillId="9" borderId="50" xfId="6" applyFont="1" applyFill="1" applyBorder="1" applyAlignment="1">
      <alignment horizontal="left" vertical="center"/>
    </xf>
    <xf numFmtId="44" fontId="56" fillId="9" borderId="48" xfId="6" applyNumberFormat="1" applyFont="1" applyFill="1" applyBorder="1" applyAlignment="1">
      <alignment horizontal="left" vertical="center"/>
    </xf>
    <xf numFmtId="44" fontId="56" fillId="9" borderId="49" xfId="6" applyNumberFormat="1" applyFont="1" applyFill="1" applyBorder="1" applyAlignment="1">
      <alignment horizontal="left" vertical="center"/>
    </xf>
    <xf numFmtId="0" fontId="8" fillId="9" borderId="37" xfId="6" applyFont="1" applyFill="1" applyBorder="1" applyAlignment="1">
      <alignment horizontal="left" vertical="center"/>
    </xf>
    <xf numFmtId="0" fontId="8" fillId="9" borderId="38" xfId="6" applyFont="1" applyFill="1" applyBorder="1" applyAlignment="1">
      <alignment horizontal="left" vertical="center"/>
    </xf>
    <xf numFmtId="0" fontId="8" fillId="9" borderId="39" xfId="6" applyFont="1" applyFill="1" applyBorder="1" applyAlignment="1">
      <alignment horizontal="left" vertical="center"/>
    </xf>
    <xf numFmtId="44" fontId="8" fillId="9" borderId="41" xfId="6" applyNumberFormat="1" applyFont="1" applyFill="1" applyBorder="1" applyAlignment="1">
      <alignment horizontal="left" vertical="center"/>
    </xf>
    <xf numFmtId="14" fontId="8" fillId="9" borderId="50" xfId="6" applyNumberFormat="1" applyFont="1" applyFill="1" applyBorder="1" applyAlignment="1">
      <alignment horizontal="right" vertical="center"/>
    </xf>
    <xf numFmtId="14" fontId="8" fillId="9" borderId="87" xfId="6" applyNumberFormat="1" applyFont="1" applyFill="1" applyBorder="1" applyAlignment="1">
      <alignment horizontal="right" vertical="center"/>
    </xf>
    <xf numFmtId="0" fontId="8" fillId="9" borderId="37" xfId="6" applyFont="1" applyFill="1" applyBorder="1" applyAlignment="1">
      <alignment horizontal="right" vertical="center"/>
    </xf>
    <xf numFmtId="1" fontId="56" fillId="9" borderId="24" xfId="6" applyNumberFormat="1" applyFont="1" applyFill="1" applyBorder="1" applyAlignment="1">
      <alignment horizontal="center"/>
    </xf>
    <xf numFmtId="1" fontId="52" fillId="9" borderId="18" xfId="2" applyNumberFormat="1" applyFont="1" applyFill="1" applyBorder="1" applyAlignment="1">
      <alignment horizontal="center" vertical="center"/>
    </xf>
    <xf numFmtId="14" fontId="53" fillId="9" borderId="37" xfId="2" applyNumberFormat="1" applyFont="1" applyFill="1" applyBorder="1" applyAlignment="1">
      <alignment horizontal="right" vertical="center"/>
    </xf>
    <xf numFmtId="14" fontId="53" fillId="9" borderId="38" xfId="2" applyNumberFormat="1" applyFont="1" applyFill="1" applyBorder="1" applyAlignment="1">
      <alignment horizontal="right" vertical="center"/>
    </xf>
    <xf numFmtId="14" fontId="53" fillId="9" borderId="50" xfId="2" applyNumberFormat="1" applyFont="1" applyFill="1" applyBorder="1" applyAlignment="1">
      <alignment horizontal="right" vertical="center"/>
    </xf>
    <xf numFmtId="14" fontId="53" fillId="9" borderId="39" xfId="2" applyNumberFormat="1" applyFont="1" applyFill="1" applyBorder="1" applyAlignment="1">
      <alignment horizontal="right" vertical="center"/>
    </xf>
    <xf numFmtId="44" fontId="52" fillId="9" borderId="36" xfId="2" applyNumberFormat="1" applyFont="1" applyFill="1" applyBorder="1" applyAlignment="1">
      <alignment horizontal="right" vertical="center"/>
    </xf>
    <xf numFmtId="44" fontId="53" fillId="9" borderId="41" xfId="2" applyNumberFormat="1" applyFont="1" applyFill="1" applyBorder="1" applyAlignment="1">
      <alignment horizontal="left" vertical="center"/>
    </xf>
    <xf numFmtId="14" fontId="53" fillId="9" borderId="37" xfId="2" applyNumberFormat="1" applyFont="1" applyFill="1" applyBorder="1" applyAlignment="1">
      <alignment horizontal="left" vertical="center"/>
    </xf>
    <xf numFmtId="44" fontId="53" fillId="9" borderId="45" xfId="2" applyNumberFormat="1" applyFont="1" applyFill="1" applyBorder="1" applyAlignment="1">
      <alignment horizontal="left" vertical="center"/>
    </xf>
    <xf numFmtId="14" fontId="53" fillId="9" borderId="87" xfId="2" applyNumberFormat="1" applyFont="1" applyFill="1" applyBorder="1" applyAlignment="1">
      <alignment horizontal="left" vertical="center"/>
    </xf>
    <xf numFmtId="44" fontId="53" fillId="9" borderId="55" xfId="2" applyNumberFormat="1" applyFont="1" applyFill="1" applyBorder="1" applyAlignment="1">
      <alignment horizontal="left" vertical="center"/>
    </xf>
    <xf numFmtId="44" fontId="53" fillId="9" borderId="88" xfId="2" applyNumberFormat="1" applyFont="1" applyFill="1" applyBorder="1" applyAlignment="1">
      <alignment horizontal="left" vertical="center"/>
    </xf>
    <xf numFmtId="44" fontId="53" fillId="9" borderId="45" xfId="2" applyNumberFormat="1" applyFont="1" applyFill="1" applyBorder="1" applyAlignment="1">
      <alignment horizontal="right" vertical="center"/>
    </xf>
    <xf numFmtId="0" fontId="53" fillId="9" borderId="50" xfId="2" applyFont="1" applyFill="1" applyBorder="1" applyAlignment="1">
      <alignment horizontal="left" vertical="center"/>
    </xf>
    <xf numFmtId="0" fontId="53" fillId="9" borderId="39" xfId="2" applyFont="1" applyFill="1" applyBorder="1" applyAlignment="1">
      <alignment horizontal="left" vertical="center"/>
    </xf>
    <xf numFmtId="1" fontId="54" fillId="14" borderId="8" xfId="0" applyNumberFormat="1" applyFont="1" applyFill="1" applyBorder="1" applyAlignment="1">
      <alignment horizontal="center"/>
    </xf>
    <xf numFmtId="44" fontId="54" fillId="14" borderId="5" xfId="0" applyNumberFormat="1" applyFont="1" applyFill="1" applyBorder="1" applyAlignment="1">
      <alignment horizontal="left" vertical="center"/>
    </xf>
    <xf numFmtId="44" fontId="54" fillId="14" borderId="71" xfId="0" applyNumberFormat="1" applyFont="1" applyFill="1" applyBorder="1" applyAlignment="1">
      <alignment horizontal="left" vertical="center"/>
    </xf>
    <xf numFmtId="44" fontId="51" fillId="14" borderId="13" xfId="0" applyNumberFormat="1" applyFont="1" applyFill="1" applyBorder="1" applyAlignment="1">
      <alignment horizontal="left" vertical="center"/>
    </xf>
    <xf numFmtId="44" fontId="51" fillId="14" borderId="82" xfId="0" applyNumberFormat="1" applyFont="1" applyFill="1" applyBorder="1" applyAlignment="1">
      <alignment horizontal="right" vertical="center"/>
    </xf>
    <xf numFmtId="44" fontId="51" fillId="14" borderId="71" xfId="0" applyNumberFormat="1" applyFont="1" applyFill="1" applyBorder="1" applyAlignment="1">
      <alignment horizontal="right" vertical="center"/>
    </xf>
    <xf numFmtId="44" fontId="51" fillId="14" borderId="76" xfId="0" applyNumberFormat="1" applyFont="1" applyFill="1" applyBorder="1" applyAlignment="1">
      <alignment horizontal="right" vertical="center"/>
    </xf>
    <xf numFmtId="14" fontId="51" fillId="14" borderId="87" xfId="0" applyNumberFormat="1" applyFont="1" applyFill="1" applyBorder="1" applyAlignment="1">
      <alignment horizontal="left" vertical="center"/>
    </xf>
    <xf numFmtId="0" fontId="53" fillId="9" borderId="28" xfId="2" applyFont="1" applyFill="1" applyBorder="1" applyAlignment="1">
      <alignment horizontal="right" vertical="center"/>
    </xf>
    <xf numFmtId="0" fontId="53" fillId="10" borderId="37" xfId="2" applyFont="1" applyFill="1" applyBorder="1" applyAlignment="1">
      <alignment horizontal="right" vertical="center"/>
    </xf>
    <xf numFmtId="44" fontId="53" fillId="10" borderId="29" xfId="2" applyNumberFormat="1" applyFont="1" applyFill="1" applyBorder="1" applyAlignment="1">
      <alignment horizontal="right" vertical="center"/>
    </xf>
    <xf numFmtId="44" fontId="53" fillId="10" borderId="34" xfId="2" applyNumberFormat="1" applyFont="1" applyFill="1" applyBorder="1" applyAlignment="1">
      <alignment horizontal="right" vertical="center"/>
    </xf>
    <xf numFmtId="44" fontId="53" fillId="8" borderId="29" xfId="2" applyNumberFormat="1" applyFont="1" applyFill="1" applyBorder="1" applyAlignment="1">
      <alignment horizontal="right" vertical="center"/>
    </xf>
    <xf numFmtId="0" fontId="53" fillId="9" borderId="30" xfId="2" applyFont="1" applyFill="1" applyBorder="1" applyAlignment="1">
      <alignment horizontal="right" vertical="center"/>
    </xf>
    <xf numFmtId="0" fontId="53" fillId="10" borderId="38" xfId="2" applyFont="1" applyFill="1" applyBorder="1" applyAlignment="1">
      <alignment horizontal="right" vertical="center"/>
    </xf>
    <xf numFmtId="44" fontId="53" fillId="10" borderId="31" xfId="2" applyNumberFormat="1" applyFont="1" applyFill="1" applyBorder="1" applyAlignment="1">
      <alignment horizontal="right" vertical="center"/>
    </xf>
    <xf numFmtId="44" fontId="53" fillId="10" borderId="35" xfId="2" applyNumberFormat="1" applyFont="1" applyFill="1" applyBorder="1" applyAlignment="1">
      <alignment horizontal="right" vertical="center"/>
    </xf>
    <xf numFmtId="44" fontId="53" fillId="8" borderId="31" xfId="2" applyNumberFormat="1" applyFont="1" applyFill="1" applyBorder="1" applyAlignment="1">
      <alignment horizontal="right" vertical="center"/>
    </xf>
    <xf numFmtId="0" fontId="53" fillId="9" borderId="47" xfId="2" applyFont="1" applyFill="1" applyBorder="1" applyAlignment="1">
      <alignment horizontal="right" vertical="center"/>
    </xf>
    <xf numFmtId="44" fontId="53" fillId="10" borderId="48" xfId="2" applyNumberFormat="1" applyFont="1" applyFill="1" applyBorder="1" applyAlignment="1">
      <alignment horizontal="right" vertical="center"/>
    </xf>
    <xf numFmtId="44" fontId="53" fillId="10" borderId="49" xfId="2" applyNumberFormat="1" applyFont="1" applyFill="1" applyBorder="1" applyAlignment="1">
      <alignment horizontal="right" vertical="center"/>
    </xf>
    <xf numFmtId="44" fontId="52" fillId="8" borderId="48" xfId="2" applyNumberFormat="1" applyFont="1" applyFill="1" applyBorder="1" applyAlignment="1">
      <alignment horizontal="right" vertical="center"/>
    </xf>
    <xf numFmtId="44" fontId="52" fillId="8" borderId="49" xfId="2" applyNumberFormat="1" applyFont="1" applyFill="1" applyBorder="1" applyAlignment="1">
      <alignment horizontal="right" vertical="center"/>
    </xf>
    <xf numFmtId="44" fontId="53" fillId="8" borderId="48" xfId="2" applyNumberFormat="1" applyFont="1" applyFill="1" applyBorder="1" applyAlignment="1">
      <alignment horizontal="right" vertical="center"/>
    </xf>
    <xf numFmtId="0" fontId="53" fillId="10" borderId="50" xfId="2" applyFont="1" applyFill="1" applyBorder="1" applyAlignment="1">
      <alignment horizontal="right" vertical="center"/>
    </xf>
    <xf numFmtId="0" fontId="53" fillId="9" borderId="32" xfId="2" applyFont="1" applyFill="1" applyBorder="1" applyAlignment="1">
      <alignment horizontal="right" vertical="center"/>
    </xf>
    <xf numFmtId="44" fontId="52" fillId="10" borderId="33" xfId="2" applyNumberFormat="1" applyFont="1" applyFill="1" applyBorder="1" applyAlignment="1">
      <alignment horizontal="right" vertical="center"/>
    </xf>
    <xf numFmtId="44" fontId="52" fillId="10" borderId="1" xfId="2" applyNumberFormat="1" applyFont="1" applyFill="1" applyAlignment="1">
      <alignment horizontal="right" vertical="center"/>
    </xf>
    <xf numFmtId="44" fontId="52" fillId="8" borderId="33" xfId="2" applyNumberFormat="1" applyFont="1" applyFill="1" applyBorder="1" applyAlignment="1">
      <alignment horizontal="right" vertical="center"/>
    </xf>
    <xf numFmtId="44" fontId="53" fillId="8" borderId="41" xfId="2" applyNumberFormat="1" applyFont="1" applyFill="1" applyBorder="1" applyAlignment="1">
      <alignment horizontal="right" vertical="center"/>
    </xf>
    <xf numFmtId="44" fontId="53" fillId="10" borderId="55" xfId="2" applyNumberFormat="1" applyFont="1" applyFill="1" applyBorder="1" applyAlignment="1">
      <alignment horizontal="right" vertical="center"/>
    </xf>
    <xf numFmtId="44" fontId="53" fillId="10" borderId="33" xfId="2" applyNumberFormat="1" applyFont="1" applyFill="1" applyBorder="1" applyAlignment="1">
      <alignment horizontal="right" vertical="center"/>
    </xf>
    <xf numFmtId="44" fontId="53" fillId="10" borderId="36" xfId="2" applyNumberFormat="1" applyFont="1" applyFill="1" applyBorder="1" applyAlignment="1">
      <alignment horizontal="right" vertical="center"/>
    </xf>
    <xf numFmtId="44" fontId="53" fillId="10" borderId="54" xfId="2" applyNumberFormat="1" applyFont="1" applyFill="1" applyBorder="1" applyAlignment="1">
      <alignment horizontal="right" vertical="center"/>
    </xf>
    <xf numFmtId="14" fontId="53" fillId="8" borderId="87" xfId="2" applyNumberFormat="1" applyFont="1" applyFill="1" applyBorder="1" applyAlignment="1">
      <alignment horizontal="right" vertical="center"/>
    </xf>
    <xf numFmtId="44" fontId="53" fillId="8" borderId="55" xfId="2" applyNumberFormat="1" applyFont="1" applyFill="1" applyBorder="1" applyAlignment="1">
      <alignment horizontal="right" vertical="center"/>
    </xf>
    <xf numFmtId="44" fontId="53" fillId="8" borderId="88" xfId="2" applyNumberFormat="1" applyFont="1" applyFill="1" applyBorder="1" applyAlignment="1">
      <alignment horizontal="right" vertical="center"/>
    </xf>
    <xf numFmtId="44" fontId="52" fillId="9" borderId="33" xfId="2" applyNumberFormat="1" applyFont="1" applyFill="1" applyBorder="1" applyAlignment="1">
      <alignment horizontal="right" vertical="center"/>
    </xf>
    <xf numFmtId="44" fontId="52" fillId="10" borderId="36" xfId="2" applyNumberFormat="1" applyFont="1" applyFill="1" applyBorder="1" applyAlignment="1">
      <alignment horizontal="right" vertical="center"/>
    </xf>
    <xf numFmtId="4" fontId="53" fillId="10" borderId="33" xfId="2" applyNumberFormat="1" applyFont="1" applyFill="1" applyBorder="1" applyAlignment="1">
      <alignment horizontal="right" vertical="center"/>
    </xf>
    <xf numFmtId="4" fontId="53" fillId="10" borderId="36" xfId="2" applyNumberFormat="1" applyFont="1" applyFill="1" applyBorder="1" applyAlignment="1">
      <alignment horizontal="right" vertical="center"/>
    </xf>
    <xf numFmtId="0" fontId="53" fillId="8" borderId="50" xfId="2" applyFont="1" applyFill="1" applyBorder="1" applyAlignment="1">
      <alignment horizontal="right" vertical="center"/>
    </xf>
    <xf numFmtId="0" fontId="53" fillId="8" borderId="39" xfId="2" applyFont="1" applyFill="1" applyBorder="1" applyAlignment="1">
      <alignment horizontal="right" vertical="center"/>
    </xf>
    <xf numFmtId="49" fontId="6" fillId="15" borderId="0" xfId="0" applyNumberFormat="1" applyFont="1" applyFill="1"/>
    <xf numFmtId="0" fontId="0" fillId="15" borderId="0" xfId="0" applyFill="1"/>
    <xf numFmtId="49" fontId="45" fillId="0" borderId="0" xfId="0" applyNumberFormat="1" applyFont="1"/>
    <xf numFmtId="49" fontId="17" fillId="0" borderId="0" xfId="0" applyNumberFormat="1" applyFont="1"/>
    <xf numFmtId="44" fontId="60" fillId="8" borderId="48" xfId="6" applyNumberFormat="1" applyFont="1" applyFill="1" applyBorder="1" applyAlignment="1">
      <alignment horizontal="left" vertical="center"/>
    </xf>
    <xf numFmtId="44" fontId="60" fillId="8" borderId="49" xfId="6" applyNumberFormat="1" applyFont="1" applyFill="1" applyBorder="1" applyAlignment="1">
      <alignment horizontal="left" vertical="center"/>
    </xf>
    <xf numFmtId="14" fontId="8" fillId="8" borderId="37" xfId="6" applyNumberFormat="1" applyFont="1" applyFill="1" applyBorder="1" applyAlignment="1">
      <alignment vertical="center"/>
    </xf>
    <xf numFmtId="14" fontId="8" fillId="8" borderId="38" xfId="6" applyNumberFormat="1" applyFont="1" applyFill="1" applyBorder="1" applyAlignment="1">
      <alignment vertical="center"/>
    </xf>
    <xf numFmtId="14" fontId="8" fillId="8" borderId="50" xfId="6" applyNumberFormat="1" applyFont="1" applyFill="1" applyBorder="1" applyAlignment="1">
      <alignment vertical="center"/>
    </xf>
    <xf numFmtId="14" fontId="60" fillId="8" borderId="50" xfId="6" applyNumberFormat="1" applyFont="1" applyFill="1" applyBorder="1" applyAlignment="1">
      <alignment vertical="center"/>
    </xf>
    <xf numFmtId="6" fontId="0" fillId="0" borderId="0" xfId="0" applyNumberFormat="1"/>
    <xf numFmtId="14" fontId="60" fillId="8" borderId="38" xfId="6" applyNumberFormat="1" applyFont="1" applyFill="1" applyBorder="1" applyAlignment="1">
      <alignment horizontal="right" vertical="center"/>
    </xf>
    <xf numFmtId="44" fontId="60" fillId="8" borderId="31" xfId="6" applyNumberFormat="1" applyFont="1" applyFill="1" applyBorder="1" applyAlignment="1">
      <alignment horizontal="left" vertical="center"/>
    </xf>
    <xf numFmtId="44" fontId="60" fillId="8" borderId="35" xfId="6" applyNumberFormat="1" applyFont="1" applyFill="1" applyBorder="1" applyAlignment="1">
      <alignment horizontal="left" vertical="center"/>
    </xf>
    <xf numFmtId="1" fontId="56" fillId="17" borderId="6" xfId="6" applyNumberFormat="1" applyFont="1" applyFill="1" applyBorder="1" applyAlignment="1">
      <alignment horizontal="center"/>
    </xf>
    <xf numFmtId="1" fontId="56" fillId="17" borderId="3" xfId="6" applyNumberFormat="1" applyFont="1" applyFill="1" applyBorder="1" applyAlignment="1">
      <alignment horizontal="center"/>
    </xf>
    <xf numFmtId="1" fontId="56" fillId="17" borderId="53" xfId="6" applyNumberFormat="1" applyFont="1" applyFill="1" applyBorder="1" applyAlignment="1">
      <alignment horizontal="center"/>
    </xf>
    <xf numFmtId="14" fontId="8" fillId="17" borderId="28" xfId="6" applyNumberFormat="1" applyFont="1" applyFill="1" applyBorder="1" applyAlignment="1">
      <alignment horizontal="right" vertical="center"/>
    </xf>
    <xf numFmtId="44" fontId="8" fillId="17" borderId="31" xfId="6" applyNumberFormat="1" applyFont="1" applyFill="1" applyBorder="1" applyAlignment="1">
      <alignment horizontal="right" vertical="center"/>
    </xf>
    <xf numFmtId="14" fontId="8" fillId="17" borderId="30" xfId="6" applyNumberFormat="1" applyFont="1" applyFill="1" applyBorder="1" applyAlignment="1">
      <alignment horizontal="right" vertical="center"/>
    </xf>
    <xf numFmtId="44" fontId="8" fillId="17" borderId="35" xfId="6" applyNumberFormat="1" applyFont="1" applyFill="1" applyBorder="1" applyAlignment="1">
      <alignment horizontal="right" vertical="center"/>
    </xf>
    <xf numFmtId="14" fontId="8" fillId="17" borderId="47" xfId="6" applyNumberFormat="1" applyFont="1" applyFill="1" applyBorder="1" applyAlignment="1">
      <alignment horizontal="right" vertical="center"/>
    </xf>
    <xf numFmtId="44" fontId="8" fillId="17" borderId="48" xfId="6" applyNumberFormat="1" applyFont="1" applyFill="1" applyBorder="1" applyAlignment="1">
      <alignment horizontal="right" vertical="center"/>
    </xf>
    <xf numFmtId="44" fontId="8" fillId="17" borderId="49" xfId="6" applyNumberFormat="1" applyFont="1" applyFill="1" applyBorder="1" applyAlignment="1">
      <alignment horizontal="right" vertical="center"/>
    </xf>
    <xf numFmtId="44" fontId="8" fillId="17" borderId="52" xfId="6" applyNumberFormat="1" applyFont="1" applyFill="1" applyBorder="1" applyAlignment="1">
      <alignment horizontal="right" vertical="center"/>
    </xf>
    <xf numFmtId="0" fontId="8" fillId="17" borderId="47" xfId="6" applyFont="1" applyFill="1" applyBorder="1" applyAlignment="1">
      <alignment horizontal="left" vertical="center"/>
    </xf>
    <xf numFmtId="44" fontId="56" fillId="17" borderId="48" xfId="6" applyNumberFormat="1" applyFont="1" applyFill="1" applyBorder="1" applyAlignment="1">
      <alignment horizontal="right" vertical="center"/>
    </xf>
    <xf numFmtId="44" fontId="56" fillId="17" borderId="49" xfId="6" applyNumberFormat="1" applyFont="1" applyFill="1" applyBorder="1" applyAlignment="1">
      <alignment horizontal="right" vertical="center"/>
    </xf>
    <xf numFmtId="44" fontId="8" fillId="17" borderId="29" xfId="6" applyNumberFormat="1" applyFont="1" applyFill="1" applyBorder="1" applyAlignment="1">
      <alignment horizontal="right" vertical="center"/>
    </xf>
    <xf numFmtId="44" fontId="8" fillId="17" borderId="34" xfId="6" applyNumberFormat="1" applyFont="1" applyFill="1" applyBorder="1" applyAlignment="1">
      <alignment horizontal="right" vertical="center"/>
    </xf>
    <xf numFmtId="0" fontId="8" fillId="17" borderId="30" xfId="6" applyFont="1" applyFill="1" applyBorder="1" applyAlignment="1">
      <alignment horizontal="left" vertical="center"/>
    </xf>
    <xf numFmtId="4" fontId="8" fillId="17" borderId="31" xfId="6" applyNumberFormat="1" applyFont="1" applyFill="1" applyBorder="1" applyAlignment="1">
      <alignment horizontal="left" vertical="center"/>
    </xf>
    <xf numFmtId="4" fontId="8" fillId="17" borderId="35" xfId="6" applyNumberFormat="1" applyFont="1" applyFill="1" applyBorder="1" applyAlignment="1">
      <alignment horizontal="left" vertical="center"/>
    </xf>
    <xf numFmtId="4" fontId="8" fillId="17" borderId="48" xfId="6" applyNumberFormat="1" applyFont="1" applyFill="1" applyBorder="1" applyAlignment="1">
      <alignment horizontal="left" vertical="center"/>
    </xf>
    <xf numFmtId="4" fontId="8" fillId="17" borderId="49" xfId="6" applyNumberFormat="1" applyFont="1" applyFill="1" applyBorder="1" applyAlignment="1">
      <alignment horizontal="left" vertical="center"/>
    </xf>
    <xf numFmtId="0" fontId="8" fillId="17" borderId="32" xfId="6" applyFont="1" applyFill="1" applyBorder="1" applyAlignment="1">
      <alignment horizontal="left" vertical="center"/>
    </xf>
    <xf numFmtId="44" fontId="56" fillId="17" borderId="33" xfId="6" applyNumberFormat="1" applyFont="1" applyFill="1" applyBorder="1" applyAlignment="1">
      <alignment horizontal="left" vertical="center"/>
    </xf>
    <xf numFmtId="44" fontId="56" fillId="17" borderId="36" xfId="6" applyNumberFormat="1" applyFont="1" applyFill="1" applyBorder="1" applyAlignment="1">
      <alignment horizontal="left" vertical="center"/>
    </xf>
    <xf numFmtId="0" fontId="8" fillId="17" borderId="28" xfId="6" applyFont="1" applyFill="1" applyBorder="1" applyAlignment="1">
      <alignment horizontal="left" vertical="center"/>
    </xf>
    <xf numFmtId="44" fontId="8" fillId="17" borderId="29" xfId="6" applyNumberFormat="1" applyFont="1" applyFill="1" applyBorder="1" applyAlignment="1">
      <alignment horizontal="left" vertical="center"/>
    </xf>
    <xf numFmtId="44" fontId="8" fillId="17" borderId="34" xfId="6" applyNumberFormat="1" applyFont="1" applyFill="1" applyBorder="1" applyAlignment="1">
      <alignment horizontal="left" vertical="center"/>
    </xf>
    <xf numFmtId="44" fontId="8" fillId="17" borderId="31" xfId="6" applyNumberFormat="1" applyFont="1" applyFill="1" applyBorder="1" applyAlignment="1">
      <alignment horizontal="left" vertical="center"/>
    </xf>
    <xf numFmtId="44" fontId="8" fillId="17" borderId="35" xfId="6" applyNumberFormat="1" applyFont="1" applyFill="1" applyBorder="1" applyAlignment="1">
      <alignment horizontal="left" vertical="center"/>
    </xf>
    <xf numFmtId="44" fontId="8" fillId="17" borderId="48" xfId="6" applyNumberFormat="1" applyFont="1" applyFill="1" applyBorder="1" applyAlignment="1">
      <alignment horizontal="left" vertical="center"/>
    </xf>
    <xf numFmtId="44" fontId="8" fillId="17" borderId="49" xfId="6" applyNumberFormat="1" applyFont="1" applyFill="1" applyBorder="1" applyAlignment="1">
      <alignment horizontal="left" vertical="center"/>
    </xf>
    <xf numFmtId="44" fontId="8" fillId="17" borderId="33" xfId="6" applyNumberFormat="1" applyFont="1" applyFill="1" applyBorder="1" applyAlignment="1">
      <alignment horizontal="left" vertical="center"/>
    </xf>
    <xf numFmtId="44" fontId="8" fillId="17" borderId="36" xfId="6" applyNumberFormat="1" applyFont="1" applyFill="1" applyBorder="1" applyAlignment="1">
      <alignment horizontal="left" vertical="center"/>
    </xf>
    <xf numFmtId="0" fontId="8" fillId="17" borderId="86" xfId="6" applyFont="1" applyFill="1" applyBorder="1" applyAlignment="1">
      <alignment horizontal="left" vertical="center"/>
    </xf>
    <xf numFmtId="44" fontId="8" fillId="17" borderId="55" xfId="6" applyNumberFormat="1" applyFont="1" applyFill="1" applyBorder="1" applyAlignment="1">
      <alignment horizontal="left" vertical="center"/>
    </xf>
    <xf numFmtId="44" fontId="8" fillId="17" borderId="54" xfId="6" applyNumberFormat="1" applyFont="1" applyFill="1" applyBorder="1" applyAlignment="1">
      <alignment horizontal="left" vertical="center"/>
    </xf>
    <xf numFmtId="0" fontId="8" fillId="8" borderId="50" xfId="6" applyFont="1" applyFill="1" applyBorder="1" applyAlignment="1">
      <alignment horizontal="right" vertical="center"/>
    </xf>
    <xf numFmtId="0" fontId="8" fillId="8" borderId="39" xfId="6" applyFont="1" applyFill="1" applyBorder="1" applyAlignment="1">
      <alignment horizontal="right" vertical="center"/>
    </xf>
    <xf numFmtId="44" fontId="60" fillId="8" borderId="31" xfId="6" applyNumberFormat="1" applyFont="1" applyFill="1" applyBorder="1" applyAlignment="1">
      <alignment horizontal="right" vertical="center"/>
    </xf>
    <xf numFmtId="44" fontId="60" fillId="8" borderId="35" xfId="6" applyNumberFormat="1" applyFont="1" applyFill="1" applyBorder="1" applyAlignment="1">
      <alignment horizontal="right" vertical="center"/>
    </xf>
    <xf numFmtId="164" fontId="6" fillId="0" borderId="1" xfId="0" applyNumberFormat="1" applyFont="1" applyBorder="1"/>
    <xf numFmtId="1" fontId="6" fillId="0" borderId="1" xfId="0" applyNumberFormat="1" applyFont="1" applyBorder="1"/>
    <xf numFmtId="165" fontId="6" fillId="0" borderId="1" xfId="0" applyNumberFormat="1" applyFont="1" applyBorder="1"/>
    <xf numFmtId="44" fontId="54" fillId="0" borderId="1" xfId="0" applyNumberFormat="1" applyFont="1" applyBorder="1"/>
    <xf numFmtId="0" fontId="51" fillId="0" borderId="10" xfId="0" applyFont="1" applyBorder="1" applyAlignment="1">
      <alignment horizontal="left" vertical="center" wrapText="1"/>
    </xf>
    <xf numFmtId="44" fontId="8" fillId="0" borderId="10" xfId="6" applyNumberFormat="1" applyFont="1" applyBorder="1" applyAlignment="1">
      <alignment horizontal="left" vertical="center"/>
    </xf>
    <xf numFmtId="44" fontId="8" fillId="0" borderId="1" xfId="6" applyNumberFormat="1" applyFont="1" applyAlignment="1">
      <alignment horizontal="left" vertical="center"/>
    </xf>
    <xf numFmtId="44" fontId="54" fillId="0" borderId="10" xfId="0" applyNumberFormat="1" applyFont="1" applyBorder="1"/>
    <xf numFmtId="44" fontId="56" fillId="0" borderId="10" xfId="6" applyNumberFormat="1" applyFont="1" applyBorder="1" applyAlignment="1">
      <alignment horizontal="left" vertical="center"/>
    </xf>
    <xf numFmtId="0" fontId="8" fillId="0" borderId="32" xfId="6" applyFont="1" applyBorder="1" applyAlignment="1">
      <alignment horizontal="left" vertical="center"/>
    </xf>
    <xf numFmtId="0" fontId="51" fillId="0" borderId="1" xfId="0" applyFont="1" applyBorder="1" applyAlignment="1">
      <alignment horizontal="left" vertical="center" wrapText="1"/>
    </xf>
    <xf numFmtId="0" fontId="61" fillId="0" borderId="0" xfId="0" applyFont="1"/>
    <xf numFmtId="0" fontId="60" fillId="8" borderId="38" xfId="6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4" fontId="51" fillId="12" borderId="38" xfId="0" applyNumberFormat="1" applyFont="1" applyFill="1" applyBorder="1" applyAlignment="1">
      <alignment horizontal="right" vertical="center"/>
    </xf>
    <xf numFmtId="44" fontId="8" fillId="8" borderId="31" xfId="6" applyNumberFormat="1" applyFont="1" applyFill="1" applyBorder="1" applyAlignment="1">
      <alignment horizontal="right" vertical="center"/>
    </xf>
    <xf numFmtId="44" fontId="8" fillId="8" borderId="48" xfId="6" applyNumberFormat="1" applyFont="1" applyFill="1" applyBorder="1" applyAlignment="1">
      <alignment horizontal="right" vertical="center"/>
    </xf>
    <xf numFmtId="0" fontId="8" fillId="0" borderId="10" xfId="6" applyFont="1" applyBorder="1" applyAlignment="1">
      <alignment horizontal="left" vertical="center" wrapText="1"/>
    </xf>
    <xf numFmtId="0" fontId="8" fillId="0" borderId="10" xfId="6" applyFont="1" applyBorder="1" applyAlignment="1">
      <alignment horizontal="right" vertical="center"/>
    </xf>
    <xf numFmtId="0" fontId="8" fillId="0" borderId="6" xfId="6" applyFont="1" applyBorder="1" applyAlignment="1">
      <alignment horizontal="left" vertical="center" wrapText="1"/>
    </xf>
    <xf numFmtId="44" fontId="8" fillId="0" borderId="6" xfId="6" applyNumberFormat="1" applyFont="1" applyBorder="1" applyAlignment="1">
      <alignment horizontal="left" vertical="center"/>
    </xf>
    <xf numFmtId="0" fontId="56" fillId="18" borderId="20" xfId="6" applyFont="1" applyFill="1" applyBorder="1" applyAlignment="1">
      <alignment horizontal="center"/>
    </xf>
    <xf numFmtId="0" fontId="62" fillId="18" borderId="0" xfId="0" applyFont="1" applyFill="1"/>
    <xf numFmtId="49" fontId="54" fillId="18" borderId="1" xfId="0" applyNumberFormat="1" applyFont="1" applyFill="1" applyBorder="1" applyAlignment="1">
      <alignment horizontal="left" vertical="center"/>
    </xf>
    <xf numFmtId="49" fontId="56" fillId="18" borderId="1" xfId="6" applyNumberFormat="1" applyFont="1" applyFill="1" applyAlignment="1">
      <alignment horizontal="left" vertical="center"/>
    </xf>
    <xf numFmtId="14" fontId="60" fillId="8" borderId="37" xfId="6" applyNumberFormat="1" applyFont="1" applyFill="1" applyBorder="1" applyAlignment="1">
      <alignment horizontal="right" vertical="center"/>
    </xf>
    <xf numFmtId="44" fontId="60" fillId="8" borderId="29" xfId="6" applyNumberFormat="1" applyFont="1" applyFill="1" applyBorder="1" applyAlignment="1">
      <alignment horizontal="left" vertical="center"/>
    </xf>
    <xf numFmtId="44" fontId="60" fillId="8" borderId="34" xfId="6" applyNumberFormat="1" applyFont="1" applyFill="1" applyBorder="1" applyAlignment="1">
      <alignment horizontal="left" vertical="center"/>
    </xf>
    <xf numFmtId="1" fontId="52" fillId="8" borderId="53" xfId="2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0" fontId="10" fillId="0" borderId="1" xfId="0" applyFont="1" applyBorder="1"/>
    <xf numFmtId="49" fontId="6" fillId="0" borderId="1" xfId="0" applyNumberFormat="1" applyFont="1" applyBorder="1" applyAlignment="1">
      <alignment horizontal="center" vertical="center"/>
    </xf>
    <xf numFmtId="0" fontId="63" fillId="0" borderId="0" xfId="0" applyFont="1"/>
    <xf numFmtId="49" fontId="45" fillId="0" borderId="1" xfId="0" applyNumberFormat="1" applyFont="1" applyBorder="1" applyAlignment="1">
      <alignment horizontal="left" vertical="center"/>
    </xf>
    <xf numFmtId="49" fontId="64" fillId="0" borderId="1" xfId="0" applyNumberFormat="1" applyFont="1" applyBorder="1" applyAlignment="1">
      <alignment vertical="center"/>
    </xf>
    <xf numFmtId="0" fontId="45" fillId="0" borderId="1" xfId="0" applyFont="1" applyBorder="1"/>
    <xf numFmtId="1" fontId="45" fillId="0" borderId="1" xfId="0" applyNumberFormat="1" applyFont="1" applyBorder="1" applyAlignment="1">
      <alignment horizontal="right" vertical="top"/>
    </xf>
    <xf numFmtId="49" fontId="45" fillId="0" borderId="1" xfId="0" applyNumberFormat="1" applyFont="1" applyBorder="1"/>
    <xf numFmtId="0" fontId="64" fillId="0" borderId="1" xfId="0" applyFont="1" applyBorder="1" applyAlignment="1">
      <alignment vertical="center"/>
    </xf>
    <xf numFmtId="0" fontId="65" fillId="0" borderId="0" xfId="0" applyFont="1"/>
    <xf numFmtId="44" fontId="51" fillId="14" borderId="35" xfId="0" applyNumberFormat="1" applyFont="1" applyFill="1" applyBorder="1" applyAlignment="1">
      <alignment horizontal="right" vertical="center"/>
    </xf>
    <xf numFmtId="44" fontId="57" fillId="14" borderId="67" xfId="0" applyNumberFormat="1" applyFont="1" applyFill="1" applyBorder="1" applyAlignment="1">
      <alignment horizontal="left" vertical="center"/>
    </xf>
    <xf numFmtId="0" fontId="51" fillId="0" borderId="16" xfId="0" applyFont="1" applyBorder="1" applyAlignment="1">
      <alignment horizontal="left" vertical="center" wrapText="1"/>
    </xf>
    <xf numFmtId="0" fontId="51" fillId="12" borderId="72" xfId="0" applyFont="1" applyFill="1" applyBorder="1" applyAlignment="1">
      <alignment horizontal="left" vertical="center"/>
    </xf>
    <xf numFmtId="44" fontId="51" fillId="12" borderId="13" xfId="0" applyNumberFormat="1" applyFont="1" applyFill="1" applyBorder="1" applyAlignment="1">
      <alignment horizontal="left" vertical="center"/>
    </xf>
    <xf numFmtId="14" fontId="51" fillId="13" borderId="72" xfId="0" applyNumberFormat="1" applyFont="1" applyFill="1" applyBorder="1" applyAlignment="1">
      <alignment horizontal="right" vertical="center"/>
    </xf>
    <xf numFmtId="44" fontId="51" fillId="12" borderId="35" xfId="0" applyNumberFormat="1" applyFont="1" applyFill="1" applyBorder="1" applyAlignment="1">
      <alignment horizontal="left" vertical="center"/>
    </xf>
    <xf numFmtId="14" fontId="51" fillId="13" borderId="74" xfId="0" applyNumberFormat="1" applyFont="1" applyFill="1" applyBorder="1" applyAlignment="1">
      <alignment horizontal="left" vertical="center"/>
    </xf>
    <xf numFmtId="44" fontId="51" fillId="13" borderId="31" xfId="0" applyNumberFormat="1" applyFont="1" applyFill="1" applyBorder="1" applyAlignment="1">
      <alignment horizontal="left" vertical="center"/>
    </xf>
    <xf numFmtId="44" fontId="51" fillId="14" borderId="101" xfId="0" applyNumberFormat="1" applyFont="1" applyFill="1" applyBorder="1" applyAlignment="1">
      <alignment horizontal="left" vertical="center"/>
    </xf>
    <xf numFmtId="44" fontId="54" fillId="14" borderId="36" xfId="0" applyNumberFormat="1" applyFont="1" applyFill="1" applyBorder="1" applyAlignment="1">
      <alignment horizontal="left" vertical="center"/>
    </xf>
    <xf numFmtId="44" fontId="51" fillId="13" borderId="34" xfId="0" applyNumberFormat="1" applyFont="1" applyFill="1" applyBorder="1" applyAlignment="1">
      <alignment horizontal="left" vertical="center"/>
    </xf>
    <xf numFmtId="44" fontId="51" fillId="13" borderId="54" xfId="0" applyNumberFormat="1" applyFont="1" applyFill="1" applyBorder="1" applyAlignment="1">
      <alignment horizontal="left" vertical="center"/>
    </xf>
    <xf numFmtId="44" fontId="51" fillId="13" borderId="34" xfId="0" applyNumberFormat="1" applyFont="1" applyFill="1" applyBorder="1" applyAlignment="1">
      <alignment horizontal="right" vertical="center"/>
    </xf>
    <xf numFmtId="0" fontId="30" fillId="0" borderId="0" xfId="0" applyFont="1" applyAlignment="1">
      <alignment horizontal="center" vertical="center"/>
    </xf>
    <xf numFmtId="44" fontId="29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right" vertical="center"/>
    </xf>
    <xf numFmtId="44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9" borderId="50" xfId="6" applyFont="1" applyFill="1" applyBorder="1" applyAlignment="1">
      <alignment horizontal="right" vertical="center"/>
    </xf>
    <xf numFmtId="49" fontId="56" fillId="0" borderId="6" xfId="6" applyNumberFormat="1" applyFont="1" applyBorder="1" applyAlignment="1">
      <alignment horizontal="center" vertical="center"/>
    </xf>
    <xf numFmtId="44" fontId="56" fillId="0" borderId="40" xfId="6" applyNumberFormat="1" applyFont="1" applyBorder="1" applyAlignment="1">
      <alignment horizontal="right" vertical="center"/>
    </xf>
    <xf numFmtId="44" fontId="56" fillId="0" borderId="41" xfId="6" applyNumberFormat="1" applyFont="1" applyBorder="1" applyAlignment="1">
      <alignment horizontal="right" vertical="center"/>
    </xf>
    <xf numFmtId="14" fontId="8" fillId="9" borderId="37" xfId="6" applyNumberFormat="1" applyFont="1" applyFill="1" applyBorder="1" applyAlignment="1">
      <alignment horizontal="left" vertical="center"/>
    </xf>
    <xf numFmtId="44" fontId="51" fillId="14" borderId="102" xfId="0" applyNumberFormat="1" applyFont="1" applyFill="1" applyBorder="1" applyAlignment="1">
      <alignment horizontal="left" vertical="center"/>
    </xf>
    <xf numFmtId="44" fontId="51" fillId="14" borderId="31" xfId="0" applyNumberFormat="1" applyFont="1" applyFill="1" applyBorder="1" applyAlignment="1">
      <alignment horizontal="left" vertical="center"/>
    </xf>
    <xf numFmtId="14" fontId="8" fillId="9" borderId="50" xfId="6" applyNumberFormat="1" applyFont="1" applyFill="1" applyBorder="1" applyAlignment="1">
      <alignment horizontal="left" vertical="center"/>
    </xf>
    <xf numFmtId="44" fontId="54" fillId="12" borderId="5" xfId="0" applyNumberFormat="1" applyFont="1" applyFill="1" applyBorder="1" applyAlignment="1">
      <alignment horizontal="left" vertical="center"/>
    </xf>
    <xf numFmtId="49" fontId="53" fillId="0" borderId="103" xfId="2" applyNumberFormat="1" applyFont="1" applyBorder="1" applyAlignment="1">
      <alignment horizontal="left" vertical="center"/>
    </xf>
    <xf numFmtId="49" fontId="53" fillId="0" borderId="103" xfId="2" applyNumberFormat="1" applyFont="1" applyBorder="1" applyAlignment="1">
      <alignment horizontal="left"/>
    </xf>
    <xf numFmtId="4" fontId="53" fillId="0" borderId="103" xfId="2" applyNumberFormat="1" applyFont="1" applyBorder="1" applyAlignment="1">
      <alignment horizontal="right" vertical="center" wrapText="1"/>
    </xf>
    <xf numFmtId="14" fontId="53" fillId="0" borderId="103" xfId="2" applyNumberFormat="1" applyFont="1" applyBorder="1" applyAlignment="1">
      <alignment horizontal="right" vertical="center" wrapText="1"/>
    </xf>
    <xf numFmtId="0" fontId="0" fillId="0" borderId="103" xfId="0" applyBorder="1"/>
    <xf numFmtId="49" fontId="53" fillId="0" borderId="103" xfId="0" applyNumberFormat="1" applyFont="1" applyBorder="1" applyAlignment="1">
      <alignment horizontal="left" vertical="center"/>
    </xf>
    <xf numFmtId="49" fontId="44" fillId="0" borderId="103" xfId="0" applyNumberFormat="1" applyFont="1" applyBorder="1" applyAlignment="1">
      <alignment horizontal="left" vertical="center"/>
    </xf>
    <xf numFmtId="49" fontId="8" fillId="0" borderId="103" xfId="6" applyNumberFormat="1" applyFont="1" applyBorder="1" applyAlignment="1">
      <alignment horizontal="left" vertical="center"/>
    </xf>
    <xf numFmtId="49" fontId="8" fillId="0" borderId="103" xfId="6" applyNumberFormat="1" applyFont="1" applyBorder="1"/>
    <xf numFmtId="4" fontId="8" fillId="0" borderId="103" xfId="6" applyNumberFormat="1" applyFont="1" applyBorder="1" applyAlignment="1">
      <alignment horizontal="right" vertical="center" wrapText="1"/>
    </xf>
    <xf numFmtId="14" fontId="8" fillId="0" borderId="103" xfId="6" applyNumberFormat="1" applyFont="1" applyBorder="1" applyAlignment="1">
      <alignment horizontal="right" vertical="center" wrapText="1"/>
    </xf>
    <xf numFmtId="49" fontId="51" fillId="0" borderId="103" xfId="0" applyNumberFormat="1" applyFont="1" applyBorder="1" applyAlignment="1">
      <alignment horizontal="left" vertical="center"/>
    </xf>
    <xf numFmtId="49" fontId="51" fillId="0" borderId="103" xfId="0" applyNumberFormat="1" applyFont="1" applyBorder="1"/>
    <xf numFmtId="4" fontId="51" fillId="0" borderId="103" xfId="0" applyNumberFormat="1" applyFont="1" applyBorder="1" applyAlignment="1">
      <alignment horizontal="right" vertical="center" wrapText="1"/>
    </xf>
    <xf numFmtId="14" fontId="51" fillId="0" borderId="103" xfId="0" applyNumberFormat="1" applyFont="1" applyBorder="1" applyAlignment="1">
      <alignment horizontal="right" vertical="center" wrapText="1"/>
    </xf>
    <xf numFmtId="4" fontId="52" fillId="0" borderId="103" xfId="2" applyNumberFormat="1" applyFont="1" applyBorder="1" applyAlignment="1">
      <alignment vertical="center"/>
    </xf>
    <xf numFmtId="4" fontId="54" fillId="0" borderId="103" xfId="0" applyNumberFormat="1" applyFont="1" applyBorder="1"/>
    <xf numFmtId="4" fontId="54" fillId="0" borderId="103" xfId="0" applyNumberFormat="1" applyFont="1" applyBorder="1" applyAlignment="1">
      <alignment vertical="center"/>
    </xf>
    <xf numFmtId="0" fontId="0" fillId="21" borderId="103" xfId="0" applyFill="1" applyBorder="1"/>
    <xf numFmtId="14" fontId="53" fillId="21" borderId="103" xfId="2" applyNumberFormat="1" applyFont="1" applyFill="1" applyBorder="1" applyAlignment="1">
      <alignment horizontal="right" vertical="center" wrapText="1"/>
    </xf>
    <xf numFmtId="4" fontId="52" fillId="21" borderId="103" xfId="2" applyNumberFormat="1" applyFont="1" applyFill="1" applyBorder="1" applyAlignment="1">
      <alignment horizontal="right" vertical="center"/>
    </xf>
    <xf numFmtId="0" fontId="52" fillId="21" borderId="2" xfId="2" applyFont="1" applyFill="1" applyBorder="1" applyAlignment="1">
      <alignment horizontal="center" vertical="center"/>
    </xf>
    <xf numFmtId="4" fontId="52" fillId="21" borderId="2" xfId="2" applyNumberFormat="1" applyFont="1" applyFill="1" applyBorder="1" applyAlignment="1">
      <alignment horizontal="center" vertical="center" wrapText="1"/>
    </xf>
    <xf numFmtId="0" fontId="52" fillId="21" borderId="3" xfId="2" applyFont="1" applyFill="1" applyBorder="1" applyAlignment="1">
      <alignment horizontal="center" vertical="center"/>
    </xf>
    <xf numFmtId="1" fontId="52" fillId="21" borderId="19" xfId="2" applyNumberFormat="1" applyFont="1" applyFill="1" applyBorder="1" applyAlignment="1">
      <alignment horizontal="center" vertical="center"/>
    </xf>
    <xf numFmtId="1" fontId="52" fillId="21" borderId="7" xfId="2" applyNumberFormat="1" applyFont="1" applyFill="1" applyBorder="1" applyAlignment="1">
      <alignment horizontal="center" vertical="center"/>
    </xf>
    <xf numFmtId="0" fontId="53" fillId="0" borderId="103" xfId="2" applyFont="1" applyBorder="1"/>
    <xf numFmtId="1" fontId="6" fillId="0" borderId="103" xfId="0" applyNumberFormat="1" applyFont="1" applyBorder="1" applyAlignment="1">
      <alignment vertical="top"/>
    </xf>
    <xf numFmtId="0" fontId="8" fillId="0" borderId="103" xfId="6" applyFont="1" applyBorder="1"/>
    <xf numFmtId="0" fontId="51" fillId="0" borderId="103" xfId="0" applyFont="1" applyBorder="1"/>
    <xf numFmtId="49" fontId="53" fillId="0" borderId="103" xfId="2" applyNumberFormat="1" applyFont="1" applyBorder="1"/>
    <xf numFmtId="49" fontId="53" fillId="0" borderId="103" xfId="2" applyNumberFormat="1" applyFont="1" applyBorder="1" applyAlignment="1">
      <alignment vertical="center"/>
    </xf>
    <xf numFmtId="0" fontId="6" fillId="0" borderId="103" xfId="0" applyFont="1" applyBorder="1"/>
    <xf numFmtId="49" fontId="51" fillId="0" borderId="103" xfId="0" applyNumberFormat="1" applyFont="1" applyBorder="1" applyAlignment="1">
      <alignment vertical="center"/>
    </xf>
    <xf numFmtId="0" fontId="0" fillId="0" borderId="103" xfId="0" applyBorder="1" applyAlignment="1">
      <alignment horizontal="right"/>
    </xf>
    <xf numFmtId="0" fontId="0" fillId="21" borderId="1" xfId="0" applyFill="1" applyBorder="1"/>
    <xf numFmtId="0" fontId="0" fillId="0" borderId="0" xfId="0" applyAlignment="1">
      <alignment horizontal="right"/>
    </xf>
    <xf numFmtId="4" fontId="52" fillId="17" borderId="103" xfId="2" applyNumberFormat="1" applyFont="1" applyFill="1" applyBorder="1" applyAlignment="1">
      <alignment vertical="center"/>
    </xf>
    <xf numFmtId="0" fontId="51" fillId="0" borderId="104" xfId="0" applyFont="1" applyBorder="1" applyAlignment="1">
      <alignment horizontal="left" vertical="center" wrapText="1"/>
    </xf>
    <xf numFmtId="0" fontId="51" fillId="0" borderId="105" xfId="0" applyFont="1" applyBorder="1" applyAlignment="1">
      <alignment horizontal="left" vertical="center" wrapText="1"/>
    </xf>
    <xf numFmtId="44" fontId="51" fillId="12" borderId="52" xfId="0" applyNumberFormat="1" applyFont="1" applyFill="1" applyBorder="1" applyAlignment="1">
      <alignment horizontal="left" vertical="center"/>
    </xf>
    <xf numFmtId="0" fontId="51" fillId="13" borderId="72" xfId="0" applyFont="1" applyFill="1" applyBorder="1" applyAlignment="1">
      <alignment horizontal="left" vertical="center"/>
    </xf>
    <xf numFmtId="0" fontId="51" fillId="0" borderId="106" xfId="0" applyFont="1" applyBorder="1" applyAlignment="1">
      <alignment horizontal="left" vertical="center" wrapText="1"/>
    </xf>
    <xf numFmtId="1" fontId="0" fillId="0" borderId="0" xfId="0" applyNumberFormat="1"/>
    <xf numFmtId="14" fontId="44" fillId="0" borderId="0" xfId="0" applyNumberFormat="1" applyFont="1"/>
    <xf numFmtId="49" fontId="44" fillId="0" borderId="0" xfId="0" applyNumberFormat="1" applyFont="1" applyAlignment="1">
      <alignment horizontal="right"/>
    </xf>
    <xf numFmtId="49" fontId="65" fillId="19" borderId="6" xfId="6" applyNumberFormat="1" applyFont="1" applyFill="1" applyBorder="1" applyAlignment="1">
      <alignment horizontal="center" vertical="center"/>
    </xf>
    <xf numFmtId="14" fontId="6" fillId="0" borderId="0" xfId="0" applyNumberFormat="1" applyFont="1"/>
    <xf numFmtId="44" fontId="6" fillId="0" borderId="0" xfId="0" applyNumberFormat="1" applyFont="1"/>
    <xf numFmtId="0" fontId="14" fillId="0" borderId="0" xfId="0" applyFont="1" applyAlignment="1">
      <alignment horizontal="justify" vertical="center" wrapText="1"/>
    </xf>
    <xf numFmtId="0" fontId="44" fillId="0" borderId="0" xfId="0" applyFont="1" applyAlignment="1">
      <alignment horizontal="right"/>
    </xf>
    <xf numFmtId="1" fontId="44" fillId="0" borderId="0" xfId="0" applyNumberFormat="1" applyFont="1" applyAlignment="1">
      <alignment horizontal="right"/>
    </xf>
    <xf numFmtId="44" fontId="44" fillId="0" borderId="0" xfId="0" applyNumberFormat="1" applyFont="1" applyAlignment="1">
      <alignment horizontal="right"/>
    </xf>
    <xf numFmtId="8" fontId="44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53" fillId="21" borderId="2" xfId="0" applyNumberFormat="1" applyFont="1" applyFill="1" applyBorder="1" applyAlignment="1">
      <alignment horizontal="left" vertical="center"/>
    </xf>
    <xf numFmtId="49" fontId="53" fillId="21" borderId="2" xfId="2" applyNumberFormat="1" applyFont="1" applyFill="1" applyBorder="1" applyAlignment="1">
      <alignment horizontal="left"/>
    </xf>
    <xf numFmtId="0" fontId="53" fillId="21" borderId="2" xfId="2" applyFont="1" applyFill="1" applyBorder="1" applyAlignment="1">
      <alignment horizontal="left"/>
    </xf>
    <xf numFmtId="49" fontId="53" fillId="21" borderId="2" xfId="2" applyNumberFormat="1" applyFont="1" applyFill="1" applyBorder="1" applyAlignment="1">
      <alignment horizontal="left" vertical="center"/>
    </xf>
    <xf numFmtId="4" fontId="53" fillId="21" borderId="2" xfId="2" applyNumberFormat="1" applyFont="1" applyFill="1" applyBorder="1" applyAlignment="1">
      <alignment horizontal="right" vertical="center" wrapText="1"/>
    </xf>
    <xf numFmtId="14" fontId="53" fillId="21" borderId="2" xfId="2" applyNumberFormat="1" applyFont="1" applyFill="1" applyBorder="1" applyAlignment="1">
      <alignment horizontal="right" vertical="center" wrapText="1"/>
    </xf>
    <xf numFmtId="1" fontId="6" fillId="21" borderId="2" xfId="0" applyNumberFormat="1" applyFont="1" applyFill="1" applyBorder="1" applyAlignment="1">
      <alignment horizontal="right" vertical="top"/>
    </xf>
    <xf numFmtId="0" fontId="6" fillId="21" borderId="2" xfId="0" applyFont="1" applyFill="1" applyBorder="1"/>
    <xf numFmtId="49" fontId="8" fillId="21" borderId="2" xfId="6" applyNumberFormat="1" applyFont="1" applyFill="1" applyBorder="1" applyAlignment="1">
      <alignment horizontal="left" vertical="center"/>
    </xf>
    <xf numFmtId="49" fontId="8" fillId="21" borderId="2" xfId="6" applyNumberFormat="1" applyFont="1" applyFill="1" applyBorder="1"/>
    <xf numFmtId="0" fontId="8" fillId="21" borderId="4" xfId="6" applyFont="1" applyFill="1" applyBorder="1"/>
    <xf numFmtId="49" fontId="8" fillId="21" borderId="4" xfId="6" applyNumberFormat="1" applyFont="1" applyFill="1" applyBorder="1" applyAlignment="1">
      <alignment horizontal="right"/>
    </xf>
    <xf numFmtId="4" fontId="8" fillId="21" borderId="11" xfId="6" applyNumberFormat="1" applyFont="1" applyFill="1" applyBorder="1" applyAlignment="1">
      <alignment horizontal="right" vertical="center" wrapText="1"/>
    </xf>
    <xf numFmtId="4" fontId="8" fillId="21" borderId="12" xfId="6" applyNumberFormat="1" applyFont="1" applyFill="1" applyBorder="1" applyAlignment="1">
      <alignment horizontal="right" vertical="center" wrapText="1"/>
    </xf>
    <xf numFmtId="14" fontId="8" fillId="21" borderId="2" xfId="6" applyNumberFormat="1" applyFont="1" applyFill="1" applyBorder="1" applyAlignment="1">
      <alignment horizontal="right" vertical="center" wrapText="1"/>
    </xf>
    <xf numFmtId="168" fontId="0" fillId="0" borderId="0" xfId="0" applyNumberFormat="1"/>
    <xf numFmtId="0" fontId="53" fillId="21" borderId="16" xfId="2" applyFont="1" applyFill="1" applyBorder="1" applyAlignment="1">
      <alignment horizontal="left" vertical="center" wrapText="1"/>
    </xf>
    <xf numFmtId="14" fontId="53" fillId="21" borderId="28" xfId="2" applyNumberFormat="1" applyFont="1" applyFill="1" applyBorder="1" applyAlignment="1">
      <alignment horizontal="right" vertical="center"/>
    </xf>
    <xf numFmtId="44" fontId="53" fillId="21" borderId="29" xfId="2" applyNumberFormat="1" applyFont="1" applyFill="1" applyBorder="1" applyAlignment="1">
      <alignment horizontal="right" vertical="center"/>
    </xf>
    <xf numFmtId="44" fontId="53" fillId="21" borderId="34" xfId="2" applyNumberFormat="1" applyFont="1" applyFill="1" applyBorder="1" applyAlignment="1">
      <alignment horizontal="right" vertical="center"/>
    </xf>
    <xf numFmtId="14" fontId="53" fillId="21" borderId="37" xfId="2" applyNumberFormat="1" applyFont="1" applyFill="1" applyBorder="1" applyAlignment="1">
      <alignment horizontal="right" vertical="center"/>
    </xf>
    <xf numFmtId="44" fontId="53" fillId="21" borderId="45" xfId="2" applyNumberFormat="1" applyFont="1" applyFill="1" applyBorder="1" applyAlignment="1">
      <alignment horizontal="right" vertical="center"/>
    </xf>
    <xf numFmtId="14" fontId="53" fillId="21" borderId="37" xfId="2" applyNumberFormat="1" applyFont="1" applyFill="1" applyBorder="1" applyAlignment="1">
      <alignment vertical="center"/>
    </xf>
    <xf numFmtId="44" fontId="53" fillId="21" borderId="29" xfId="2" applyNumberFormat="1" applyFont="1" applyFill="1" applyBorder="1" applyAlignment="1">
      <alignment horizontal="left" vertical="center"/>
    </xf>
    <xf numFmtId="44" fontId="53" fillId="21" borderId="45" xfId="2" applyNumberFormat="1" applyFont="1" applyFill="1" applyBorder="1" applyAlignment="1">
      <alignment horizontal="left" vertical="center"/>
    </xf>
    <xf numFmtId="44" fontId="52" fillId="21" borderId="43" xfId="2" applyNumberFormat="1" applyFont="1" applyFill="1" applyBorder="1" applyAlignment="1">
      <alignment horizontal="left" vertical="center"/>
    </xf>
    <xf numFmtId="44" fontId="52" fillId="21" borderId="44" xfId="2" applyNumberFormat="1" applyFont="1" applyFill="1" applyBorder="1" applyAlignment="1">
      <alignment horizontal="left" vertical="center"/>
    </xf>
    <xf numFmtId="0" fontId="53" fillId="21" borderId="21" xfId="2" applyFont="1" applyFill="1" applyBorder="1" applyAlignment="1">
      <alignment horizontal="left" vertical="center" wrapText="1"/>
    </xf>
    <xf numFmtId="14" fontId="53" fillId="21" borderId="30" xfId="2" applyNumberFormat="1" applyFont="1" applyFill="1" applyBorder="1" applyAlignment="1">
      <alignment horizontal="right" vertical="center"/>
    </xf>
    <xf numFmtId="44" fontId="53" fillId="21" borderId="31" xfId="2" applyNumberFormat="1" applyFont="1" applyFill="1" applyBorder="1" applyAlignment="1">
      <alignment horizontal="right" vertical="center"/>
    </xf>
    <xf numFmtId="44" fontId="53" fillId="21" borderId="35" xfId="2" applyNumberFormat="1" applyFont="1" applyFill="1" applyBorder="1" applyAlignment="1">
      <alignment horizontal="right" vertical="center"/>
    </xf>
    <xf numFmtId="14" fontId="53" fillId="21" borderId="38" xfId="2" applyNumberFormat="1" applyFont="1" applyFill="1" applyBorder="1" applyAlignment="1">
      <alignment horizontal="right" vertical="center"/>
    </xf>
    <xf numFmtId="14" fontId="53" fillId="21" borderId="38" xfId="2" applyNumberFormat="1" applyFont="1" applyFill="1" applyBorder="1" applyAlignment="1">
      <alignment vertical="center"/>
    </xf>
    <xf numFmtId="44" fontId="53" fillId="21" borderId="31" xfId="2" applyNumberFormat="1" applyFont="1" applyFill="1" applyBorder="1" applyAlignment="1">
      <alignment horizontal="left" vertical="center"/>
    </xf>
    <xf numFmtId="44" fontId="53" fillId="21" borderId="35" xfId="2" applyNumberFormat="1" applyFont="1" applyFill="1" applyBorder="1" applyAlignment="1">
      <alignment horizontal="left" vertical="center"/>
    </xf>
    <xf numFmtId="0" fontId="53" fillId="21" borderId="26" xfId="2" applyFont="1" applyFill="1" applyBorder="1" applyAlignment="1">
      <alignment horizontal="left" vertical="center"/>
    </xf>
    <xf numFmtId="0" fontId="53" fillId="21" borderId="6" xfId="2" applyFont="1" applyFill="1" applyBorder="1" applyAlignment="1">
      <alignment horizontal="left" vertical="center"/>
    </xf>
    <xf numFmtId="14" fontId="53" fillId="21" borderId="47" xfId="2" applyNumberFormat="1" applyFont="1" applyFill="1" applyBorder="1" applyAlignment="1">
      <alignment horizontal="right" vertical="center"/>
    </xf>
    <xf numFmtId="44" fontId="53" fillId="21" borderId="48" xfId="2" applyNumberFormat="1" applyFont="1" applyFill="1" applyBorder="1" applyAlignment="1">
      <alignment horizontal="right" vertical="center"/>
    </xf>
    <xf numFmtId="44" fontId="53" fillId="21" borderId="49" xfId="2" applyNumberFormat="1" applyFont="1" applyFill="1" applyBorder="1" applyAlignment="1">
      <alignment horizontal="right" vertical="center"/>
    </xf>
    <xf numFmtId="14" fontId="53" fillId="21" borderId="50" xfId="2" applyNumberFormat="1" applyFont="1" applyFill="1" applyBorder="1" applyAlignment="1">
      <alignment horizontal="right" vertical="center"/>
    </xf>
    <xf numFmtId="14" fontId="53" fillId="21" borderId="50" xfId="2" applyNumberFormat="1" applyFont="1" applyFill="1" applyBorder="1" applyAlignment="1">
      <alignment vertical="center"/>
    </xf>
    <xf numFmtId="44" fontId="53" fillId="21" borderId="48" xfId="2" applyNumberFormat="1" applyFont="1" applyFill="1" applyBorder="1" applyAlignment="1">
      <alignment horizontal="left" vertical="center"/>
    </xf>
    <xf numFmtId="44" fontId="53" fillId="21" borderId="49" xfId="2" applyNumberFormat="1" applyFont="1" applyFill="1" applyBorder="1" applyAlignment="1">
      <alignment horizontal="left" vertical="center"/>
    </xf>
    <xf numFmtId="0" fontId="53" fillId="21" borderId="14" xfId="2" applyFont="1" applyFill="1" applyBorder="1" applyAlignment="1">
      <alignment horizontal="left" vertical="center"/>
    </xf>
    <xf numFmtId="0" fontId="53" fillId="21" borderId="1" xfId="2" applyFont="1" applyFill="1" applyAlignment="1">
      <alignment horizontal="left" vertical="center"/>
    </xf>
    <xf numFmtId="0" fontId="53" fillId="21" borderId="47" xfId="2" applyFont="1" applyFill="1" applyBorder="1" applyAlignment="1">
      <alignment horizontal="right" vertical="center"/>
    </xf>
    <xf numFmtId="44" fontId="52" fillId="21" borderId="48" xfId="2" applyNumberFormat="1" applyFont="1" applyFill="1" applyBorder="1" applyAlignment="1">
      <alignment horizontal="right" vertical="center"/>
    </xf>
    <xf numFmtId="44" fontId="52" fillId="21" borderId="49" xfId="2" applyNumberFormat="1" applyFont="1" applyFill="1" applyBorder="1" applyAlignment="1">
      <alignment horizontal="right" vertical="center"/>
    </xf>
    <xf numFmtId="4" fontId="53" fillId="21" borderId="48" xfId="2" applyNumberFormat="1" applyFont="1" applyFill="1" applyBorder="1" applyAlignment="1">
      <alignment horizontal="right" vertical="center"/>
    </xf>
    <xf numFmtId="4" fontId="53" fillId="21" borderId="49" xfId="2" applyNumberFormat="1" applyFont="1" applyFill="1" applyBorder="1" applyAlignment="1">
      <alignment horizontal="right" vertical="center"/>
    </xf>
    <xf numFmtId="14" fontId="53" fillId="21" borderId="50" xfId="2" applyNumberFormat="1" applyFont="1" applyFill="1" applyBorder="1" applyAlignment="1">
      <alignment horizontal="left" vertical="center"/>
    </xf>
    <xf numFmtId="0" fontId="53" fillId="21" borderId="15" xfId="2" applyFont="1" applyFill="1" applyBorder="1" applyAlignment="1">
      <alignment horizontal="left" vertical="center" wrapText="1"/>
    </xf>
    <xf numFmtId="0" fontId="53" fillId="21" borderId="50" xfId="2" applyFont="1" applyFill="1" applyBorder="1" applyAlignment="1">
      <alignment horizontal="left" vertical="center"/>
    </xf>
    <xf numFmtId="0" fontId="53" fillId="21" borderId="50" xfId="2" applyFont="1" applyFill="1" applyBorder="1" applyAlignment="1">
      <alignment horizontal="right" vertical="center"/>
    </xf>
    <xf numFmtId="44" fontId="52" fillId="21" borderId="48" xfId="2" applyNumberFormat="1" applyFont="1" applyFill="1" applyBorder="1" applyAlignment="1">
      <alignment horizontal="right"/>
    </xf>
    <xf numFmtId="44" fontId="52" fillId="21" borderId="49" xfId="2" applyNumberFormat="1" applyFont="1" applyFill="1" applyBorder="1" applyAlignment="1">
      <alignment horizontal="right"/>
    </xf>
    <xf numFmtId="0" fontId="53" fillId="21" borderId="17" xfId="2" applyFont="1" applyFill="1" applyBorder="1" applyAlignment="1">
      <alignment horizontal="left" vertical="center" wrapText="1"/>
    </xf>
    <xf numFmtId="0" fontId="53" fillId="21" borderId="32" xfId="2" applyFont="1" applyFill="1" applyBorder="1" applyAlignment="1">
      <alignment horizontal="right" vertical="center"/>
    </xf>
    <xf numFmtId="44" fontId="53" fillId="21" borderId="33" xfId="2" applyNumberFormat="1" applyFont="1" applyFill="1" applyBorder="1" applyAlignment="1">
      <alignment horizontal="right" vertical="center"/>
    </xf>
    <xf numFmtId="44" fontId="53" fillId="21" borderId="36" xfId="2" applyNumberFormat="1" applyFont="1" applyFill="1" applyBorder="1" applyAlignment="1">
      <alignment horizontal="right" vertical="center"/>
    </xf>
    <xf numFmtId="14" fontId="53" fillId="21" borderId="39" xfId="2" applyNumberFormat="1" applyFont="1" applyFill="1" applyBorder="1" applyAlignment="1">
      <alignment horizontal="right" vertical="center"/>
    </xf>
    <xf numFmtId="44" fontId="52" fillId="21" borderId="33" xfId="2" applyNumberFormat="1" applyFont="1" applyFill="1" applyBorder="1" applyAlignment="1">
      <alignment horizontal="right" vertical="center"/>
    </xf>
    <xf numFmtId="44" fontId="52" fillId="21" borderId="36" xfId="2" applyNumberFormat="1" applyFont="1" applyFill="1" applyBorder="1" applyAlignment="1">
      <alignment horizontal="right" vertical="center"/>
    </xf>
    <xf numFmtId="44" fontId="52" fillId="21" borderId="33" xfId="2" applyNumberFormat="1" applyFont="1" applyFill="1" applyBorder="1" applyAlignment="1">
      <alignment horizontal="left" vertical="center"/>
    </xf>
    <xf numFmtId="44" fontId="52" fillId="21" borderId="36" xfId="2" applyNumberFormat="1" applyFont="1" applyFill="1" applyBorder="1" applyAlignment="1">
      <alignment horizontal="left" vertical="center"/>
    </xf>
    <xf numFmtId="0" fontId="53" fillId="21" borderId="28" xfId="2" applyFont="1" applyFill="1" applyBorder="1" applyAlignment="1">
      <alignment horizontal="right" vertical="center"/>
    </xf>
    <xf numFmtId="0" fontId="53" fillId="21" borderId="30" xfId="2" applyFont="1" applyFill="1" applyBorder="1" applyAlignment="1">
      <alignment horizontal="right" vertical="center"/>
    </xf>
    <xf numFmtId="44" fontId="52" fillId="21" borderId="48" xfId="2" applyNumberFormat="1" applyFont="1" applyFill="1" applyBorder="1" applyAlignment="1">
      <alignment horizontal="left" vertical="center"/>
    </xf>
    <xf numFmtId="44" fontId="52" fillId="21" borderId="49" xfId="2" applyNumberFormat="1" applyFont="1" applyFill="1" applyBorder="1" applyAlignment="1">
      <alignment horizontal="left" vertical="center"/>
    </xf>
    <xf numFmtId="0" fontId="53" fillId="21" borderId="39" xfId="2" applyFont="1" applyFill="1" applyBorder="1" applyAlignment="1">
      <alignment horizontal="right" vertical="center"/>
    </xf>
    <xf numFmtId="49" fontId="44" fillId="21" borderId="2" xfId="0" applyNumberFormat="1" applyFont="1" applyFill="1" applyBorder="1" applyAlignment="1">
      <alignment horizontal="left" vertical="center"/>
    </xf>
    <xf numFmtId="49" fontId="53" fillId="21" borderId="1" xfId="2" applyNumberFormat="1" applyFont="1" applyFill="1" applyAlignment="1">
      <alignment horizontal="left" vertical="center"/>
    </xf>
    <xf numFmtId="49" fontId="53" fillId="21" borderId="1" xfId="2" applyNumberFormat="1" applyFont="1" applyFill="1" applyAlignment="1">
      <alignment horizontal="left"/>
    </xf>
    <xf numFmtId="0" fontId="53" fillId="21" borderId="1" xfId="2" applyFont="1" applyFill="1" applyAlignment="1">
      <alignment horizontal="left"/>
    </xf>
    <xf numFmtId="4" fontId="53" fillId="21" borderId="1" xfId="2" applyNumberFormat="1" applyFont="1" applyFill="1" applyAlignment="1">
      <alignment horizontal="right" vertical="center" wrapText="1"/>
    </xf>
    <xf numFmtId="14" fontId="53" fillId="21" borderId="1" xfId="2" applyNumberFormat="1" applyFont="1" applyFill="1" applyAlignment="1">
      <alignment horizontal="right" vertical="center" wrapText="1"/>
    </xf>
    <xf numFmtId="0" fontId="53" fillId="21" borderId="38" xfId="2" applyFont="1" applyFill="1" applyBorder="1" applyAlignment="1">
      <alignment horizontal="right" vertical="center"/>
    </xf>
    <xf numFmtId="0" fontId="51" fillId="21" borderId="14" xfId="0" applyFont="1" applyFill="1" applyBorder="1"/>
    <xf numFmtId="0" fontId="8" fillId="21" borderId="16" xfId="6" applyFont="1" applyFill="1" applyBorder="1" applyAlignment="1">
      <alignment horizontal="left" vertical="center" wrapText="1"/>
    </xf>
    <xf numFmtId="0" fontId="8" fillId="21" borderId="28" xfId="6" applyFont="1" applyFill="1" applyBorder="1" applyAlignment="1">
      <alignment horizontal="left" vertical="center"/>
    </xf>
    <xf numFmtId="44" fontId="8" fillId="21" borderId="29" xfId="6" applyNumberFormat="1" applyFont="1" applyFill="1" applyBorder="1" applyAlignment="1">
      <alignment horizontal="left" vertical="center"/>
    </xf>
    <xf numFmtId="44" fontId="8" fillId="21" borderId="34" xfId="6" applyNumberFormat="1" applyFont="1" applyFill="1" applyBorder="1" applyAlignment="1">
      <alignment horizontal="left" vertical="center"/>
    </xf>
    <xf numFmtId="0" fontId="8" fillId="21" borderId="37" xfId="6" applyFont="1" applyFill="1" applyBorder="1" applyAlignment="1">
      <alignment horizontal="left" vertical="center"/>
    </xf>
    <xf numFmtId="14" fontId="8" fillId="21" borderId="37" xfId="6" applyNumberFormat="1" applyFont="1" applyFill="1" applyBorder="1" applyAlignment="1">
      <alignment horizontal="right" vertical="center"/>
    </xf>
    <xf numFmtId="44" fontId="56" fillId="21" borderId="43" xfId="6" applyNumberFormat="1" applyFont="1" applyFill="1" applyBorder="1" applyAlignment="1">
      <alignment horizontal="left" vertical="center"/>
    </xf>
    <xf numFmtId="44" fontId="56" fillId="21" borderId="44" xfId="6" applyNumberFormat="1" applyFont="1" applyFill="1" applyBorder="1" applyAlignment="1">
      <alignment horizontal="left" vertical="center"/>
    </xf>
    <xf numFmtId="0" fontId="8" fillId="21" borderId="30" xfId="6" applyFont="1" applyFill="1" applyBorder="1" applyAlignment="1">
      <alignment horizontal="left" vertical="center"/>
    </xf>
    <xf numFmtId="44" fontId="8" fillId="21" borderId="31" xfId="6" applyNumberFormat="1" applyFont="1" applyFill="1" applyBorder="1" applyAlignment="1">
      <alignment horizontal="left" vertical="center"/>
    </xf>
    <xf numFmtId="44" fontId="8" fillId="21" borderId="35" xfId="6" applyNumberFormat="1" applyFont="1" applyFill="1" applyBorder="1" applyAlignment="1">
      <alignment horizontal="left" vertical="center"/>
    </xf>
    <xf numFmtId="0" fontId="8" fillId="21" borderId="38" xfId="6" applyFont="1" applyFill="1" applyBorder="1" applyAlignment="1">
      <alignment horizontal="left" vertical="center"/>
    </xf>
    <xf numFmtId="14" fontId="8" fillId="21" borderId="38" xfId="6" applyNumberFormat="1" applyFont="1" applyFill="1" applyBorder="1" applyAlignment="1">
      <alignment horizontal="right" vertical="center"/>
    </xf>
    <xf numFmtId="0" fontId="44" fillId="21" borderId="0" xfId="0" applyFont="1" applyFill="1"/>
    <xf numFmtId="49" fontId="8" fillId="21" borderId="1" xfId="6" applyNumberFormat="1" applyFont="1" applyFill="1"/>
    <xf numFmtId="4" fontId="8" fillId="21" borderId="1" xfId="6" applyNumberFormat="1" applyFont="1" applyFill="1" applyAlignment="1">
      <alignment horizontal="right" vertical="center" wrapText="1"/>
    </xf>
    <xf numFmtId="0" fontId="8" fillId="21" borderId="32" xfId="6" applyFont="1" applyFill="1" applyBorder="1" applyAlignment="1">
      <alignment horizontal="left" vertical="center"/>
    </xf>
    <xf numFmtId="44" fontId="8" fillId="21" borderId="33" xfId="6" applyNumberFormat="1" applyFont="1" applyFill="1" applyBorder="1" applyAlignment="1">
      <alignment horizontal="left" vertical="center"/>
    </xf>
    <xf numFmtId="44" fontId="8" fillId="21" borderId="36" xfId="6" applyNumberFormat="1" applyFont="1" applyFill="1" applyBorder="1" applyAlignment="1">
      <alignment horizontal="left" vertical="center"/>
    </xf>
    <xf numFmtId="0" fontId="8" fillId="21" borderId="39" xfId="6" applyFont="1" applyFill="1" applyBorder="1" applyAlignment="1">
      <alignment horizontal="left" vertical="center"/>
    </xf>
    <xf numFmtId="44" fontId="56" fillId="21" borderId="33" xfId="6" applyNumberFormat="1" applyFont="1" applyFill="1" applyBorder="1" applyAlignment="1">
      <alignment horizontal="left" vertical="center"/>
    </xf>
    <xf numFmtId="44" fontId="56" fillId="21" borderId="36" xfId="6" applyNumberFormat="1" applyFont="1" applyFill="1" applyBorder="1" applyAlignment="1">
      <alignment horizontal="left" vertical="center"/>
    </xf>
    <xf numFmtId="49" fontId="8" fillId="21" borderId="1" xfId="6" applyNumberFormat="1" applyFont="1" applyFill="1" applyAlignment="1">
      <alignment horizontal="left" vertical="center"/>
    </xf>
    <xf numFmtId="0" fontId="8" fillId="21" borderId="1" xfId="6" applyFont="1" applyFill="1"/>
    <xf numFmtId="49" fontId="8" fillId="21" borderId="1" xfId="6" applyNumberFormat="1" applyFont="1" applyFill="1" applyAlignment="1">
      <alignment horizontal="right"/>
    </xf>
    <xf numFmtId="14" fontId="8" fillId="21" borderId="1" xfId="6" applyNumberFormat="1" applyFont="1" applyFill="1" applyAlignment="1">
      <alignment horizontal="right" vertical="center" wrapText="1"/>
    </xf>
    <xf numFmtId="0" fontId="8" fillId="21" borderId="21" xfId="6" applyFont="1" applyFill="1" applyBorder="1" applyAlignment="1">
      <alignment horizontal="left" vertical="center" wrapText="1"/>
    </xf>
    <xf numFmtId="0" fontId="8" fillId="21" borderId="22" xfId="6" applyFont="1" applyFill="1" applyBorder="1" applyAlignment="1">
      <alignment horizontal="left" vertical="center" wrapText="1"/>
    </xf>
    <xf numFmtId="0" fontId="51" fillId="11" borderId="30" xfId="0" applyFont="1" applyFill="1" applyBorder="1" applyAlignment="1">
      <alignment horizontal="left" vertical="center"/>
    </xf>
    <xf numFmtId="44" fontId="51" fillId="11" borderId="13" xfId="0" applyNumberFormat="1" applyFont="1" applyFill="1" applyBorder="1" applyAlignment="1">
      <alignment horizontal="left" vertical="center"/>
    </xf>
    <xf numFmtId="44" fontId="51" fillId="11" borderId="52" xfId="0" applyNumberFormat="1" applyFont="1" applyFill="1" applyBorder="1" applyAlignment="1">
      <alignment horizontal="left" vertical="center"/>
    </xf>
    <xf numFmtId="44" fontId="51" fillId="14" borderId="52" xfId="0" applyNumberFormat="1" applyFont="1" applyFill="1" applyBorder="1" applyAlignment="1">
      <alignment horizontal="left" vertical="center"/>
    </xf>
    <xf numFmtId="44" fontId="54" fillId="12" borderId="71" xfId="0" applyNumberFormat="1" applyFont="1" applyFill="1" applyBorder="1" applyAlignment="1">
      <alignment horizontal="left" vertical="center"/>
    </xf>
    <xf numFmtId="44" fontId="51" fillId="12" borderId="101" xfId="0" applyNumberFormat="1" applyFont="1" applyFill="1" applyBorder="1" applyAlignment="1">
      <alignment horizontal="left" vertical="center"/>
    </xf>
    <xf numFmtId="4" fontId="51" fillId="0" borderId="107" xfId="0" applyNumberFormat="1" applyFont="1" applyBorder="1" applyAlignment="1">
      <alignment horizontal="right" vertical="center" wrapText="1"/>
    </xf>
    <xf numFmtId="44" fontId="54" fillId="12" borderId="36" xfId="0" applyNumberFormat="1" applyFont="1" applyFill="1" applyBorder="1"/>
    <xf numFmtId="44" fontId="8" fillId="21" borderId="45" xfId="6" applyNumberFormat="1" applyFont="1" applyFill="1" applyBorder="1" applyAlignment="1">
      <alignment horizontal="left" vertical="center"/>
    </xf>
    <xf numFmtId="0" fontId="8" fillId="21" borderId="86" xfId="6" applyFont="1" applyFill="1" applyBorder="1" applyAlignment="1">
      <alignment horizontal="left" vertical="center"/>
    </xf>
    <xf numFmtId="44" fontId="8" fillId="21" borderId="55" xfId="6" applyNumberFormat="1" applyFont="1" applyFill="1" applyBorder="1" applyAlignment="1">
      <alignment horizontal="left" vertical="center"/>
    </xf>
    <xf numFmtId="44" fontId="8" fillId="21" borderId="54" xfId="6" applyNumberFormat="1" applyFont="1" applyFill="1" applyBorder="1" applyAlignment="1">
      <alignment horizontal="left" vertical="center"/>
    </xf>
    <xf numFmtId="0" fontId="8" fillId="21" borderId="87" xfId="6" applyFont="1" applyFill="1" applyBorder="1" applyAlignment="1">
      <alignment horizontal="left" vertical="center"/>
    </xf>
    <xf numFmtId="44" fontId="56" fillId="21" borderId="26" xfId="6" applyNumberFormat="1" applyFont="1" applyFill="1" applyBorder="1" applyAlignment="1">
      <alignment horizontal="left" vertical="center"/>
    </xf>
    <xf numFmtId="44" fontId="56" fillId="21" borderId="6" xfId="6" applyNumberFormat="1" applyFont="1" applyFill="1" applyBorder="1" applyAlignment="1">
      <alignment horizontal="left" vertical="center"/>
    </xf>
    <xf numFmtId="0" fontId="8" fillId="21" borderId="14" xfId="6" applyFont="1" applyFill="1" applyBorder="1" applyAlignment="1">
      <alignment horizontal="left" vertical="center"/>
    </xf>
    <xf numFmtId="0" fontId="8" fillId="21" borderId="1" xfId="6" applyFont="1" applyFill="1" applyAlignment="1">
      <alignment horizontal="left" vertical="center"/>
    </xf>
    <xf numFmtId="0" fontId="8" fillId="21" borderId="42" xfId="6" applyFont="1" applyFill="1" applyBorder="1" applyAlignment="1">
      <alignment horizontal="left" vertical="center"/>
    </xf>
    <xf numFmtId="0" fontId="8" fillId="21" borderId="10" xfId="6" applyFont="1" applyFill="1" applyBorder="1" applyAlignment="1">
      <alignment horizontal="left" vertical="center"/>
    </xf>
    <xf numFmtId="44" fontId="51" fillId="14" borderId="34" xfId="0" applyNumberFormat="1" applyFont="1" applyFill="1" applyBorder="1" applyAlignment="1">
      <alignment horizontal="left" vertical="center"/>
    </xf>
    <xf numFmtId="44" fontId="51" fillId="12" borderId="102" xfId="0" applyNumberFormat="1" applyFont="1" applyFill="1" applyBorder="1" applyAlignment="1">
      <alignment horizontal="left" vertical="center"/>
    </xf>
    <xf numFmtId="44" fontId="54" fillId="0" borderId="108" xfId="0" applyNumberFormat="1" applyFont="1" applyBorder="1" applyAlignment="1">
      <alignment horizontal="right" vertical="center"/>
    </xf>
    <xf numFmtId="44" fontId="54" fillId="0" borderId="6" xfId="0" applyNumberFormat="1" applyFont="1" applyBorder="1" applyAlignment="1">
      <alignment horizontal="right" vertical="center"/>
    </xf>
    <xf numFmtId="44" fontId="54" fillId="0" borderId="1" xfId="0" applyNumberFormat="1" applyFont="1" applyBorder="1" applyAlignment="1">
      <alignment horizontal="right" vertical="center"/>
    </xf>
    <xf numFmtId="14" fontId="51" fillId="0" borderId="9" xfId="0" applyNumberFormat="1" applyFont="1" applyBorder="1" applyAlignment="1">
      <alignment horizontal="right" vertical="center" wrapText="1"/>
    </xf>
    <xf numFmtId="0" fontId="51" fillId="12" borderId="30" xfId="0" applyFont="1" applyFill="1" applyBorder="1" applyAlignment="1">
      <alignment horizontal="left" vertical="center"/>
    </xf>
    <xf numFmtId="44" fontId="51" fillId="12" borderId="49" xfId="0" applyNumberFormat="1" applyFont="1" applyFill="1" applyBorder="1" applyAlignment="1">
      <alignment horizontal="left" vertical="center"/>
    </xf>
    <xf numFmtId="44" fontId="54" fillId="13" borderId="75" xfId="0" applyNumberFormat="1" applyFont="1" applyFill="1" applyBorder="1" applyAlignment="1">
      <alignment horizontal="left" vertical="center"/>
    </xf>
    <xf numFmtId="44" fontId="54" fillId="14" borderId="49" xfId="0" applyNumberFormat="1" applyFont="1" applyFill="1" applyBorder="1" applyAlignment="1">
      <alignment horizontal="left" vertical="center"/>
    </xf>
    <xf numFmtId="14" fontId="51" fillId="12" borderId="109" xfId="0" applyNumberFormat="1" applyFont="1" applyFill="1" applyBorder="1" applyAlignment="1">
      <alignment horizontal="right" vertical="center"/>
    </xf>
    <xf numFmtId="44" fontId="51" fillId="12" borderId="110" xfId="0" applyNumberFormat="1" applyFont="1" applyFill="1" applyBorder="1" applyAlignment="1">
      <alignment horizontal="left" vertical="center"/>
    </xf>
    <xf numFmtId="44" fontId="51" fillId="12" borderId="93" xfId="0" applyNumberFormat="1" applyFont="1" applyFill="1" applyBorder="1" applyAlignment="1">
      <alignment horizontal="left" vertical="center"/>
    </xf>
    <xf numFmtId="14" fontId="51" fillId="13" borderId="111" xfId="0" applyNumberFormat="1" applyFont="1" applyFill="1" applyBorder="1" applyAlignment="1">
      <alignment horizontal="right" vertical="center"/>
    </xf>
    <xf numFmtId="44" fontId="51" fillId="13" borderId="112" xfId="0" applyNumberFormat="1" applyFont="1" applyFill="1" applyBorder="1" applyAlignment="1">
      <alignment horizontal="left" vertical="center"/>
    </xf>
    <xf numFmtId="14" fontId="51" fillId="14" borderId="113" xfId="0" applyNumberFormat="1" applyFont="1" applyFill="1" applyBorder="1" applyAlignment="1">
      <alignment horizontal="right" vertical="center"/>
    </xf>
    <xf numFmtId="44" fontId="51" fillId="14" borderId="112" xfId="0" applyNumberFormat="1" applyFont="1" applyFill="1" applyBorder="1" applyAlignment="1">
      <alignment horizontal="left" vertical="center"/>
    </xf>
    <xf numFmtId="44" fontId="51" fillId="14" borderId="115" xfId="0" applyNumberFormat="1" applyFont="1" applyFill="1" applyBorder="1" applyAlignment="1">
      <alignment horizontal="right" vertical="center"/>
    </xf>
    <xf numFmtId="4" fontId="51" fillId="14" borderId="82" xfId="0" applyNumberFormat="1" applyFont="1" applyFill="1" applyBorder="1" applyAlignment="1">
      <alignment horizontal="left" vertical="center"/>
    </xf>
    <xf numFmtId="44" fontId="51" fillId="14" borderId="54" xfId="0" applyNumberFormat="1" applyFont="1" applyFill="1" applyBorder="1" applyAlignment="1">
      <alignment horizontal="right" vertical="center"/>
    </xf>
    <xf numFmtId="4" fontId="51" fillId="14" borderId="54" xfId="0" applyNumberFormat="1" applyFont="1" applyFill="1" applyBorder="1" applyAlignment="1">
      <alignment horizontal="left" vertical="center"/>
    </xf>
    <xf numFmtId="44" fontId="54" fillId="0" borderId="116" xfId="0" applyNumberFormat="1" applyFont="1" applyBorder="1" applyAlignment="1">
      <alignment horizontal="left" vertical="center"/>
    </xf>
    <xf numFmtId="44" fontId="54" fillId="0" borderId="2" xfId="0" applyNumberFormat="1" applyFont="1" applyBorder="1" applyAlignment="1">
      <alignment horizontal="right" vertical="center"/>
    </xf>
    <xf numFmtId="44" fontId="51" fillId="14" borderId="54" xfId="0" applyNumberFormat="1" applyFont="1" applyFill="1" applyBorder="1" applyAlignment="1">
      <alignment horizontal="left" vertical="center"/>
    </xf>
    <xf numFmtId="44" fontId="51" fillId="14" borderId="114" xfId="0" applyNumberFormat="1" applyFont="1" applyFill="1" applyBorder="1" applyAlignment="1">
      <alignment horizontal="left" vertical="center"/>
    </xf>
    <xf numFmtId="0" fontId="51" fillId="12" borderId="30" xfId="0" applyFont="1" applyFill="1" applyBorder="1" applyAlignment="1">
      <alignment horizontal="right" vertical="center"/>
    </xf>
    <xf numFmtId="4" fontId="51" fillId="12" borderId="13" xfId="0" applyNumberFormat="1" applyFont="1" applyFill="1" applyBorder="1" applyAlignment="1">
      <alignment horizontal="left" vertical="center"/>
    </xf>
    <xf numFmtId="4" fontId="51" fillId="12" borderId="52" xfId="0" applyNumberFormat="1" applyFont="1" applyFill="1" applyBorder="1" applyAlignment="1">
      <alignment horizontal="left" vertical="center"/>
    </xf>
    <xf numFmtId="0" fontId="51" fillId="14" borderId="38" xfId="0" applyFont="1" applyFill="1" applyBorder="1" applyAlignment="1">
      <alignment horizontal="right" vertical="center"/>
    </xf>
    <xf numFmtId="4" fontId="51" fillId="14" borderId="94" xfId="0" applyNumberFormat="1" applyFont="1" applyFill="1" applyBorder="1" applyAlignment="1">
      <alignment horizontal="left" vertical="center"/>
    </xf>
    <xf numFmtId="4" fontId="51" fillId="14" borderId="35" xfId="0" applyNumberFormat="1" applyFont="1" applyFill="1" applyBorder="1" applyAlignment="1">
      <alignment horizontal="left" vertical="center"/>
    </xf>
    <xf numFmtId="0" fontId="51" fillId="12" borderId="32" xfId="0" applyFont="1" applyFill="1" applyBorder="1" applyAlignment="1">
      <alignment horizontal="right" vertical="center"/>
    </xf>
    <xf numFmtId="14" fontId="51" fillId="14" borderId="39" xfId="0" applyNumberFormat="1" applyFont="1" applyFill="1" applyBorder="1" applyAlignment="1">
      <alignment horizontal="right" vertical="center"/>
    </xf>
    <xf numFmtId="44" fontId="54" fillId="14" borderId="96" xfId="0" applyNumberFormat="1" applyFont="1" applyFill="1" applyBorder="1" applyAlignment="1">
      <alignment horizontal="left" vertical="center"/>
    </xf>
    <xf numFmtId="0" fontId="51" fillId="0" borderId="17" xfId="0" applyFont="1" applyBorder="1" applyAlignment="1">
      <alignment horizontal="left" vertical="center" wrapText="1"/>
    </xf>
    <xf numFmtId="49" fontId="6" fillId="20" borderId="2" xfId="0" applyNumberFormat="1" applyFont="1" applyFill="1" applyBorder="1" applyAlignment="1">
      <alignment horizontal="left" vertical="center"/>
    </xf>
    <xf numFmtId="49" fontId="6" fillId="20" borderId="2" xfId="0" applyNumberFormat="1" applyFont="1" applyFill="1" applyBorder="1"/>
    <xf numFmtId="0" fontId="51" fillId="20" borderId="2" xfId="0" applyFont="1" applyFill="1" applyBorder="1"/>
    <xf numFmtId="49" fontId="51" fillId="20" borderId="2" xfId="0" applyNumberFormat="1" applyFont="1" applyFill="1" applyBorder="1" applyAlignment="1">
      <alignment horizontal="right" vertical="center"/>
    </xf>
    <xf numFmtId="4" fontId="51" fillId="20" borderId="2" xfId="0" applyNumberFormat="1" applyFont="1" applyFill="1" applyBorder="1" applyAlignment="1">
      <alignment horizontal="right" vertical="center" wrapText="1"/>
    </xf>
    <xf numFmtId="14" fontId="51" fillId="20" borderId="2" xfId="0" applyNumberFormat="1" applyFont="1" applyFill="1" applyBorder="1" applyAlignment="1">
      <alignment horizontal="right" vertical="center" wrapText="1"/>
    </xf>
    <xf numFmtId="49" fontId="51" fillId="21" borderId="2" xfId="0" applyNumberFormat="1" applyFont="1" applyFill="1" applyBorder="1" applyAlignment="1">
      <alignment horizontal="left" vertical="center"/>
    </xf>
    <xf numFmtId="49" fontId="51" fillId="21" borderId="3" xfId="0" applyNumberFormat="1" applyFont="1" applyFill="1" applyBorder="1"/>
    <xf numFmtId="0" fontId="51" fillId="21" borderId="9" xfId="0" applyFont="1" applyFill="1" applyBorder="1"/>
    <xf numFmtId="49" fontId="51" fillId="21" borderId="4" xfId="0" applyNumberFormat="1" applyFont="1" applyFill="1" applyBorder="1" applyAlignment="1">
      <alignment horizontal="right"/>
    </xf>
    <xf numFmtId="4" fontId="51" fillId="21" borderId="11" xfId="0" applyNumberFormat="1" applyFont="1" applyFill="1" applyBorder="1" applyAlignment="1">
      <alignment horizontal="right" vertical="center" wrapText="1"/>
    </xf>
    <xf numFmtId="4" fontId="51" fillId="21" borderId="3" xfId="0" applyNumberFormat="1" applyFont="1" applyFill="1" applyBorder="1" applyAlignment="1">
      <alignment horizontal="right" vertical="center" wrapText="1"/>
    </xf>
    <xf numFmtId="14" fontId="51" fillId="21" borderId="3" xfId="0" applyNumberFormat="1" applyFont="1" applyFill="1" applyBorder="1" applyAlignment="1">
      <alignment horizontal="right" vertical="center" wrapText="1"/>
    </xf>
    <xf numFmtId="44" fontId="51" fillId="14" borderId="29" xfId="0" applyNumberFormat="1" applyFont="1" applyFill="1" applyBorder="1" applyAlignment="1">
      <alignment horizontal="left" vertical="center"/>
    </xf>
    <xf numFmtId="49" fontId="8" fillId="21" borderId="2" xfId="6" applyNumberFormat="1" applyFont="1" applyFill="1" applyBorder="1" applyAlignment="1">
      <alignment horizontal="right"/>
    </xf>
    <xf numFmtId="0" fontId="8" fillId="21" borderId="26" xfId="6" applyFont="1" applyFill="1" applyBorder="1" applyAlignment="1">
      <alignment horizontal="left" vertical="center"/>
    </xf>
    <xf numFmtId="0" fontId="8" fillId="21" borderId="6" xfId="6" applyFont="1" applyFill="1" applyBorder="1" applyAlignment="1">
      <alignment horizontal="left" vertical="center"/>
    </xf>
    <xf numFmtId="0" fontId="8" fillId="21" borderId="47" xfId="6" applyFont="1" applyFill="1" applyBorder="1" applyAlignment="1">
      <alignment horizontal="left" vertical="center"/>
    </xf>
    <xf numFmtId="44" fontId="8" fillId="21" borderId="48" xfId="6" applyNumberFormat="1" applyFont="1" applyFill="1" applyBorder="1" applyAlignment="1">
      <alignment horizontal="left" vertical="center"/>
    </xf>
    <xf numFmtId="44" fontId="8" fillId="21" borderId="49" xfId="6" applyNumberFormat="1" applyFont="1" applyFill="1" applyBorder="1" applyAlignment="1">
      <alignment horizontal="left" vertical="center"/>
    </xf>
    <xf numFmtId="0" fontId="8" fillId="21" borderId="50" xfId="6" applyFont="1" applyFill="1" applyBorder="1" applyAlignment="1">
      <alignment horizontal="left" vertical="center"/>
    </xf>
    <xf numFmtId="0" fontId="8" fillId="21" borderId="15" xfId="6" applyFont="1" applyFill="1" applyBorder="1" applyAlignment="1">
      <alignment horizontal="left" vertical="center" wrapText="1"/>
    </xf>
    <xf numFmtId="49" fontId="6" fillId="0" borderId="2" xfId="6" applyNumberFormat="1" applyFont="1" applyBorder="1" applyAlignment="1">
      <alignment horizontal="left" vertical="center"/>
    </xf>
    <xf numFmtId="49" fontId="6" fillId="0" borderId="2" xfId="6" applyNumberFormat="1" applyFont="1" applyBorder="1"/>
    <xf numFmtId="0" fontId="6" fillId="0" borderId="4" xfId="6" applyFont="1" applyBorder="1"/>
    <xf numFmtId="49" fontId="6" fillId="0" borderId="4" xfId="6" applyNumberFormat="1" applyFont="1" applyBorder="1" applyAlignment="1">
      <alignment horizontal="right"/>
    </xf>
    <xf numFmtId="4" fontId="6" fillId="0" borderId="11" xfId="6" applyNumberFormat="1" applyFont="1" applyBorder="1" applyAlignment="1">
      <alignment horizontal="right" vertical="center" wrapText="1"/>
    </xf>
    <xf numFmtId="4" fontId="6" fillId="0" borderId="12" xfId="6" applyNumberFormat="1" applyFont="1" applyBorder="1" applyAlignment="1">
      <alignment horizontal="right" vertical="center" wrapText="1"/>
    </xf>
    <xf numFmtId="14" fontId="6" fillId="0" borderId="2" xfId="6" applyNumberFormat="1" applyFont="1" applyBorder="1" applyAlignment="1">
      <alignment horizontal="right" vertical="center" wrapText="1"/>
    </xf>
    <xf numFmtId="0" fontId="53" fillId="21" borderId="26" xfId="2" applyFont="1" applyFill="1" applyBorder="1" applyAlignment="1">
      <alignment vertical="center"/>
    </xf>
    <xf numFmtId="0" fontId="53" fillId="21" borderId="6" xfId="2" applyFont="1" applyFill="1" applyBorder="1" applyAlignment="1">
      <alignment vertical="center"/>
    </xf>
    <xf numFmtId="49" fontId="53" fillId="22" borderId="2" xfId="2" applyNumberFormat="1" applyFont="1" applyFill="1" applyBorder="1" applyAlignment="1">
      <alignment horizontal="left" vertical="center"/>
    </xf>
    <xf numFmtId="49" fontId="53" fillId="22" borderId="2" xfId="2" applyNumberFormat="1" applyFont="1" applyFill="1" applyBorder="1" applyAlignment="1">
      <alignment horizontal="left"/>
    </xf>
    <xf numFmtId="0" fontId="53" fillId="22" borderId="4" xfId="2" applyFont="1" applyFill="1" applyBorder="1" applyAlignment="1">
      <alignment horizontal="left"/>
    </xf>
    <xf numFmtId="49" fontId="53" fillId="22" borderId="4" xfId="2" applyNumberFormat="1" applyFont="1" applyFill="1" applyBorder="1" applyAlignment="1">
      <alignment horizontal="left"/>
    </xf>
    <xf numFmtId="4" fontId="53" fillId="22" borderId="4" xfId="2" applyNumberFormat="1" applyFont="1" applyFill="1" applyBorder="1" applyAlignment="1">
      <alignment horizontal="right" vertical="center" wrapText="1"/>
    </xf>
    <xf numFmtId="4" fontId="53" fillId="22" borderId="2" xfId="2" applyNumberFormat="1" applyFont="1" applyFill="1" applyBorder="1" applyAlignment="1">
      <alignment horizontal="right" vertical="center" wrapText="1"/>
    </xf>
    <xf numFmtId="14" fontId="53" fillId="22" borderId="2" xfId="2" applyNumberFormat="1" applyFont="1" applyFill="1" applyBorder="1" applyAlignment="1">
      <alignment horizontal="right" vertical="center" wrapText="1"/>
    </xf>
    <xf numFmtId="0" fontId="53" fillId="22" borderId="16" xfId="2" applyFont="1" applyFill="1" applyBorder="1" applyAlignment="1">
      <alignment horizontal="left" vertical="center" wrapText="1"/>
    </xf>
    <xf numFmtId="0" fontId="53" fillId="22" borderId="28" xfId="2" applyFont="1" applyFill="1" applyBorder="1" applyAlignment="1">
      <alignment horizontal="right" vertical="center"/>
    </xf>
    <xf numFmtId="44" fontId="53" fillId="22" borderId="29" xfId="2" applyNumberFormat="1" applyFont="1" applyFill="1" applyBorder="1" applyAlignment="1">
      <alignment horizontal="right" vertical="center"/>
    </xf>
    <xf numFmtId="44" fontId="53" fillId="22" borderId="34" xfId="2" applyNumberFormat="1" applyFont="1" applyFill="1" applyBorder="1" applyAlignment="1">
      <alignment horizontal="right" vertical="center"/>
    </xf>
    <xf numFmtId="14" fontId="53" fillId="22" borderId="37" xfId="2" applyNumberFormat="1" applyFont="1" applyFill="1" applyBorder="1" applyAlignment="1">
      <alignment horizontal="right" vertical="center"/>
    </xf>
    <xf numFmtId="44" fontId="53" fillId="22" borderId="45" xfId="2" applyNumberFormat="1" applyFont="1" applyFill="1" applyBorder="1" applyAlignment="1">
      <alignment horizontal="right" vertical="center"/>
    </xf>
    <xf numFmtId="44" fontId="53" fillId="22" borderId="29" xfId="2" applyNumberFormat="1" applyFont="1" applyFill="1" applyBorder="1" applyAlignment="1">
      <alignment horizontal="left" vertical="center"/>
    </xf>
    <xf numFmtId="44" fontId="52" fillId="22" borderId="43" xfId="2" applyNumberFormat="1" applyFont="1" applyFill="1" applyBorder="1" applyAlignment="1">
      <alignment horizontal="left" vertical="center"/>
    </xf>
    <xf numFmtId="44" fontId="52" fillId="22" borderId="44" xfId="2" applyNumberFormat="1" applyFont="1" applyFill="1" applyBorder="1" applyAlignment="1">
      <alignment horizontal="left" vertical="center"/>
    </xf>
    <xf numFmtId="49" fontId="53" fillId="22" borderId="1" xfId="2" applyNumberFormat="1" applyFont="1" applyFill="1" applyAlignment="1">
      <alignment horizontal="left"/>
    </xf>
    <xf numFmtId="0" fontId="53" fillId="22" borderId="1" xfId="2" applyFont="1" applyFill="1" applyAlignment="1">
      <alignment horizontal="left"/>
    </xf>
    <xf numFmtId="4" fontId="53" fillId="22" borderId="1" xfId="2" applyNumberFormat="1" applyFont="1" applyFill="1" applyAlignment="1">
      <alignment horizontal="right" vertical="center" wrapText="1"/>
    </xf>
    <xf numFmtId="14" fontId="53" fillId="22" borderId="1" xfId="2" applyNumberFormat="1" applyFont="1" applyFill="1" applyAlignment="1">
      <alignment horizontal="right" vertical="center" wrapText="1"/>
    </xf>
    <xf numFmtId="0" fontId="53" fillId="22" borderId="21" xfId="2" applyFont="1" applyFill="1" applyBorder="1" applyAlignment="1">
      <alignment horizontal="left" vertical="center" wrapText="1"/>
    </xf>
    <xf numFmtId="0" fontId="53" fillId="22" borderId="30" xfId="2" applyFont="1" applyFill="1" applyBorder="1" applyAlignment="1">
      <alignment horizontal="right" vertical="center"/>
    </xf>
    <xf numFmtId="44" fontId="53" fillId="22" borderId="31" xfId="2" applyNumberFormat="1" applyFont="1" applyFill="1" applyBorder="1" applyAlignment="1">
      <alignment horizontal="right" vertical="center"/>
    </xf>
    <xf numFmtId="44" fontId="53" fillId="22" borderId="35" xfId="2" applyNumberFormat="1" applyFont="1" applyFill="1" applyBorder="1" applyAlignment="1">
      <alignment horizontal="right" vertical="center"/>
    </xf>
    <xf numFmtId="0" fontId="53" fillId="22" borderId="38" xfId="2" applyFont="1" applyFill="1" applyBorder="1" applyAlignment="1">
      <alignment horizontal="right" vertical="center"/>
    </xf>
    <xf numFmtId="14" fontId="53" fillId="22" borderId="50" xfId="2" applyNumberFormat="1" applyFont="1" applyFill="1" applyBorder="1" applyAlignment="1">
      <alignment horizontal="right" vertical="center"/>
    </xf>
    <xf numFmtId="44" fontId="53" fillId="22" borderId="48" xfId="2" applyNumberFormat="1" applyFont="1" applyFill="1" applyBorder="1" applyAlignment="1">
      <alignment horizontal="right" vertical="center"/>
    </xf>
    <xf numFmtId="44" fontId="53" fillId="22" borderId="49" xfId="2" applyNumberFormat="1" applyFont="1" applyFill="1" applyBorder="1" applyAlignment="1">
      <alignment horizontal="right" vertical="center"/>
    </xf>
    <xf numFmtId="44" fontId="53" fillId="22" borderId="48" xfId="2" applyNumberFormat="1" applyFont="1" applyFill="1" applyBorder="1" applyAlignment="1">
      <alignment horizontal="left" vertical="center"/>
    </xf>
    <xf numFmtId="44" fontId="53" fillId="22" borderId="49" xfId="2" applyNumberFormat="1" applyFont="1" applyFill="1" applyBorder="1" applyAlignment="1">
      <alignment horizontal="left" vertical="center"/>
    </xf>
    <xf numFmtId="0" fontId="53" fillId="22" borderId="26" xfId="2" applyFont="1" applyFill="1" applyBorder="1" applyAlignment="1">
      <alignment horizontal="left" vertical="center"/>
    </xf>
    <xf numFmtId="0" fontId="53" fillId="22" borderId="6" xfId="2" applyFont="1" applyFill="1" applyBorder="1" applyAlignment="1">
      <alignment horizontal="left" vertical="center"/>
    </xf>
    <xf numFmtId="49" fontId="53" fillId="22" borderId="1" xfId="2" applyNumberFormat="1" applyFont="1" applyFill="1" applyAlignment="1">
      <alignment horizontal="left" vertical="center"/>
    </xf>
    <xf numFmtId="0" fontId="53" fillId="22" borderId="47" xfId="2" applyFont="1" applyFill="1" applyBorder="1" applyAlignment="1">
      <alignment horizontal="right" vertical="center"/>
    </xf>
    <xf numFmtId="0" fontId="53" fillId="22" borderId="50" xfId="2" applyFont="1" applyFill="1" applyBorder="1" applyAlignment="1">
      <alignment horizontal="right" vertical="center"/>
    </xf>
    <xf numFmtId="0" fontId="53" fillId="22" borderId="14" xfId="2" applyFont="1" applyFill="1" applyBorder="1" applyAlignment="1">
      <alignment horizontal="left" vertical="center"/>
    </xf>
    <xf numFmtId="0" fontId="53" fillId="22" borderId="1" xfId="2" applyFont="1" applyFill="1" applyAlignment="1">
      <alignment horizontal="left" vertical="center"/>
    </xf>
    <xf numFmtId="0" fontId="51" fillId="22" borderId="0" xfId="0" applyFont="1" applyFill="1"/>
    <xf numFmtId="14" fontId="53" fillId="22" borderId="38" xfId="2" applyNumberFormat="1" applyFont="1" applyFill="1" applyBorder="1" applyAlignment="1">
      <alignment horizontal="right" vertical="center"/>
    </xf>
    <xf numFmtId="44" fontId="53" fillId="22" borderId="31" xfId="2" applyNumberFormat="1" applyFont="1" applyFill="1" applyBorder="1" applyAlignment="1">
      <alignment horizontal="left" vertical="center"/>
    </xf>
    <xf numFmtId="0" fontId="51" fillId="22" borderId="14" xfId="0" applyFont="1" applyFill="1" applyBorder="1"/>
    <xf numFmtId="0" fontId="53" fillId="22" borderId="15" xfId="2" applyFont="1" applyFill="1" applyBorder="1" applyAlignment="1">
      <alignment horizontal="left" vertical="center" wrapText="1"/>
    </xf>
    <xf numFmtId="0" fontId="53" fillId="22" borderId="17" xfId="2" applyFont="1" applyFill="1" applyBorder="1" applyAlignment="1">
      <alignment horizontal="left" vertical="center" wrapText="1"/>
    </xf>
    <xf numFmtId="0" fontId="53" fillId="22" borderId="32" xfId="2" applyFont="1" applyFill="1" applyBorder="1" applyAlignment="1">
      <alignment horizontal="right" vertical="center"/>
    </xf>
    <xf numFmtId="44" fontId="53" fillId="22" borderId="33" xfId="2" applyNumberFormat="1" applyFont="1" applyFill="1" applyBorder="1" applyAlignment="1">
      <alignment horizontal="right" vertical="center"/>
    </xf>
    <xf numFmtId="44" fontId="53" fillId="22" borderId="36" xfId="2" applyNumberFormat="1" applyFont="1" applyFill="1" applyBorder="1" applyAlignment="1">
      <alignment horizontal="right" vertical="center"/>
    </xf>
    <xf numFmtId="0" fontId="53" fillId="22" borderId="39" xfId="2" applyFont="1" applyFill="1" applyBorder="1" applyAlignment="1">
      <alignment horizontal="right" vertical="center"/>
    </xf>
    <xf numFmtId="44" fontId="52" fillId="22" borderId="33" xfId="2" applyNumberFormat="1" applyFont="1" applyFill="1" applyBorder="1" applyAlignment="1">
      <alignment horizontal="right" vertical="center"/>
    </xf>
    <xf numFmtId="44" fontId="52" fillId="22" borderId="36" xfId="2" applyNumberFormat="1" applyFont="1" applyFill="1" applyBorder="1" applyAlignment="1">
      <alignment horizontal="right" vertical="center"/>
    </xf>
    <xf numFmtId="14" fontId="53" fillId="22" borderId="39" xfId="2" applyNumberFormat="1" applyFont="1" applyFill="1" applyBorder="1" applyAlignment="1">
      <alignment horizontal="right" vertical="center"/>
    </xf>
    <xf numFmtId="44" fontId="52" fillId="22" borderId="33" xfId="2" applyNumberFormat="1" applyFont="1" applyFill="1" applyBorder="1" applyAlignment="1">
      <alignment horizontal="left" vertical="center"/>
    </xf>
    <xf numFmtId="49" fontId="52" fillId="20" borderId="6" xfId="2" applyNumberFormat="1" applyFont="1" applyFill="1" applyBorder="1" applyAlignment="1">
      <alignment horizontal="center" vertical="center"/>
    </xf>
    <xf numFmtId="49" fontId="52" fillId="20" borderId="1" xfId="2" applyNumberFormat="1" applyFont="1" applyFill="1" applyAlignment="1">
      <alignment horizontal="center" vertical="center"/>
    </xf>
    <xf numFmtId="14" fontId="53" fillId="15" borderId="2" xfId="2" applyNumberFormat="1" applyFont="1" applyFill="1" applyBorder="1" applyAlignment="1">
      <alignment horizontal="right" vertical="center" wrapText="1"/>
    </xf>
    <xf numFmtId="14" fontId="51" fillId="9" borderId="38" xfId="0" applyNumberFormat="1" applyFont="1" applyFill="1" applyBorder="1"/>
    <xf numFmtId="44" fontId="51" fillId="9" borderId="52" xfId="0" applyNumberFormat="1" applyFont="1" applyFill="1" applyBorder="1"/>
    <xf numFmtId="14" fontId="57" fillId="14" borderId="87" xfId="0" applyNumberFormat="1" applyFont="1" applyFill="1" applyBorder="1" applyAlignment="1">
      <alignment horizontal="right" vertical="center"/>
    </xf>
    <xf numFmtId="44" fontId="57" fillId="14" borderId="64" xfId="0" applyNumberFormat="1" applyFont="1" applyFill="1" applyBorder="1" applyAlignment="1">
      <alignment horizontal="right" vertical="center"/>
    </xf>
    <xf numFmtId="49" fontId="51" fillId="22" borderId="2" xfId="0" applyNumberFormat="1" applyFont="1" applyFill="1" applyBorder="1" applyAlignment="1">
      <alignment horizontal="left" vertical="center"/>
    </xf>
    <xf numFmtId="49" fontId="51" fillId="22" borderId="3" xfId="0" applyNumberFormat="1" applyFont="1" applyFill="1" applyBorder="1"/>
    <xf numFmtId="49" fontId="51" fillId="22" borderId="4" xfId="0" applyNumberFormat="1" applyFont="1" applyFill="1" applyBorder="1" applyAlignment="1">
      <alignment horizontal="right" vertical="center"/>
    </xf>
    <xf numFmtId="4" fontId="51" fillId="22" borderId="11" xfId="0" applyNumberFormat="1" applyFont="1" applyFill="1" applyBorder="1" applyAlignment="1">
      <alignment horizontal="right" vertical="center" wrapText="1"/>
    </xf>
    <xf numFmtId="4" fontId="51" fillId="22" borderId="3" xfId="0" applyNumberFormat="1" applyFont="1" applyFill="1" applyBorder="1" applyAlignment="1">
      <alignment horizontal="right" vertical="center" wrapText="1"/>
    </xf>
    <xf numFmtId="14" fontId="51" fillId="22" borderId="3" xfId="0" applyNumberFormat="1" applyFont="1" applyFill="1" applyBorder="1" applyAlignment="1">
      <alignment horizontal="right" vertical="center" wrapText="1"/>
    </xf>
    <xf numFmtId="49" fontId="51" fillId="0" borderId="1" xfId="0" applyNumberFormat="1" applyFont="1" applyBorder="1" applyAlignment="1">
      <alignment horizontal="center" vertical="center"/>
    </xf>
    <xf numFmtId="14" fontId="8" fillId="15" borderId="2" xfId="6" applyNumberFormat="1" applyFont="1" applyFill="1" applyBorder="1" applyAlignment="1">
      <alignment horizontal="right" vertical="center" wrapText="1"/>
    </xf>
    <xf numFmtId="14" fontId="8" fillId="9" borderId="87" xfId="6" applyNumberFormat="1" applyFont="1" applyFill="1" applyBorder="1" applyAlignment="1">
      <alignment horizontal="left" vertical="center"/>
    </xf>
    <xf numFmtId="49" fontId="6" fillId="0" borderId="2" xfId="0" applyNumberFormat="1" applyFont="1" applyBorder="1"/>
    <xf numFmtId="0" fontId="51" fillId="0" borderId="2" xfId="0" applyFont="1" applyBorder="1"/>
    <xf numFmtId="49" fontId="51" fillId="0" borderId="2" xfId="0" applyNumberFormat="1" applyFont="1" applyBorder="1" applyAlignment="1">
      <alignment horizontal="right" vertical="center"/>
    </xf>
    <xf numFmtId="4" fontId="51" fillId="0" borderId="2" xfId="0" applyNumberFormat="1" applyFont="1" applyBorder="1" applyAlignment="1">
      <alignment horizontal="right" vertical="center" wrapText="1"/>
    </xf>
    <xf numFmtId="14" fontId="51" fillId="0" borderId="2" xfId="0" applyNumberFormat="1" applyFont="1" applyBorder="1" applyAlignment="1">
      <alignment horizontal="right" vertical="center" wrapText="1"/>
    </xf>
    <xf numFmtId="49" fontId="6" fillId="0" borderId="2" xfId="0" applyNumberFormat="1" applyFont="1" applyBorder="1" applyAlignment="1">
      <alignment horizontal="left" vertical="center"/>
    </xf>
    <xf numFmtId="0" fontId="53" fillId="22" borderId="2" xfId="2" applyFont="1" applyFill="1" applyBorder="1" applyAlignment="1">
      <alignment horizontal="left"/>
    </xf>
    <xf numFmtId="14" fontId="53" fillId="22" borderId="28" xfId="2" applyNumberFormat="1" applyFont="1" applyFill="1" applyBorder="1" applyAlignment="1">
      <alignment horizontal="right" vertical="center"/>
    </xf>
    <xf numFmtId="14" fontId="53" fillId="22" borderId="30" xfId="2" applyNumberFormat="1" applyFont="1" applyFill="1" applyBorder="1" applyAlignment="1">
      <alignment horizontal="right" vertical="center"/>
    </xf>
    <xf numFmtId="44" fontId="53" fillId="22" borderId="35" xfId="2" applyNumberFormat="1" applyFont="1" applyFill="1" applyBorder="1" applyAlignment="1">
      <alignment horizontal="left" vertical="center"/>
    </xf>
    <xf numFmtId="14" fontId="53" fillId="22" borderId="47" xfId="2" applyNumberFormat="1" applyFont="1" applyFill="1" applyBorder="1" applyAlignment="1">
      <alignment horizontal="right" vertical="center"/>
    </xf>
    <xf numFmtId="0" fontId="53" fillId="22" borderId="50" xfId="2" applyFont="1" applyFill="1" applyBorder="1" applyAlignment="1">
      <alignment horizontal="left" vertical="center"/>
    </xf>
    <xf numFmtId="44" fontId="52" fillId="22" borderId="48" xfId="2" applyNumberFormat="1" applyFont="1" applyFill="1" applyBorder="1" applyAlignment="1">
      <alignment horizontal="left" vertical="center"/>
    </xf>
    <xf numFmtId="44" fontId="52" fillId="22" borderId="49" xfId="2" applyNumberFormat="1" applyFont="1" applyFill="1" applyBorder="1" applyAlignment="1">
      <alignment horizontal="left" vertical="center"/>
    </xf>
    <xf numFmtId="49" fontId="52" fillId="22" borderId="1" xfId="2" applyNumberFormat="1" applyFont="1" applyFill="1" applyAlignment="1">
      <alignment horizontal="center" vertical="center"/>
    </xf>
    <xf numFmtId="4" fontId="53" fillId="22" borderId="11" xfId="2" applyNumberFormat="1" applyFont="1" applyFill="1" applyBorder="1" applyAlignment="1">
      <alignment horizontal="right" vertical="center" wrapText="1"/>
    </xf>
    <xf numFmtId="4" fontId="53" fillId="22" borderId="12" xfId="2" applyNumberFormat="1" applyFont="1" applyFill="1" applyBorder="1" applyAlignment="1">
      <alignment horizontal="right" vertical="center" wrapText="1"/>
    </xf>
    <xf numFmtId="44" fontId="52" fillId="22" borderId="48" xfId="2" applyNumberFormat="1" applyFont="1" applyFill="1" applyBorder="1" applyAlignment="1">
      <alignment horizontal="right" vertical="center"/>
    </xf>
    <xf numFmtId="44" fontId="52" fillId="22" borderId="49" xfId="2" applyNumberFormat="1" applyFont="1" applyFill="1" applyBorder="1" applyAlignment="1">
      <alignment horizontal="right" vertical="center"/>
    </xf>
    <xf numFmtId="49" fontId="52" fillId="22" borderId="6" xfId="2" applyNumberFormat="1" applyFont="1" applyFill="1" applyBorder="1" applyAlignment="1">
      <alignment horizontal="center" vertical="center"/>
    </xf>
    <xf numFmtId="49" fontId="51" fillId="21" borderId="4" xfId="0" applyNumberFormat="1" applyFont="1" applyFill="1" applyBorder="1" applyAlignment="1">
      <alignment horizontal="right" vertical="center"/>
    </xf>
    <xf numFmtId="0" fontId="51" fillId="21" borderId="62" xfId="0" applyFont="1" applyFill="1" applyBorder="1" applyAlignment="1">
      <alignment horizontal="left" vertical="center" wrapText="1"/>
    </xf>
    <xf numFmtId="14" fontId="51" fillId="23" borderId="63" xfId="0" applyNumberFormat="1" applyFont="1" applyFill="1" applyBorder="1" applyAlignment="1">
      <alignment horizontal="right" vertical="center"/>
    </xf>
    <xf numFmtId="44" fontId="51" fillId="23" borderId="65" xfId="0" applyNumberFormat="1" applyFont="1" applyFill="1" applyBorder="1" applyAlignment="1">
      <alignment horizontal="left" vertical="center"/>
    </xf>
    <xf numFmtId="44" fontId="51" fillId="23" borderId="66" xfId="0" applyNumberFormat="1" applyFont="1" applyFill="1" applyBorder="1" applyAlignment="1">
      <alignment horizontal="left" vertical="center"/>
    </xf>
    <xf numFmtId="14" fontId="51" fillId="23" borderId="63" xfId="0" applyNumberFormat="1" applyFont="1" applyFill="1" applyBorder="1" applyAlignment="1">
      <alignment horizontal="left" vertical="center"/>
    </xf>
    <xf numFmtId="44" fontId="51" fillId="23" borderId="93" xfId="0" applyNumberFormat="1" applyFont="1" applyFill="1" applyBorder="1" applyAlignment="1">
      <alignment horizontal="left" vertical="center"/>
    </xf>
    <xf numFmtId="14" fontId="51" fillId="23" borderId="37" xfId="0" applyNumberFormat="1" applyFont="1" applyFill="1" applyBorder="1" applyAlignment="1">
      <alignment horizontal="right" vertical="center"/>
    </xf>
    <xf numFmtId="44" fontId="51" fillId="23" borderId="34" xfId="0" applyNumberFormat="1" applyFont="1" applyFill="1" applyBorder="1" applyAlignment="1">
      <alignment horizontal="left" vertical="center"/>
    </xf>
    <xf numFmtId="44" fontId="54" fillId="21" borderId="73" xfId="0" applyNumberFormat="1" applyFont="1" applyFill="1" applyBorder="1" applyAlignment="1">
      <alignment horizontal="right" vertical="center"/>
    </xf>
    <xf numFmtId="44" fontId="54" fillId="21" borderId="3" xfId="0" applyNumberFormat="1" applyFont="1" applyFill="1" applyBorder="1" applyAlignment="1">
      <alignment horizontal="right" vertical="center"/>
    </xf>
    <xf numFmtId="49" fontId="51" fillId="21" borderId="1" xfId="0" applyNumberFormat="1" applyFont="1" applyFill="1" applyBorder="1"/>
    <xf numFmtId="0" fontId="51" fillId="21" borderId="1" xfId="0" applyFont="1" applyFill="1" applyBorder="1"/>
    <xf numFmtId="4" fontId="51" fillId="21" borderId="1" xfId="0" applyNumberFormat="1" applyFont="1" applyFill="1" applyBorder="1" applyAlignment="1">
      <alignment horizontal="right" vertical="center" wrapText="1"/>
    </xf>
    <xf numFmtId="14" fontId="51" fillId="21" borderId="1" xfId="0" applyNumberFormat="1" applyFont="1" applyFill="1" applyBorder="1" applyAlignment="1">
      <alignment horizontal="right" vertical="center" wrapText="1"/>
    </xf>
    <xf numFmtId="0" fontId="51" fillId="21" borderId="21" xfId="0" applyFont="1" applyFill="1" applyBorder="1" applyAlignment="1">
      <alignment horizontal="left" vertical="center" wrapText="1"/>
    </xf>
    <xf numFmtId="14" fontId="51" fillId="23" borderId="69" xfId="0" applyNumberFormat="1" applyFont="1" applyFill="1" applyBorder="1" applyAlignment="1">
      <alignment horizontal="right" vertical="center"/>
    </xf>
    <xf numFmtId="44" fontId="51" fillId="23" borderId="67" xfId="0" applyNumberFormat="1" applyFont="1" applyFill="1" applyBorder="1" applyAlignment="1">
      <alignment horizontal="left" vertical="center"/>
    </xf>
    <xf numFmtId="44" fontId="51" fillId="23" borderId="64" xfId="0" applyNumberFormat="1" applyFont="1" applyFill="1" applyBorder="1" applyAlignment="1">
      <alignment horizontal="left" vertical="center"/>
    </xf>
    <xf numFmtId="14" fontId="51" fillId="23" borderId="69" xfId="0" applyNumberFormat="1" applyFont="1" applyFill="1" applyBorder="1" applyAlignment="1">
      <alignment horizontal="left" vertical="center"/>
    </xf>
    <xf numFmtId="44" fontId="51" fillId="23" borderId="82" xfId="0" applyNumberFormat="1" applyFont="1" applyFill="1" applyBorder="1" applyAlignment="1">
      <alignment horizontal="left" vertical="center"/>
    </xf>
    <xf numFmtId="14" fontId="51" fillId="23" borderId="38" xfId="0" applyNumberFormat="1" applyFont="1" applyFill="1" applyBorder="1" applyAlignment="1">
      <alignment horizontal="right" vertical="center"/>
    </xf>
    <xf numFmtId="44" fontId="51" fillId="23" borderId="13" xfId="0" applyNumberFormat="1" applyFont="1" applyFill="1" applyBorder="1" applyAlignment="1">
      <alignment horizontal="left" vertical="center"/>
    </xf>
    <xf numFmtId="44" fontId="51" fillId="23" borderId="35" xfId="0" applyNumberFormat="1" applyFont="1" applyFill="1" applyBorder="1" applyAlignment="1">
      <alignment horizontal="left" vertical="center"/>
    </xf>
    <xf numFmtId="44" fontId="51" fillId="21" borderId="1" xfId="0" applyNumberFormat="1" applyFont="1" applyFill="1" applyBorder="1" applyAlignment="1">
      <alignment horizontal="left" vertical="center"/>
    </xf>
    <xf numFmtId="0" fontId="51" fillId="21" borderId="1" xfId="0" applyFont="1" applyFill="1" applyBorder="1" applyAlignment="1">
      <alignment horizontal="left" vertical="center"/>
    </xf>
    <xf numFmtId="49" fontId="51" fillId="21" borderId="1" xfId="0" applyNumberFormat="1" applyFont="1" applyFill="1" applyBorder="1" applyAlignment="1">
      <alignment horizontal="left" vertical="center"/>
    </xf>
    <xf numFmtId="14" fontId="51" fillId="23" borderId="38" xfId="0" applyNumberFormat="1" applyFont="1" applyFill="1" applyBorder="1" applyAlignment="1">
      <alignment horizontal="left" vertical="center"/>
    </xf>
    <xf numFmtId="44" fontId="51" fillId="23" borderId="94" xfId="0" applyNumberFormat="1" applyFont="1" applyFill="1" applyBorder="1" applyAlignment="1">
      <alignment horizontal="left" vertical="center"/>
    </xf>
    <xf numFmtId="14" fontId="51" fillId="23" borderId="87" xfId="0" applyNumberFormat="1" applyFont="1" applyFill="1" applyBorder="1" applyAlignment="1">
      <alignment horizontal="right" vertical="center"/>
    </xf>
    <xf numFmtId="0" fontId="51" fillId="21" borderId="99" xfId="0" applyFont="1" applyFill="1" applyBorder="1" applyAlignment="1">
      <alignment horizontal="left" vertical="center" wrapText="1"/>
    </xf>
    <xf numFmtId="14" fontId="51" fillId="23" borderId="30" xfId="0" applyNumberFormat="1" applyFont="1" applyFill="1" applyBorder="1" applyAlignment="1">
      <alignment horizontal="right" vertical="center"/>
    </xf>
    <xf numFmtId="0" fontId="51" fillId="23" borderId="38" xfId="0" applyFont="1" applyFill="1" applyBorder="1" applyAlignment="1">
      <alignment horizontal="left" vertical="center"/>
    </xf>
    <xf numFmtId="14" fontId="51" fillId="23" borderId="47" xfId="0" applyNumberFormat="1" applyFont="1" applyFill="1" applyBorder="1" applyAlignment="1">
      <alignment horizontal="right" vertical="center"/>
    </xf>
    <xf numFmtId="0" fontId="51" fillId="23" borderId="74" xfId="0" applyFont="1" applyFill="1" applyBorder="1" applyAlignment="1">
      <alignment horizontal="left" vertical="center"/>
    </xf>
    <xf numFmtId="44" fontId="51" fillId="23" borderId="75" xfId="0" applyNumberFormat="1" applyFont="1" applyFill="1" applyBorder="1" applyAlignment="1">
      <alignment horizontal="left" vertical="center"/>
    </xf>
    <xf numFmtId="44" fontId="51" fillId="23" borderId="95" xfId="0" applyNumberFormat="1" applyFont="1" applyFill="1" applyBorder="1" applyAlignment="1">
      <alignment horizontal="left" vertical="center"/>
    </xf>
    <xf numFmtId="167" fontId="51" fillId="23" borderId="67" xfId="0" applyNumberFormat="1" applyFont="1" applyFill="1" applyBorder="1" applyAlignment="1">
      <alignment horizontal="left" vertical="center"/>
    </xf>
    <xf numFmtId="167" fontId="51" fillId="23" borderId="64" xfId="0" applyNumberFormat="1" applyFont="1" applyFill="1" applyBorder="1" applyAlignment="1">
      <alignment horizontal="left" vertical="center"/>
    </xf>
    <xf numFmtId="14" fontId="51" fillId="23" borderId="87" xfId="0" applyNumberFormat="1" applyFont="1" applyFill="1" applyBorder="1" applyAlignment="1">
      <alignment horizontal="left" vertical="center"/>
    </xf>
    <xf numFmtId="0" fontId="51" fillId="21" borderId="15" xfId="0" applyFont="1" applyFill="1" applyBorder="1" applyAlignment="1">
      <alignment horizontal="left" vertical="center" wrapText="1"/>
    </xf>
    <xf numFmtId="14" fontId="51" fillId="23" borderId="74" xfId="0" applyNumberFormat="1" applyFont="1" applyFill="1" applyBorder="1" applyAlignment="1">
      <alignment horizontal="right" vertical="center"/>
    </xf>
    <xf numFmtId="14" fontId="51" fillId="23" borderId="50" xfId="0" applyNumberFormat="1" applyFont="1" applyFill="1" applyBorder="1" applyAlignment="1">
      <alignment horizontal="right" vertical="center"/>
    </xf>
    <xf numFmtId="0" fontId="51" fillId="21" borderId="22" xfId="0" applyFont="1" applyFill="1" applyBorder="1" applyAlignment="1">
      <alignment horizontal="left" vertical="center" wrapText="1"/>
    </xf>
    <xf numFmtId="0" fontId="51" fillId="23" borderId="77" xfId="0" applyFont="1" applyFill="1" applyBorder="1" applyAlignment="1">
      <alignment horizontal="left" vertical="center"/>
    </xf>
    <xf numFmtId="44" fontId="54" fillId="23" borderId="58" xfId="0" applyNumberFormat="1" applyFont="1" applyFill="1" applyBorder="1"/>
    <xf numFmtId="44" fontId="54" fillId="23" borderId="1" xfId="0" applyNumberFormat="1" applyFont="1" applyFill="1" applyBorder="1"/>
    <xf numFmtId="0" fontId="51" fillId="23" borderId="39" xfId="0" applyFont="1" applyFill="1" applyBorder="1" applyAlignment="1">
      <alignment horizontal="left" vertical="center"/>
    </xf>
    <xf numFmtId="44" fontId="54" fillId="23" borderId="78" xfId="0" applyNumberFormat="1" applyFont="1" applyFill="1" applyBorder="1" applyAlignment="1">
      <alignment horizontal="left" vertical="center"/>
    </xf>
    <xf numFmtId="44" fontId="54" fillId="23" borderId="96" xfId="0" applyNumberFormat="1" applyFont="1" applyFill="1" applyBorder="1" applyAlignment="1">
      <alignment horizontal="left" vertical="center"/>
    </xf>
    <xf numFmtId="14" fontId="51" fillId="23" borderId="39" xfId="0" applyNumberFormat="1" applyFont="1" applyFill="1" applyBorder="1" applyAlignment="1">
      <alignment horizontal="left" vertical="center"/>
    </xf>
    <xf numFmtId="44" fontId="54" fillId="23" borderId="36" xfId="0" applyNumberFormat="1" applyFont="1" applyFill="1" applyBorder="1"/>
    <xf numFmtId="44" fontId="51" fillId="21" borderId="10" xfId="0" applyNumberFormat="1" applyFont="1" applyFill="1" applyBorder="1" applyAlignment="1">
      <alignment horizontal="left" vertical="center"/>
    </xf>
    <xf numFmtId="0" fontId="51" fillId="21" borderId="10" xfId="0" applyFont="1" applyFill="1" applyBorder="1" applyAlignment="1">
      <alignment horizontal="left" vertical="center"/>
    </xf>
    <xf numFmtId="49" fontId="54" fillId="21" borderId="6" xfId="0" applyNumberFormat="1" applyFont="1" applyFill="1" applyBorder="1" applyAlignment="1">
      <alignment horizontal="center" vertical="center"/>
    </xf>
    <xf numFmtId="0" fontId="8" fillId="21" borderId="17" xfId="6" applyFont="1" applyFill="1" applyBorder="1" applyAlignment="1">
      <alignment horizontal="left" vertical="center" wrapText="1"/>
    </xf>
    <xf numFmtId="44" fontId="57" fillId="14" borderId="114" xfId="0" applyNumberFormat="1" applyFont="1" applyFill="1" applyBorder="1" applyAlignment="1">
      <alignment horizontal="left" vertical="center"/>
    </xf>
    <xf numFmtId="44" fontId="57" fillId="14" borderId="54" xfId="0" applyNumberFormat="1" applyFont="1" applyFill="1" applyBorder="1" applyAlignment="1">
      <alignment horizontal="left" vertical="center"/>
    </xf>
    <xf numFmtId="0" fontId="51" fillId="0" borderId="6" xfId="0" applyFont="1" applyBorder="1" applyAlignment="1">
      <alignment horizontal="left" vertical="center" wrapText="1"/>
    </xf>
    <xf numFmtId="44" fontId="51" fillId="0" borderId="6" xfId="0" applyNumberFormat="1" applyFont="1" applyBorder="1" applyAlignment="1">
      <alignment horizontal="left" vertical="center"/>
    </xf>
    <xf numFmtId="14" fontId="51" fillId="0" borderId="6" xfId="0" applyNumberFormat="1" applyFont="1" applyBorder="1" applyAlignment="1">
      <alignment horizontal="right" vertical="center"/>
    </xf>
    <xf numFmtId="44" fontId="51" fillId="0" borderId="6" xfId="0" applyNumberFormat="1" applyFont="1" applyBorder="1" applyAlignment="1">
      <alignment horizontal="right" vertical="center"/>
    </xf>
    <xf numFmtId="44" fontId="51" fillId="0" borderId="1" xfId="0" applyNumberFormat="1" applyFont="1" applyBorder="1" applyAlignment="1">
      <alignment horizontal="left" vertical="center"/>
    </xf>
    <xf numFmtId="14" fontId="51" fillId="0" borderId="1" xfId="0" applyNumberFormat="1" applyFont="1" applyBorder="1" applyAlignment="1">
      <alignment horizontal="right" vertical="center"/>
    </xf>
    <xf numFmtId="44" fontId="51" fillId="0" borderId="1" xfId="0" applyNumberFormat="1" applyFont="1" applyBorder="1" applyAlignment="1">
      <alignment horizontal="right" vertical="center"/>
    </xf>
    <xf numFmtId="14" fontId="51" fillId="13" borderId="37" xfId="0" applyNumberFormat="1" applyFont="1" applyFill="1" applyBorder="1" applyAlignment="1">
      <alignment horizontal="right" vertical="center"/>
    </xf>
    <xf numFmtId="44" fontId="51" fillId="0" borderId="11" xfId="0" applyNumberFormat="1" applyFont="1" applyBorder="1" applyAlignment="1">
      <alignment horizontal="right" vertical="center" wrapText="1"/>
    </xf>
    <xf numFmtId="44" fontId="51" fillId="0" borderId="3" xfId="0" applyNumberFormat="1" applyFont="1" applyBorder="1" applyAlignment="1">
      <alignment horizontal="right" vertical="center" wrapText="1"/>
    </xf>
    <xf numFmtId="0" fontId="51" fillId="22" borderId="2" xfId="0" applyFont="1" applyFill="1" applyBorder="1"/>
    <xf numFmtId="0" fontId="51" fillId="21" borderId="16" xfId="0" applyFont="1" applyFill="1" applyBorder="1" applyAlignment="1">
      <alignment horizontal="left" vertical="center" wrapText="1"/>
    </xf>
    <xf numFmtId="44" fontId="51" fillId="23" borderId="65" xfId="0" applyNumberFormat="1" applyFont="1" applyFill="1" applyBorder="1" applyAlignment="1">
      <alignment horizontal="right" vertical="center"/>
    </xf>
    <xf numFmtId="44" fontId="51" fillId="23" borderId="66" xfId="0" applyNumberFormat="1" applyFont="1" applyFill="1" applyBorder="1" applyAlignment="1">
      <alignment horizontal="right" vertical="center"/>
    </xf>
    <xf numFmtId="44" fontId="51" fillId="23" borderId="13" xfId="0" applyNumberFormat="1" applyFont="1" applyFill="1" applyBorder="1" applyAlignment="1">
      <alignment horizontal="right" vertical="center"/>
    </xf>
    <xf numFmtId="44" fontId="51" fillId="23" borderId="64" xfId="0" applyNumberFormat="1" applyFont="1" applyFill="1" applyBorder="1" applyAlignment="1">
      <alignment horizontal="right" vertical="center"/>
    </xf>
    <xf numFmtId="44" fontId="51" fillId="23" borderId="52" xfId="0" applyNumberFormat="1" applyFont="1" applyFill="1" applyBorder="1" applyAlignment="1">
      <alignment horizontal="right" vertical="center"/>
    </xf>
    <xf numFmtId="0" fontId="51" fillId="23" borderId="69" xfId="0" applyFont="1" applyFill="1" applyBorder="1" applyAlignment="1">
      <alignment horizontal="right" vertical="center"/>
    </xf>
    <xf numFmtId="4" fontId="51" fillId="23" borderId="67" xfId="0" applyNumberFormat="1" applyFont="1" applyFill="1" applyBorder="1" applyAlignment="1">
      <alignment horizontal="left" vertical="center"/>
    </xf>
    <xf numFmtId="4" fontId="51" fillId="23" borderId="64" xfId="0" applyNumberFormat="1" applyFont="1" applyFill="1" applyBorder="1" applyAlignment="1">
      <alignment horizontal="left" vertical="center"/>
    </xf>
    <xf numFmtId="14" fontId="51" fillId="23" borderId="72" xfId="0" applyNumberFormat="1" applyFont="1" applyFill="1" applyBorder="1" applyAlignment="1">
      <alignment horizontal="right" vertical="center"/>
    </xf>
    <xf numFmtId="44" fontId="51" fillId="23" borderId="67" xfId="0" applyNumberFormat="1" applyFont="1" applyFill="1" applyBorder="1" applyAlignment="1">
      <alignment horizontal="right" vertical="center"/>
    </xf>
    <xf numFmtId="0" fontId="51" fillId="21" borderId="80" xfId="0" applyFont="1" applyFill="1" applyBorder="1" applyAlignment="1">
      <alignment horizontal="left" vertical="center" wrapText="1"/>
    </xf>
    <xf numFmtId="0" fontId="51" fillId="23" borderId="83" xfId="0" applyFont="1" applyFill="1" applyBorder="1" applyAlignment="1">
      <alignment horizontal="right" vertical="center"/>
    </xf>
    <xf numFmtId="4" fontId="54" fillId="23" borderId="58" xfId="0" applyNumberFormat="1" applyFont="1" applyFill="1" applyBorder="1" applyAlignment="1">
      <alignment horizontal="left" vertical="center"/>
    </xf>
    <xf numFmtId="4" fontId="54" fillId="23" borderId="59" xfId="0" applyNumberFormat="1" applyFont="1" applyFill="1" applyBorder="1" applyAlignment="1">
      <alignment horizontal="left" vertical="center"/>
    </xf>
    <xf numFmtId="0" fontId="51" fillId="23" borderId="83" xfId="0" applyFont="1" applyFill="1" applyBorder="1" applyAlignment="1">
      <alignment horizontal="left" vertical="center"/>
    </xf>
    <xf numFmtId="44" fontId="54" fillId="23" borderId="58" xfId="0" applyNumberFormat="1" applyFont="1" applyFill="1" applyBorder="1" applyAlignment="1">
      <alignment horizontal="left" vertical="center"/>
    </xf>
    <xf numFmtId="44" fontId="54" fillId="23" borderId="59" xfId="0" applyNumberFormat="1" applyFont="1" applyFill="1" applyBorder="1" applyAlignment="1">
      <alignment horizontal="left" vertical="center"/>
    </xf>
    <xf numFmtId="44" fontId="54" fillId="23" borderId="58" xfId="0" applyNumberFormat="1" applyFont="1" applyFill="1" applyBorder="1" applyAlignment="1">
      <alignment horizontal="right" vertical="center"/>
    </xf>
    <xf numFmtId="44" fontId="54" fillId="23" borderId="59" xfId="0" applyNumberFormat="1" applyFont="1" applyFill="1" applyBorder="1" applyAlignment="1">
      <alignment horizontal="right" vertical="center"/>
    </xf>
    <xf numFmtId="44" fontId="54" fillId="21" borderId="68" xfId="0" applyNumberFormat="1" applyFont="1" applyFill="1" applyBorder="1" applyAlignment="1">
      <alignment horizontal="right" vertical="center"/>
    </xf>
    <xf numFmtId="44" fontId="54" fillId="21" borderId="25" xfId="0" applyNumberFormat="1" applyFont="1" applyFill="1" applyBorder="1" applyAlignment="1">
      <alignment horizontal="right" vertical="center"/>
    </xf>
    <xf numFmtId="1" fontId="54" fillId="13" borderId="5" xfId="0" applyNumberFormat="1" applyFont="1" applyFill="1" applyBorder="1" applyAlignment="1">
      <alignment horizontal="center"/>
    </xf>
    <xf numFmtId="44" fontId="51" fillId="13" borderId="29" xfId="0" applyNumberFormat="1" applyFont="1" applyFill="1" applyBorder="1" applyAlignment="1">
      <alignment horizontal="left" vertical="center"/>
    </xf>
    <xf numFmtId="44" fontId="51" fillId="23" borderId="114" xfId="0" applyNumberFormat="1" applyFont="1" applyFill="1" applyBorder="1" applyAlignment="1">
      <alignment horizontal="left" vertical="center"/>
    </xf>
    <xf numFmtId="44" fontId="51" fillId="23" borderId="54" xfId="0" applyNumberFormat="1" applyFont="1" applyFill="1" applyBorder="1" applyAlignment="1">
      <alignment horizontal="left" vertical="center"/>
    </xf>
    <xf numFmtId="44" fontId="51" fillId="23" borderId="115" xfId="0" applyNumberFormat="1" applyFont="1" applyFill="1" applyBorder="1" applyAlignment="1">
      <alignment horizontal="right" vertical="center"/>
    </xf>
    <xf numFmtId="44" fontId="51" fillId="23" borderId="35" xfId="0" applyNumberFormat="1" applyFont="1" applyFill="1" applyBorder="1" applyAlignment="1">
      <alignment horizontal="right" vertical="center"/>
    </xf>
    <xf numFmtId="44" fontId="51" fillId="23" borderId="82" xfId="0" applyNumberFormat="1" applyFont="1" applyFill="1" applyBorder="1" applyAlignment="1">
      <alignment horizontal="right" vertical="center"/>
    </xf>
    <xf numFmtId="44" fontId="51" fillId="23" borderId="54" xfId="0" applyNumberFormat="1" applyFont="1" applyFill="1" applyBorder="1" applyAlignment="1">
      <alignment horizontal="right" vertical="center"/>
    </xf>
    <xf numFmtId="0" fontId="51" fillId="23" borderId="87" xfId="0" applyFont="1" applyFill="1" applyBorder="1" applyAlignment="1">
      <alignment horizontal="right" vertical="center"/>
    </xf>
    <xf numFmtId="4" fontId="51" fillId="23" borderId="82" xfId="0" applyNumberFormat="1" applyFont="1" applyFill="1" applyBorder="1" applyAlignment="1">
      <alignment horizontal="left" vertical="center"/>
    </xf>
    <xf numFmtId="4" fontId="51" fillId="23" borderId="54" xfId="0" applyNumberFormat="1" applyFont="1" applyFill="1" applyBorder="1" applyAlignment="1">
      <alignment horizontal="left" vertical="center"/>
    </xf>
    <xf numFmtId="0" fontId="51" fillId="23" borderId="30" xfId="0" applyFont="1" applyFill="1" applyBorder="1" applyAlignment="1">
      <alignment horizontal="right" vertical="center"/>
    </xf>
    <xf numFmtId="4" fontId="51" fillId="23" borderId="13" xfId="0" applyNumberFormat="1" applyFont="1" applyFill="1" applyBorder="1" applyAlignment="1">
      <alignment horizontal="left" vertical="center"/>
    </xf>
    <xf numFmtId="4" fontId="51" fillId="23" borderId="52" xfId="0" applyNumberFormat="1" applyFont="1" applyFill="1" applyBorder="1" applyAlignment="1">
      <alignment horizontal="left" vertical="center"/>
    </xf>
    <xf numFmtId="0" fontId="51" fillId="23" borderId="38" xfId="0" applyFont="1" applyFill="1" applyBorder="1" applyAlignment="1">
      <alignment horizontal="right" vertical="center"/>
    </xf>
    <xf numFmtId="4" fontId="51" fillId="23" borderId="94" xfId="0" applyNumberFormat="1" applyFont="1" applyFill="1" applyBorder="1" applyAlignment="1">
      <alignment horizontal="left" vertical="center"/>
    </xf>
    <xf numFmtId="4" fontId="51" fillId="23" borderId="35" xfId="0" applyNumberFormat="1" applyFont="1" applyFill="1" applyBorder="1" applyAlignment="1">
      <alignment horizontal="left" vertical="center"/>
    </xf>
    <xf numFmtId="0" fontId="51" fillId="21" borderId="17" xfId="0" applyFont="1" applyFill="1" applyBorder="1" applyAlignment="1">
      <alignment horizontal="left" vertical="center" wrapText="1"/>
    </xf>
    <xf numFmtId="0" fontId="51" fillId="23" borderId="32" xfId="0" applyFont="1" applyFill="1" applyBorder="1" applyAlignment="1">
      <alignment horizontal="right" vertical="center"/>
    </xf>
    <xf numFmtId="44" fontId="54" fillId="23" borderId="79" xfId="0" applyNumberFormat="1" applyFont="1" applyFill="1" applyBorder="1" applyAlignment="1">
      <alignment horizontal="left" vertical="center"/>
    </xf>
    <xf numFmtId="14" fontId="51" fillId="23" borderId="39" xfId="0" applyNumberFormat="1" applyFont="1" applyFill="1" applyBorder="1" applyAlignment="1">
      <alignment horizontal="right" vertical="center"/>
    </xf>
    <xf numFmtId="44" fontId="54" fillId="23" borderId="36" xfId="0" applyNumberFormat="1" applyFont="1" applyFill="1" applyBorder="1" applyAlignment="1">
      <alignment horizontal="left" vertical="center"/>
    </xf>
    <xf numFmtId="0" fontId="51" fillId="21" borderId="2" xfId="0" applyFont="1" applyFill="1" applyBorder="1"/>
    <xf numFmtId="49" fontId="51" fillId="21" borderId="6" xfId="0" applyNumberFormat="1" applyFont="1" applyFill="1" applyBorder="1" applyAlignment="1">
      <alignment horizontal="left" vertical="center"/>
    </xf>
    <xf numFmtId="0" fontId="51" fillId="21" borderId="6" xfId="0" applyFont="1" applyFill="1" applyBorder="1" applyAlignment="1">
      <alignment horizontal="left" vertical="center"/>
    </xf>
    <xf numFmtId="4" fontId="54" fillId="23" borderId="78" xfId="0" applyNumberFormat="1" applyFont="1" applyFill="1" applyBorder="1" applyAlignment="1">
      <alignment horizontal="left" vertical="center"/>
    </xf>
    <xf numFmtId="4" fontId="54" fillId="23" borderId="79" xfId="0" applyNumberFormat="1" applyFont="1" applyFill="1" applyBorder="1" applyAlignment="1">
      <alignment horizontal="left" vertical="center"/>
    </xf>
    <xf numFmtId="0" fontId="51" fillId="23" borderId="39" xfId="0" applyFont="1" applyFill="1" applyBorder="1" applyAlignment="1">
      <alignment horizontal="right" vertical="center"/>
    </xf>
    <xf numFmtId="14" fontId="51" fillId="23" borderId="109" xfId="0" applyNumberFormat="1" applyFont="1" applyFill="1" applyBorder="1" applyAlignment="1">
      <alignment horizontal="right" vertical="center"/>
    </xf>
    <xf numFmtId="44" fontId="51" fillId="23" borderId="110" xfId="0" applyNumberFormat="1" applyFont="1" applyFill="1" applyBorder="1" applyAlignment="1">
      <alignment horizontal="left" vertical="center"/>
    </xf>
    <xf numFmtId="14" fontId="51" fillId="23" borderId="111" xfId="0" applyNumberFormat="1" applyFont="1" applyFill="1" applyBorder="1" applyAlignment="1">
      <alignment horizontal="right" vertical="center"/>
    </xf>
    <xf numFmtId="44" fontId="51" fillId="23" borderId="112" xfId="0" applyNumberFormat="1" applyFont="1" applyFill="1" applyBorder="1" applyAlignment="1">
      <alignment horizontal="left" vertical="center"/>
    </xf>
    <xf numFmtId="14" fontId="51" fillId="23" borderId="113" xfId="0" applyNumberFormat="1" applyFont="1" applyFill="1" applyBorder="1" applyAlignment="1">
      <alignment horizontal="right" vertical="center"/>
    </xf>
    <xf numFmtId="44" fontId="54" fillId="21" borderId="116" xfId="0" applyNumberFormat="1" applyFont="1" applyFill="1" applyBorder="1" applyAlignment="1">
      <alignment horizontal="left" vertical="center"/>
    </xf>
    <xf numFmtId="44" fontId="54" fillId="21" borderId="2" xfId="0" applyNumberFormat="1" applyFont="1" applyFill="1" applyBorder="1" applyAlignment="1">
      <alignment horizontal="right" vertical="center"/>
    </xf>
    <xf numFmtId="44" fontId="57" fillId="14" borderId="35" xfId="0" applyNumberFormat="1" applyFont="1" applyFill="1" applyBorder="1" applyAlignment="1">
      <alignment horizontal="right" vertical="center"/>
    </xf>
    <xf numFmtId="14" fontId="57" fillId="14" borderId="98" xfId="0" applyNumberFormat="1" applyFont="1" applyFill="1" applyBorder="1" applyAlignment="1">
      <alignment horizontal="right" vertical="center"/>
    </xf>
    <xf numFmtId="44" fontId="57" fillId="14" borderId="5" xfId="0" applyNumberFormat="1" applyFont="1" applyFill="1" applyBorder="1" applyAlignment="1">
      <alignment horizontal="left" vertical="center"/>
    </xf>
    <xf numFmtId="44" fontId="57" fillId="14" borderId="71" xfId="0" applyNumberFormat="1" applyFont="1" applyFill="1" applyBorder="1" applyAlignment="1">
      <alignment horizontal="right" vertical="center"/>
    </xf>
    <xf numFmtId="0" fontId="51" fillId="23" borderId="28" xfId="0" applyFont="1" applyFill="1" applyBorder="1" applyAlignment="1">
      <alignment horizontal="left" vertical="center"/>
    </xf>
    <xf numFmtId="44" fontId="51" fillId="23" borderId="29" xfId="0" applyNumberFormat="1" applyFont="1" applyFill="1" applyBorder="1" applyAlignment="1">
      <alignment horizontal="left" vertical="center"/>
    </xf>
    <xf numFmtId="0" fontId="51" fillId="23" borderId="69" xfId="0" applyFont="1" applyFill="1" applyBorder="1" applyAlignment="1">
      <alignment horizontal="left" vertical="center"/>
    </xf>
    <xf numFmtId="44" fontId="51" fillId="23" borderId="31" xfId="0" applyNumberFormat="1" applyFont="1" applyFill="1" applyBorder="1" applyAlignment="1">
      <alignment horizontal="left" vertical="center"/>
    </xf>
    <xf numFmtId="49" fontId="54" fillId="21" borderId="1" xfId="0" applyNumberFormat="1" applyFont="1" applyFill="1" applyBorder="1" applyAlignment="1">
      <alignment horizontal="center" vertical="center"/>
    </xf>
    <xf numFmtId="0" fontId="51" fillId="23" borderId="30" xfId="0" applyFont="1" applyFill="1" applyBorder="1" applyAlignment="1">
      <alignment horizontal="left" vertical="center"/>
    </xf>
    <xf numFmtId="44" fontId="51" fillId="23" borderId="52" xfId="0" applyNumberFormat="1" applyFont="1" applyFill="1" applyBorder="1" applyAlignment="1">
      <alignment horizontal="left" vertical="center"/>
    </xf>
    <xf numFmtId="0" fontId="51" fillId="23" borderId="72" xfId="0" applyFont="1" applyFill="1" applyBorder="1" applyAlignment="1">
      <alignment horizontal="left" vertical="center"/>
    </xf>
    <xf numFmtId="44" fontId="51" fillId="23" borderId="76" xfId="0" applyNumberFormat="1" applyFont="1" applyFill="1" applyBorder="1" applyAlignment="1">
      <alignment horizontal="left" vertical="center"/>
    </xf>
    <xf numFmtId="0" fontId="51" fillId="23" borderId="50" xfId="0" applyFont="1" applyFill="1" applyBorder="1" applyAlignment="1">
      <alignment horizontal="left" vertical="center"/>
    </xf>
    <xf numFmtId="44" fontId="51" fillId="23" borderId="78" xfId="0" applyNumberFormat="1" applyFont="1" applyFill="1" applyBorder="1" applyAlignment="1">
      <alignment horizontal="left" vertical="center"/>
    </xf>
    <xf numFmtId="44" fontId="51" fillId="23" borderId="79" xfId="0" applyNumberFormat="1" applyFont="1" applyFill="1" applyBorder="1" applyAlignment="1">
      <alignment horizontal="left" vertical="center"/>
    </xf>
    <xf numFmtId="14" fontId="51" fillId="15" borderId="3" xfId="0" applyNumberFormat="1" applyFont="1" applyFill="1" applyBorder="1" applyAlignment="1">
      <alignment horizontal="right" vertical="center" wrapText="1"/>
    </xf>
    <xf numFmtId="1" fontId="54" fillId="24" borderId="6" xfId="0" applyNumberFormat="1" applyFont="1" applyFill="1" applyBorder="1" applyAlignment="1">
      <alignment horizontal="center"/>
    </xf>
    <xf numFmtId="1" fontId="54" fillId="24" borderId="5" xfId="0" applyNumberFormat="1" applyFont="1" applyFill="1" applyBorder="1" applyAlignment="1">
      <alignment horizontal="center"/>
    </xf>
    <xf numFmtId="1" fontId="54" fillId="24" borderId="60" xfId="0" applyNumberFormat="1" applyFont="1" applyFill="1" applyBorder="1" applyAlignment="1">
      <alignment horizontal="center"/>
    </xf>
    <xf numFmtId="14" fontId="51" fillId="24" borderId="63" xfId="0" applyNumberFormat="1" applyFont="1" applyFill="1" applyBorder="1" applyAlignment="1">
      <alignment horizontal="right" vertical="center"/>
    </xf>
    <xf numFmtId="44" fontId="51" fillId="24" borderId="65" xfId="0" applyNumberFormat="1" applyFont="1" applyFill="1" applyBorder="1" applyAlignment="1">
      <alignment horizontal="left" vertical="center"/>
    </xf>
    <xf numFmtId="44" fontId="51" fillId="24" borderId="66" xfId="0" applyNumberFormat="1" applyFont="1" applyFill="1" applyBorder="1" applyAlignment="1">
      <alignment horizontal="left" vertical="center"/>
    </xf>
    <xf numFmtId="14" fontId="51" fillId="24" borderId="69" xfId="0" applyNumberFormat="1" applyFont="1" applyFill="1" applyBorder="1" applyAlignment="1">
      <alignment horizontal="right" vertical="center"/>
    </xf>
    <xf numFmtId="44" fontId="51" fillId="24" borderId="67" xfId="0" applyNumberFormat="1" applyFont="1" applyFill="1" applyBorder="1" applyAlignment="1">
      <alignment horizontal="left" vertical="center"/>
    </xf>
    <xf numFmtId="44" fontId="51" fillId="24" borderId="64" xfId="0" applyNumberFormat="1" applyFont="1" applyFill="1" applyBorder="1" applyAlignment="1">
      <alignment horizontal="left" vertical="center"/>
    </xf>
    <xf numFmtId="14" fontId="51" fillId="24" borderId="30" xfId="0" applyNumberFormat="1" applyFont="1" applyFill="1" applyBorder="1" applyAlignment="1">
      <alignment horizontal="right" vertical="center"/>
    </xf>
    <xf numFmtId="44" fontId="51" fillId="24" borderId="13" xfId="0" applyNumberFormat="1" applyFont="1" applyFill="1" applyBorder="1" applyAlignment="1">
      <alignment horizontal="left" vertical="center"/>
    </xf>
    <xf numFmtId="44" fontId="51" fillId="24" borderId="52" xfId="0" applyNumberFormat="1" applyFont="1" applyFill="1" applyBorder="1" applyAlignment="1">
      <alignment horizontal="left" vertical="center"/>
    </xf>
    <xf numFmtId="0" fontId="51" fillId="24" borderId="30" xfId="0" applyFont="1" applyFill="1" applyBorder="1" applyAlignment="1">
      <alignment horizontal="left" vertical="center"/>
    </xf>
    <xf numFmtId="0" fontId="51" fillId="24" borderId="74" xfId="0" applyFont="1" applyFill="1" applyBorder="1" applyAlignment="1">
      <alignment horizontal="left" vertical="center"/>
    </xf>
    <xf numFmtId="44" fontId="51" fillId="24" borderId="75" xfId="0" applyNumberFormat="1" applyFont="1" applyFill="1" applyBorder="1" applyAlignment="1">
      <alignment horizontal="left" vertical="center"/>
    </xf>
    <xf numFmtId="44" fontId="51" fillId="24" borderId="76" xfId="0" applyNumberFormat="1" applyFont="1" applyFill="1" applyBorder="1" applyAlignment="1">
      <alignment horizontal="left" vertical="center"/>
    </xf>
    <xf numFmtId="0" fontId="51" fillId="24" borderId="77" xfId="0" applyFont="1" applyFill="1" applyBorder="1" applyAlignment="1">
      <alignment horizontal="left" vertical="center"/>
    </xf>
    <xf numFmtId="44" fontId="54" fillId="24" borderId="78" xfId="0" applyNumberFormat="1" applyFont="1" applyFill="1" applyBorder="1" applyAlignment="1">
      <alignment horizontal="left" vertical="center"/>
    </xf>
    <xf numFmtId="44" fontId="54" fillId="24" borderId="79" xfId="0" applyNumberFormat="1" applyFont="1" applyFill="1" applyBorder="1" applyAlignment="1">
      <alignment horizontal="left" vertical="center"/>
    </xf>
    <xf numFmtId="0" fontId="51" fillId="24" borderId="69" xfId="0" applyFont="1" applyFill="1" applyBorder="1" applyAlignment="1">
      <alignment horizontal="left" vertical="center"/>
    </xf>
    <xf numFmtId="0" fontId="51" fillId="24" borderId="72" xfId="0" applyFont="1" applyFill="1" applyBorder="1" applyAlignment="1">
      <alignment horizontal="left" vertical="center"/>
    </xf>
    <xf numFmtId="44" fontId="51" fillId="24" borderId="35" xfId="0" applyNumberFormat="1" applyFont="1" applyFill="1" applyBorder="1" applyAlignment="1">
      <alignment horizontal="left" vertical="center"/>
    </xf>
    <xf numFmtId="44" fontId="51" fillId="24" borderId="49" xfId="0" applyNumberFormat="1" applyFont="1" applyFill="1" applyBorder="1" applyAlignment="1">
      <alignment horizontal="left" vertical="center"/>
    </xf>
    <xf numFmtId="14" fontId="51" fillId="24" borderId="109" xfId="0" applyNumberFormat="1" applyFont="1" applyFill="1" applyBorder="1" applyAlignment="1">
      <alignment horizontal="right" vertical="center"/>
    </xf>
    <xf numFmtId="44" fontId="51" fillId="24" borderId="110" xfId="0" applyNumberFormat="1" applyFont="1" applyFill="1" applyBorder="1" applyAlignment="1">
      <alignment horizontal="left" vertical="center"/>
    </xf>
    <xf numFmtId="44" fontId="51" fillId="24" borderId="93" xfId="0" applyNumberFormat="1" applyFont="1" applyFill="1" applyBorder="1" applyAlignment="1">
      <alignment horizontal="left" vertical="center"/>
    </xf>
    <xf numFmtId="0" fontId="51" fillId="24" borderId="69" xfId="0" applyFont="1" applyFill="1" applyBorder="1" applyAlignment="1">
      <alignment horizontal="right" vertical="center"/>
    </xf>
    <xf numFmtId="4" fontId="51" fillId="24" borderId="67" xfId="0" applyNumberFormat="1" applyFont="1" applyFill="1" applyBorder="1" applyAlignment="1">
      <alignment horizontal="left" vertical="center"/>
    </xf>
    <xf numFmtId="4" fontId="51" fillId="24" borderId="64" xfId="0" applyNumberFormat="1" applyFont="1" applyFill="1" applyBorder="1" applyAlignment="1">
      <alignment horizontal="left" vertical="center"/>
    </xf>
    <xf numFmtId="0" fontId="51" fillId="24" borderId="30" xfId="0" applyFont="1" applyFill="1" applyBorder="1" applyAlignment="1">
      <alignment horizontal="right" vertical="center"/>
    </xf>
    <xf numFmtId="4" fontId="51" fillId="24" borderId="13" xfId="0" applyNumberFormat="1" applyFont="1" applyFill="1" applyBorder="1" applyAlignment="1">
      <alignment horizontal="left" vertical="center"/>
    </xf>
    <xf numFmtId="4" fontId="51" fillId="24" borderId="52" xfId="0" applyNumberFormat="1" applyFont="1" applyFill="1" applyBorder="1" applyAlignment="1">
      <alignment horizontal="left" vertical="center"/>
    </xf>
    <xf numFmtId="0" fontId="51" fillId="24" borderId="32" xfId="0" applyFont="1" applyFill="1" applyBorder="1" applyAlignment="1">
      <alignment horizontal="right" vertical="center"/>
    </xf>
    <xf numFmtId="0" fontId="70" fillId="0" borderId="0" xfId="0" applyFont="1"/>
    <xf numFmtId="8" fontId="0" fillId="0" borderId="0" xfId="0" applyNumberFormat="1" applyAlignment="1">
      <alignment horizontal="right"/>
    </xf>
    <xf numFmtId="44" fontId="6" fillId="9" borderId="29" xfId="6" applyNumberFormat="1" applyFont="1" applyFill="1" applyBorder="1" applyAlignment="1">
      <alignment horizontal="left" vertical="center"/>
    </xf>
    <xf numFmtId="44" fontId="6" fillId="9" borderId="34" xfId="6" applyNumberFormat="1" applyFont="1" applyFill="1" applyBorder="1" applyAlignment="1">
      <alignment horizontal="left" vertical="center"/>
    </xf>
    <xf numFmtId="44" fontId="6" fillId="9" borderId="31" xfId="6" applyNumberFormat="1" applyFont="1" applyFill="1" applyBorder="1" applyAlignment="1">
      <alignment horizontal="left" vertical="center"/>
    </xf>
    <xf numFmtId="44" fontId="6" fillId="9" borderId="35" xfId="6" applyNumberFormat="1" applyFont="1" applyFill="1" applyBorder="1" applyAlignment="1">
      <alignment horizontal="left" vertical="center"/>
    </xf>
    <xf numFmtId="0" fontId="6" fillId="9" borderId="50" xfId="6" applyFont="1" applyFill="1" applyBorder="1" applyAlignment="1">
      <alignment horizontal="left" vertical="center"/>
    </xf>
    <xf numFmtId="44" fontId="6" fillId="9" borderId="48" xfId="6" applyNumberFormat="1" applyFont="1" applyFill="1" applyBorder="1" applyAlignment="1">
      <alignment horizontal="left" vertical="center"/>
    </xf>
    <xf numFmtId="44" fontId="6" fillId="9" borderId="49" xfId="6" applyNumberFormat="1" applyFont="1" applyFill="1" applyBorder="1" applyAlignment="1">
      <alignment horizontal="left" vertical="center"/>
    </xf>
    <xf numFmtId="0" fontId="6" fillId="9" borderId="39" xfId="6" applyFont="1" applyFill="1" applyBorder="1" applyAlignment="1">
      <alignment horizontal="left" vertical="center"/>
    </xf>
    <xf numFmtId="44" fontId="5" fillId="9" borderId="33" xfId="6" applyNumberFormat="1" applyFont="1" applyFill="1" applyBorder="1" applyAlignment="1">
      <alignment horizontal="left" vertical="center"/>
    </xf>
    <xf numFmtId="44" fontId="5" fillId="9" borderId="36" xfId="6" applyNumberFormat="1" applyFont="1" applyFill="1" applyBorder="1" applyAlignment="1">
      <alignment horizontal="left" vertical="center"/>
    </xf>
    <xf numFmtId="14" fontId="6" fillId="9" borderId="50" xfId="6" applyNumberFormat="1" applyFont="1" applyFill="1" applyBorder="1" applyAlignment="1">
      <alignment horizontal="right" vertical="center"/>
    </xf>
    <xf numFmtId="14" fontId="71" fillId="9" borderId="50" xfId="6" applyNumberFormat="1" applyFont="1" applyFill="1" applyBorder="1" applyAlignment="1">
      <alignment horizontal="right" vertical="center"/>
    </xf>
    <xf numFmtId="44" fontId="71" fillId="9" borderId="48" xfId="6" applyNumberFormat="1" applyFont="1" applyFill="1" applyBorder="1" applyAlignment="1">
      <alignment horizontal="left" vertical="center"/>
    </xf>
    <xf numFmtId="44" fontId="71" fillId="9" borderId="49" xfId="6" applyNumberFormat="1" applyFont="1" applyFill="1" applyBorder="1" applyAlignment="1">
      <alignment horizontal="left" vertical="center"/>
    </xf>
    <xf numFmtId="0" fontId="8" fillId="0" borderId="1" xfId="6" applyFont="1" applyAlignment="1">
      <alignment horizontal="left" vertical="center" wrapText="1"/>
    </xf>
    <xf numFmtId="0" fontId="8" fillId="0" borderId="1" xfId="6" applyFont="1" applyAlignment="1">
      <alignment horizontal="right" vertical="center"/>
    </xf>
    <xf numFmtId="0" fontId="44" fillId="0" borderId="1" xfId="0" applyFont="1" applyBorder="1"/>
    <xf numFmtId="0" fontId="8" fillId="0" borderId="117" xfId="6" applyFont="1" applyBorder="1" applyAlignment="1">
      <alignment horizontal="left" vertical="center" wrapText="1"/>
    </xf>
    <xf numFmtId="44" fontId="56" fillId="10" borderId="96" xfId="6" applyNumberFormat="1" applyFont="1" applyFill="1" applyBorder="1"/>
    <xf numFmtId="0" fontId="51" fillId="25" borderId="69" xfId="0" applyFont="1" applyFill="1" applyBorder="1" applyAlignment="1">
      <alignment horizontal="left" vertical="center"/>
    </xf>
    <xf numFmtId="44" fontId="51" fillId="25" borderId="67" xfId="0" applyNumberFormat="1" applyFont="1" applyFill="1" applyBorder="1" applyAlignment="1">
      <alignment horizontal="left" vertical="center"/>
    </xf>
    <xf numFmtId="44" fontId="51" fillId="25" borderId="64" xfId="0" applyNumberFormat="1" applyFont="1" applyFill="1" applyBorder="1" applyAlignment="1">
      <alignment horizontal="left" vertical="center"/>
    </xf>
    <xf numFmtId="0" fontId="51" fillId="25" borderId="70" xfId="0" applyFont="1" applyFill="1" applyBorder="1" applyAlignment="1">
      <alignment horizontal="left" vertical="center"/>
    </xf>
    <xf numFmtId="44" fontId="51" fillId="25" borderId="5" xfId="0" applyNumberFormat="1" applyFont="1" applyFill="1" applyBorder="1" applyAlignment="1">
      <alignment horizontal="left" vertical="center"/>
    </xf>
    <xf numFmtId="44" fontId="51" fillId="25" borderId="71" xfId="0" applyNumberFormat="1" applyFont="1" applyFill="1" applyBorder="1" applyAlignment="1">
      <alignment horizontal="left" vertical="center"/>
    </xf>
    <xf numFmtId="0" fontId="51" fillId="25" borderId="74" xfId="0" applyFont="1" applyFill="1" applyBorder="1" applyAlignment="1">
      <alignment horizontal="left" vertical="center"/>
    </xf>
    <xf numFmtId="44" fontId="51" fillId="25" borderId="75" xfId="0" applyNumberFormat="1" applyFont="1" applyFill="1" applyBorder="1" applyAlignment="1">
      <alignment horizontal="left" vertical="center"/>
    </xf>
    <xf numFmtId="44" fontId="51" fillId="25" borderId="76" xfId="0" applyNumberFormat="1" applyFont="1" applyFill="1" applyBorder="1" applyAlignment="1">
      <alignment horizontal="left" vertical="center"/>
    </xf>
    <xf numFmtId="0" fontId="51" fillId="25" borderId="77" xfId="0" applyFont="1" applyFill="1" applyBorder="1" applyAlignment="1">
      <alignment horizontal="left" vertical="center"/>
    </xf>
    <xf numFmtId="44" fontId="51" fillId="25" borderId="78" xfId="0" applyNumberFormat="1" applyFont="1" applyFill="1" applyBorder="1" applyAlignment="1">
      <alignment horizontal="left" vertical="center"/>
    </xf>
    <xf numFmtId="44" fontId="51" fillId="25" borderId="79" xfId="0" applyNumberFormat="1" applyFont="1" applyFill="1" applyBorder="1" applyAlignment="1">
      <alignment horizontal="left" vertical="center"/>
    </xf>
    <xf numFmtId="0" fontId="51" fillId="26" borderId="69" xfId="0" applyFont="1" applyFill="1" applyBorder="1" applyAlignment="1">
      <alignment horizontal="left" vertical="center"/>
    </xf>
    <xf numFmtId="44" fontId="51" fillId="26" borderId="67" xfId="0" applyNumberFormat="1" applyFont="1" applyFill="1" applyBorder="1" applyAlignment="1">
      <alignment horizontal="left" vertical="center"/>
    </xf>
    <xf numFmtId="44" fontId="51" fillId="26" borderId="64" xfId="0" applyNumberFormat="1" applyFont="1" applyFill="1" applyBorder="1" applyAlignment="1">
      <alignment horizontal="left" vertical="center"/>
    </xf>
    <xf numFmtId="0" fontId="51" fillId="26" borderId="70" xfId="0" applyFont="1" applyFill="1" applyBorder="1" applyAlignment="1">
      <alignment horizontal="left" vertical="center"/>
    </xf>
    <xf numFmtId="44" fontId="51" fillId="26" borderId="5" xfId="0" applyNumberFormat="1" applyFont="1" applyFill="1" applyBorder="1" applyAlignment="1">
      <alignment horizontal="left" vertical="center"/>
    </xf>
    <xf numFmtId="44" fontId="51" fillId="26" borderId="71" xfId="0" applyNumberFormat="1" applyFont="1" applyFill="1" applyBorder="1" applyAlignment="1">
      <alignment horizontal="left" vertical="center"/>
    </xf>
    <xf numFmtId="0" fontId="51" fillId="26" borderId="74" xfId="0" applyFont="1" applyFill="1" applyBorder="1" applyAlignment="1">
      <alignment horizontal="left" vertical="center"/>
    </xf>
    <xf numFmtId="44" fontId="51" fillId="26" borderId="75" xfId="0" applyNumberFormat="1" applyFont="1" applyFill="1" applyBorder="1" applyAlignment="1">
      <alignment horizontal="left" vertical="center"/>
    </xf>
    <xf numFmtId="44" fontId="51" fillId="26" borderId="76" xfId="0" applyNumberFormat="1" applyFont="1" applyFill="1" applyBorder="1" applyAlignment="1">
      <alignment horizontal="left" vertical="center"/>
    </xf>
    <xf numFmtId="0" fontId="51" fillId="26" borderId="77" xfId="0" applyFont="1" applyFill="1" applyBorder="1" applyAlignment="1">
      <alignment horizontal="left" vertical="center"/>
    </xf>
    <xf numFmtId="44" fontId="51" fillId="26" borderId="78" xfId="0" applyNumberFormat="1" applyFont="1" applyFill="1" applyBorder="1" applyAlignment="1">
      <alignment horizontal="left" vertical="center"/>
    </xf>
    <xf numFmtId="44" fontId="51" fillId="26" borderId="79" xfId="0" applyNumberFormat="1" applyFont="1" applyFill="1" applyBorder="1" applyAlignment="1">
      <alignment horizontal="left" vertical="center"/>
    </xf>
    <xf numFmtId="44" fontId="51" fillId="24" borderId="82" xfId="0" applyNumberFormat="1" applyFont="1" applyFill="1" applyBorder="1" applyAlignment="1">
      <alignment horizontal="right" vertical="center"/>
    </xf>
    <xf numFmtId="14" fontId="51" fillId="24" borderId="70" xfId="0" applyNumberFormat="1" applyFont="1" applyFill="1" applyBorder="1" applyAlignment="1">
      <alignment horizontal="right" vertical="center"/>
    </xf>
    <xf numFmtId="44" fontId="51" fillId="24" borderId="5" xfId="0" applyNumberFormat="1" applyFont="1" applyFill="1" applyBorder="1" applyAlignment="1">
      <alignment horizontal="left" vertical="center"/>
    </xf>
    <xf numFmtId="44" fontId="51" fillId="24" borderId="1" xfId="0" applyNumberFormat="1" applyFont="1" applyFill="1" applyBorder="1" applyAlignment="1">
      <alignment horizontal="right" vertical="center"/>
    </xf>
    <xf numFmtId="14" fontId="51" fillId="24" borderId="74" xfId="0" applyNumberFormat="1" applyFont="1" applyFill="1" applyBorder="1" applyAlignment="1">
      <alignment horizontal="right" vertical="center"/>
    </xf>
    <xf numFmtId="44" fontId="51" fillId="24" borderId="95" xfId="0" applyNumberFormat="1" applyFont="1" applyFill="1" applyBorder="1" applyAlignment="1">
      <alignment horizontal="right" vertical="center"/>
    </xf>
    <xf numFmtId="44" fontId="51" fillId="24" borderId="76" xfId="0" applyNumberFormat="1" applyFont="1" applyFill="1" applyBorder="1" applyAlignment="1">
      <alignment horizontal="right" vertical="center"/>
    </xf>
    <xf numFmtId="0" fontId="51" fillId="23" borderId="67" xfId="0" applyFont="1" applyFill="1" applyBorder="1" applyAlignment="1">
      <alignment horizontal="right" vertical="center"/>
    </xf>
    <xf numFmtId="0" fontId="51" fillId="23" borderId="63" xfId="0" applyFont="1" applyFill="1" applyBorder="1" applyAlignment="1">
      <alignment horizontal="left" vertical="center"/>
    </xf>
    <xf numFmtId="44" fontId="54" fillId="21" borderId="43" xfId="0" applyNumberFormat="1" applyFont="1" applyFill="1" applyBorder="1" applyAlignment="1">
      <alignment horizontal="left" vertical="center"/>
    </xf>
    <xf numFmtId="44" fontId="54" fillId="21" borderId="3" xfId="0" applyNumberFormat="1" applyFont="1" applyFill="1" applyBorder="1" applyAlignment="1">
      <alignment horizontal="left" vertical="center"/>
    </xf>
    <xf numFmtId="49" fontId="51" fillId="21" borderId="1" xfId="0" applyNumberFormat="1" applyFont="1" applyFill="1" applyBorder="1" applyAlignment="1">
      <alignment horizontal="right"/>
    </xf>
    <xf numFmtId="44" fontId="54" fillId="21" borderId="26" xfId="0" applyNumberFormat="1" applyFont="1" applyFill="1" applyBorder="1" applyAlignment="1">
      <alignment horizontal="left" vertical="center"/>
    </xf>
    <xf numFmtId="44" fontId="54" fillId="21" borderId="6" xfId="0" applyNumberFormat="1" applyFont="1" applyFill="1" applyBorder="1" applyAlignment="1">
      <alignment horizontal="left" vertical="center"/>
    </xf>
    <xf numFmtId="44" fontId="54" fillId="21" borderId="14" xfId="0" applyNumberFormat="1" applyFont="1" applyFill="1" applyBorder="1" applyAlignment="1">
      <alignment horizontal="left" vertical="center"/>
    </xf>
    <xf numFmtId="44" fontId="54" fillId="21" borderId="1" xfId="0" applyNumberFormat="1" applyFont="1" applyFill="1" applyBorder="1" applyAlignment="1">
      <alignment horizontal="left" vertical="center"/>
    </xf>
    <xf numFmtId="44" fontId="51" fillId="23" borderId="58" xfId="0" applyNumberFormat="1" applyFont="1" applyFill="1" applyBorder="1" applyAlignment="1">
      <alignment horizontal="left" vertical="center"/>
    </xf>
    <xf numFmtId="44" fontId="51" fillId="23" borderId="59" xfId="0" applyNumberFormat="1" applyFont="1" applyFill="1" applyBorder="1" applyAlignment="1">
      <alignment horizontal="left" vertical="center"/>
    </xf>
    <xf numFmtId="44" fontId="54" fillId="23" borderId="10" xfId="0" applyNumberFormat="1" applyFont="1" applyFill="1" applyBorder="1" applyAlignment="1">
      <alignment horizontal="left" vertical="center"/>
    </xf>
    <xf numFmtId="0" fontId="51" fillId="23" borderId="97" xfId="0" applyFont="1" applyFill="1" applyBorder="1" applyAlignment="1">
      <alignment horizontal="left" vertical="center"/>
    </xf>
    <xf numFmtId="44" fontId="8" fillId="8" borderId="33" xfId="6" applyNumberFormat="1" applyFont="1" applyFill="1" applyBorder="1" applyAlignment="1">
      <alignment horizontal="left" vertical="center"/>
    </xf>
    <xf numFmtId="44" fontId="8" fillId="8" borderId="36" xfId="6" applyNumberFormat="1" applyFont="1" applyFill="1" applyBorder="1" applyAlignment="1">
      <alignment horizontal="left" vertical="center"/>
    </xf>
    <xf numFmtId="0" fontId="51" fillId="25" borderId="28" xfId="0" applyFont="1" applyFill="1" applyBorder="1" applyAlignment="1">
      <alignment horizontal="left" vertical="center"/>
    </xf>
    <xf numFmtId="44" fontId="51" fillId="25" borderId="65" xfId="0" applyNumberFormat="1" applyFont="1" applyFill="1" applyBorder="1" applyAlignment="1">
      <alignment horizontal="left" vertical="center"/>
    </xf>
    <xf numFmtId="44" fontId="51" fillId="25" borderId="66" xfId="0" applyNumberFormat="1" applyFont="1" applyFill="1" applyBorder="1" applyAlignment="1">
      <alignment horizontal="left" vertical="center"/>
    </xf>
    <xf numFmtId="0" fontId="51" fillId="26" borderId="63" xfId="0" applyFont="1" applyFill="1" applyBorder="1" applyAlignment="1">
      <alignment horizontal="left" vertical="center"/>
    </xf>
    <xf numFmtId="44" fontId="51" fillId="26" borderId="65" xfId="0" applyNumberFormat="1" applyFont="1" applyFill="1" applyBorder="1" applyAlignment="1">
      <alignment horizontal="left" vertical="center"/>
    </xf>
    <xf numFmtId="44" fontId="51" fillId="26" borderId="66" xfId="0" applyNumberFormat="1" applyFont="1" applyFill="1" applyBorder="1" applyAlignment="1">
      <alignment horizontal="left" vertical="center"/>
    </xf>
    <xf numFmtId="44" fontId="51" fillId="24" borderId="93" xfId="0" applyNumberFormat="1" applyFont="1" applyFill="1" applyBorder="1" applyAlignment="1">
      <alignment horizontal="right" vertical="center"/>
    </xf>
    <xf numFmtId="44" fontId="60" fillId="9" borderId="48" xfId="6" applyNumberFormat="1" applyFont="1" applyFill="1" applyBorder="1" applyAlignment="1">
      <alignment horizontal="left" vertical="center"/>
    </xf>
    <xf numFmtId="44" fontId="60" fillId="9" borderId="49" xfId="6" applyNumberFormat="1" applyFont="1" applyFill="1" applyBorder="1" applyAlignment="1">
      <alignment horizontal="left" vertical="center"/>
    </xf>
    <xf numFmtId="49" fontId="53" fillId="0" borderId="2" xfId="0" applyNumberFormat="1" applyFont="1" applyBorder="1" applyAlignment="1">
      <alignment horizontal="left" vertical="center"/>
    </xf>
    <xf numFmtId="14" fontId="60" fillId="9" borderId="50" xfId="6" applyNumberFormat="1" applyFont="1" applyFill="1" applyBorder="1" applyAlignment="1">
      <alignment horizontal="right" vertical="center"/>
    </xf>
    <xf numFmtId="44" fontId="72" fillId="13" borderId="34" xfId="0" applyNumberFormat="1" applyFont="1" applyFill="1" applyBorder="1" applyAlignment="1">
      <alignment horizontal="left" vertical="center"/>
    </xf>
    <xf numFmtId="44" fontId="72" fillId="13" borderId="82" xfId="0" applyNumberFormat="1" applyFont="1" applyFill="1" applyBorder="1" applyAlignment="1">
      <alignment horizontal="left" vertical="center"/>
    </xf>
    <xf numFmtId="14" fontId="51" fillId="15" borderId="2" xfId="0" applyNumberFormat="1" applyFont="1" applyFill="1" applyBorder="1" applyAlignment="1">
      <alignment horizontal="right" vertical="center" wrapText="1"/>
    </xf>
    <xf numFmtId="44" fontId="44" fillId="0" borderId="0" xfId="0" applyNumberFormat="1" applyFont="1"/>
    <xf numFmtId="14" fontId="6" fillId="9" borderId="37" xfId="6" applyNumberFormat="1" applyFont="1" applyFill="1" applyBorder="1" applyAlignment="1">
      <alignment horizontal="right" vertical="center"/>
    </xf>
    <xf numFmtId="14" fontId="6" fillId="9" borderId="38" xfId="6" applyNumberFormat="1" applyFont="1" applyFill="1" applyBorder="1" applyAlignment="1">
      <alignment horizontal="right" vertical="center"/>
    </xf>
    <xf numFmtId="14" fontId="72" fillId="24" borderId="63" xfId="0" applyNumberFormat="1" applyFont="1" applyFill="1" applyBorder="1" applyAlignment="1">
      <alignment horizontal="right" vertical="center"/>
    </xf>
    <xf numFmtId="44" fontId="72" fillId="24" borderId="65" xfId="0" applyNumberFormat="1" applyFont="1" applyFill="1" applyBorder="1" applyAlignment="1">
      <alignment horizontal="left" vertical="center"/>
    </xf>
    <xf numFmtId="44" fontId="72" fillId="24" borderId="66" xfId="0" applyNumberFormat="1" applyFont="1" applyFill="1" applyBorder="1" applyAlignment="1">
      <alignment horizontal="left" vertical="center"/>
    </xf>
    <xf numFmtId="14" fontId="72" fillId="24" borderId="69" xfId="0" applyNumberFormat="1" applyFont="1" applyFill="1" applyBorder="1" applyAlignment="1">
      <alignment horizontal="right" vertical="center"/>
    </xf>
    <xf numFmtId="44" fontId="72" fillId="24" borderId="67" xfId="0" applyNumberFormat="1" applyFont="1" applyFill="1" applyBorder="1" applyAlignment="1">
      <alignment horizontal="left" vertical="center"/>
    </xf>
    <xf numFmtId="44" fontId="72" fillId="24" borderId="64" xfId="0" applyNumberFormat="1" applyFont="1" applyFill="1" applyBorder="1" applyAlignment="1">
      <alignment horizontal="left" vertical="center"/>
    </xf>
    <xf numFmtId="0" fontId="72" fillId="24" borderId="69" xfId="0" applyFont="1" applyFill="1" applyBorder="1" applyAlignment="1">
      <alignment horizontal="right" vertical="center"/>
    </xf>
    <xf numFmtId="4" fontId="72" fillId="24" borderId="67" xfId="0" applyNumberFormat="1" applyFont="1" applyFill="1" applyBorder="1" applyAlignment="1">
      <alignment horizontal="left" vertical="center"/>
    </xf>
    <xf numFmtId="4" fontId="72" fillId="24" borderId="64" xfId="0" applyNumberFormat="1" applyFont="1" applyFill="1" applyBorder="1" applyAlignment="1">
      <alignment horizontal="left" vertical="center"/>
    </xf>
    <xf numFmtId="0" fontId="72" fillId="24" borderId="32" xfId="0" applyFont="1" applyFill="1" applyBorder="1" applyAlignment="1">
      <alignment horizontal="right" vertical="center"/>
    </xf>
    <xf numFmtId="4" fontId="73" fillId="24" borderId="78" xfId="0" applyNumberFormat="1" applyFont="1" applyFill="1" applyBorder="1" applyAlignment="1">
      <alignment horizontal="left" vertical="center"/>
    </xf>
    <xf numFmtId="4" fontId="73" fillId="24" borderId="79" xfId="0" applyNumberFormat="1" applyFont="1" applyFill="1" applyBorder="1" applyAlignment="1">
      <alignment horizontal="left" vertical="center"/>
    </xf>
    <xf numFmtId="14" fontId="51" fillId="12" borderId="37" xfId="0" applyNumberFormat="1" applyFont="1" applyFill="1" applyBorder="1" applyAlignment="1">
      <alignment horizontal="right" vertical="center"/>
    </xf>
    <xf numFmtId="14" fontId="51" fillId="12" borderId="87" xfId="0" applyNumberFormat="1" applyFont="1" applyFill="1" applyBorder="1" applyAlignment="1">
      <alignment horizontal="right" vertical="center"/>
    </xf>
    <xf numFmtId="14" fontId="51" fillId="12" borderId="118" xfId="0" applyNumberFormat="1" applyFont="1" applyFill="1" applyBorder="1" applyAlignment="1">
      <alignment horizontal="right" vertical="center"/>
    </xf>
    <xf numFmtId="14" fontId="51" fillId="12" borderId="119" xfId="0" applyNumberFormat="1" applyFont="1" applyFill="1" applyBorder="1" applyAlignment="1">
      <alignment horizontal="right" vertical="center"/>
    </xf>
    <xf numFmtId="44" fontId="51" fillId="14" borderId="121" xfId="0" applyNumberFormat="1" applyFont="1" applyFill="1" applyBorder="1" applyAlignment="1">
      <alignment horizontal="right" vertical="center"/>
    </xf>
    <xf numFmtId="14" fontId="51" fillId="12" borderId="93" xfId="0" applyNumberFormat="1" applyFont="1" applyFill="1" applyBorder="1" applyAlignment="1">
      <alignment horizontal="right" vertical="center"/>
    </xf>
    <xf numFmtId="14" fontId="51" fillId="12" borderId="82" xfId="0" applyNumberFormat="1" applyFont="1" applyFill="1" applyBorder="1" applyAlignment="1">
      <alignment horizontal="right" vertical="center"/>
    </xf>
    <xf numFmtId="14" fontId="51" fillId="12" borderId="120" xfId="0" applyNumberFormat="1" applyFont="1" applyFill="1" applyBorder="1" applyAlignment="1">
      <alignment horizontal="right" vertical="center"/>
    </xf>
    <xf numFmtId="44" fontId="51" fillId="13" borderId="93" xfId="0" applyNumberFormat="1" applyFont="1" applyFill="1" applyBorder="1" applyAlignment="1">
      <alignment horizontal="right" vertical="center"/>
    </xf>
    <xf numFmtId="44" fontId="51" fillId="13" borderId="120" xfId="0" applyNumberFormat="1" applyFont="1" applyFill="1" applyBorder="1" applyAlignment="1">
      <alignment horizontal="right" vertical="center"/>
    </xf>
    <xf numFmtId="44" fontId="51" fillId="13" borderId="54" xfId="0" applyNumberFormat="1" applyFont="1" applyFill="1" applyBorder="1" applyAlignment="1">
      <alignment horizontal="right" vertical="center"/>
    </xf>
    <xf numFmtId="44" fontId="51" fillId="13" borderId="122" xfId="0" applyNumberFormat="1" applyFont="1" applyFill="1" applyBorder="1" applyAlignment="1">
      <alignment horizontal="right" vertical="center"/>
    </xf>
    <xf numFmtId="44" fontId="51" fillId="14" borderId="29" xfId="0" applyNumberFormat="1" applyFont="1" applyFill="1" applyBorder="1" applyAlignment="1">
      <alignment horizontal="right" vertical="center"/>
    </xf>
    <xf numFmtId="44" fontId="51" fillId="14" borderId="55" xfId="0" applyNumberFormat="1" applyFont="1" applyFill="1" applyBorder="1" applyAlignment="1">
      <alignment horizontal="right" vertical="center"/>
    </xf>
    <xf numFmtId="44" fontId="51" fillId="14" borderId="123" xfId="0" applyNumberFormat="1" applyFont="1" applyFill="1" applyBorder="1" applyAlignment="1">
      <alignment horizontal="right" vertical="center"/>
    </xf>
    <xf numFmtId="14" fontId="51" fillId="14" borderId="93" xfId="0" applyNumberFormat="1" applyFont="1" applyFill="1" applyBorder="1" applyAlignment="1">
      <alignment horizontal="right" vertical="center"/>
    </xf>
    <xf numFmtId="14" fontId="51" fillId="14" borderId="82" xfId="0" applyNumberFormat="1" applyFont="1" applyFill="1" applyBorder="1" applyAlignment="1">
      <alignment horizontal="right" vertical="center"/>
    </xf>
    <xf numFmtId="14" fontId="51" fillId="14" borderId="120" xfId="0" applyNumberFormat="1" applyFont="1" applyFill="1" applyBorder="1" applyAlignment="1">
      <alignment horizontal="right" vertical="center"/>
    </xf>
    <xf numFmtId="14" fontId="51" fillId="13" borderId="87" xfId="0" applyNumberFormat="1" applyFont="1" applyFill="1" applyBorder="1" applyAlignment="1">
      <alignment horizontal="right" vertical="center"/>
    </xf>
    <xf numFmtId="14" fontId="51" fillId="13" borderId="118" xfId="0" applyNumberFormat="1" applyFont="1" applyFill="1" applyBorder="1" applyAlignment="1">
      <alignment horizontal="right" vertical="center"/>
    </xf>
    <xf numFmtId="0" fontId="60" fillId="9" borderId="50" xfId="6" applyFont="1" applyFill="1" applyBorder="1" applyAlignment="1">
      <alignment horizontal="right" vertical="center"/>
    </xf>
    <xf numFmtId="14" fontId="57" fillId="14" borderId="50" xfId="0" applyNumberFormat="1" applyFont="1" applyFill="1" applyBorder="1" applyAlignment="1">
      <alignment horizontal="right" vertical="center"/>
    </xf>
    <xf numFmtId="14" fontId="14" fillId="14" borderId="37" xfId="0" applyNumberFormat="1" applyFont="1" applyFill="1" applyBorder="1" applyAlignment="1">
      <alignment horizontal="right" vertical="center"/>
    </xf>
    <xf numFmtId="44" fontId="14" fillId="14" borderId="65" xfId="0" applyNumberFormat="1" applyFont="1" applyFill="1" applyBorder="1" applyAlignment="1">
      <alignment horizontal="left" vertical="center"/>
    </xf>
    <xf numFmtId="44" fontId="14" fillId="14" borderId="66" xfId="0" applyNumberFormat="1" applyFont="1" applyFill="1" applyBorder="1" applyAlignment="1">
      <alignment horizontal="left" vertical="center"/>
    </xf>
    <xf numFmtId="14" fontId="14" fillId="14" borderId="87" xfId="0" applyNumberFormat="1" applyFont="1" applyFill="1" applyBorder="1" applyAlignment="1">
      <alignment horizontal="right" vertical="center"/>
    </xf>
    <xf numFmtId="44" fontId="14" fillId="14" borderId="67" xfId="0" applyNumberFormat="1" applyFont="1" applyFill="1" applyBorder="1" applyAlignment="1">
      <alignment horizontal="left" vertical="center"/>
    </xf>
    <xf numFmtId="44" fontId="14" fillId="14" borderId="64" xfId="0" applyNumberFormat="1" applyFont="1" applyFill="1" applyBorder="1" applyAlignment="1">
      <alignment horizontal="left" vertical="center"/>
    </xf>
    <xf numFmtId="14" fontId="14" fillId="14" borderId="38" xfId="0" applyNumberFormat="1" applyFont="1" applyFill="1" applyBorder="1" applyAlignment="1">
      <alignment horizontal="right" vertical="center"/>
    </xf>
    <xf numFmtId="44" fontId="74" fillId="14" borderId="67" xfId="0" applyNumberFormat="1" applyFont="1" applyFill="1" applyBorder="1" applyAlignment="1">
      <alignment horizontal="left" vertical="center"/>
    </xf>
    <xf numFmtId="44" fontId="74" fillId="14" borderId="64" xfId="0" applyNumberFormat="1" applyFont="1" applyFill="1" applyBorder="1" applyAlignment="1">
      <alignment horizontal="left" vertical="center"/>
    </xf>
    <xf numFmtId="44" fontId="57" fillId="14" borderId="64" xfId="0" applyNumberFormat="1" applyFont="1" applyFill="1" applyBorder="1" applyAlignment="1">
      <alignment horizontal="left" vertical="center"/>
    </xf>
    <xf numFmtId="14" fontId="57" fillId="14" borderId="38" xfId="0" applyNumberFormat="1" applyFont="1" applyFill="1" applyBorder="1" applyAlignment="1">
      <alignment horizontal="right" vertical="center"/>
    </xf>
    <xf numFmtId="44" fontId="71" fillId="9" borderId="48" xfId="6" applyNumberFormat="1" applyFont="1" applyFill="1" applyBorder="1" applyAlignment="1">
      <alignment horizontal="right" vertical="center"/>
    </xf>
    <xf numFmtId="44" fontId="71" fillId="9" borderId="49" xfId="6" applyNumberFormat="1" applyFont="1" applyFill="1" applyBorder="1" applyAlignment="1">
      <alignment horizontal="right" vertical="center"/>
    </xf>
    <xf numFmtId="44" fontId="60" fillId="9" borderId="48" xfId="6" applyNumberFormat="1" applyFont="1" applyFill="1" applyBorder="1" applyAlignment="1">
      <alignment horizontal="right" vertical="center"/>
    </xf>
    <xf numFmtId="44" fontId="60" fillId="9" borderId="49" xfId="6" applyNumberFormat="1" applyFont="1" applyFill="1" applyBorder="1" applyAlignment="1">
      <alignment horizontal="right" vertical="center"/>
    </xf>
    <xf numFmtId="49" fontId="53" fillId="0" borderId="30" xfId="2" applyNumberFormat="1" applyFont="1" applyBorder="1" applyAlignment="1">
      <alignment horizontal="left" vertical="center"/>
    </xf>
    <xf numFmtId="49" fontId="53" fillId="0" borderId="125" xfId="2" applyNumberFormat="1" applyFont="1" applyBorder="1" applyAlignment="1">
      <alignment horizontal="left"/>
    </xf>
    <xf numFmtId="4" fontId="53" fillId="0" borderId="125" xfId="2" applyNumberFormat="1" applyFont="1" applyBorder="1" applyAlignment="1">
      <alignment horizontal="right" vertical="center" wrapText="1"/>
    </xf>
    <xf numFmtId="49" fontId="53" fillId="0" borderId="30" xfId="0" applyNumberFormat="1" applyFont="1" applyBorder="1" applyAlignment="1">
      <alignment horizontal="left" vertical="center"/>
    </xf>
    <xf numFmtId="49" fontId="51" fillId="0" borderId="30" xfId="0" applyNumberFormat="1" applyFont="1" applyBorder="1" applyAlignment="1">
      <alignment horizontal="left" vertical="center"/>
    </xf>
    <xf numFmtId="49" fontId="8" fillId="0" borderId="30" xfId="6" applyNumberFormat="1" applyFont="1" applyBorder="1" applyAlignment="1">
      <alignment horizontal="left" vertical="center"/>
    </xf>
    <xf numFmtId="49" fontId="8" fillId="0" borderId="125" xfId="6" applyNumberFormat="1" applyFont="1" applyBorder="1"/>
    <xf numFmtId="49" fontId="8" fillId="0" borderId="125" xfId="6" applyNumberFormat="1" applyFont="1" applyBorder="1" applyAlignment="1">
      <alignment horizontal="right"/>
    </xf>
    <xf numFmtId="4" fontId="8" fillId="0" borderId="125" xfId="6" applyNumberFormat="1" applyFont="1" applyBorder="1" applyAlignment="1">
      <alignment horizontal="right" vertical="center" wrapText="1"/>
    </xf>
    <xf numFmtId="49" fontId="8" fillId="0" borderId="125" xfId="6" applyNumberFormat="1" applyFont="1" applyBorder="1" applyAlignment="1">
      <alignment horizontal="right" vertical="center"/>
    </xf>
    <xf numFmtId="49" fontId="51" fillId="0" borderId="125" xfId="0" applyNumberFormat="1" applyFont="1" applyBorder="1"/>
    <xf numFmtId="49" fontId="51" fillId="0" borderId="125" xfId="0" applyNumberFormat="1" applyFont="1" applyBorder="1" applyAlignment="1">
      <alignment horizontal="right" vertical="center"/>
    </xf>
    <xf numFmtId="4" fontId="51" fillId="0" borderId="125" xfId="0" applyNumberFormat="1" applyFont="1" applyBorder="1" applyAlignment="1">
      <alignment horizontal="right" vertical="center" wrapText="1"/>
    </xf>
    <xf numFmtId="44" fontId="51" fillId="0" borderId="125" xfId="0" applyNumberFormat="1" applyFont="1" applyBorder="1" applyAlignment="1">
      <alignment horizontal="right" vertical="center" wrapText="1"/>
    </xf>
    <xf numFmtId="49" fontId="51" fillId="0" borderId="125" xfId="0" applyNumberFormat="1" applyFont="1" applyBorder="1" applyAlignment="1">
      <alignment horizontal="right"/>
    </xf>
    <xf numFmtId="49" fontId="6" fillId="0" borderId="30" xfId="0" applyNumberFormat="1" applyFont="1" applyBorder="1" applyAlignment="1">
      <alignment horizontal="left" vertical="center"/>
    </xf>
    <xf numFmtId="49" fontId="6" fillId="0" borderId="125" xfId="0" applyNumberFormat="1" applyFont="1" applyBorder="1"/>
    <xf numFmtId="49" fontId="51" fillId="0" borderId="32" xfId="0" applyNumberFormat="1" applyFont="1" applyBorder="1" applyAlignment="1">
      <alignment horizontal="left" vertical="center"/>
    </xf>
    <xf numFmtId="49" fontId="51" fillId="0" borderId="126" xfId="0" applyNumberFormat="1" applyFont="1" applyBorder="1"/>
    <xf numFmtId="49" fontId="51" fillId="0" borderId="126" xfId="0" applyNumberFormat="1" applyFont="1" applyBorder="1" applyAlignment="1">
      <alignment horizontal="right" vertical="center"/>
    </xf>
    <xf numFmtId="4" fontId="51" fillId="0" borderId="126" xfId="0" applyNumberFormat="1" applyFont="1" applyBorder="1" applyAlignment="1">
      <alignment horizontal="right" vertical="center" wrapText="1"/>
    </xf>
    <xf numFmtId="0" fontId="52" fillId="0" borderId="9" xfId="2" applyFont="1" applyBorder="1" applyAlignment="1">
      <alignment horizontal="center" vertical="center"/>
    </xf>
    <xf numFmtId="49" fontId="53" fillId="0" borderId="125" xfId="2" applyNumberFormat="1" applyFont="1" applyBorder="1" applyAlignment="1">
      <alignment horizontal="right"/>
    </xf>
    <xf numFmtId="49" fontId="53" fillId="0" borderId="125" xfId="2" applyNumberFormat="1" applyFont="1" applyBorder="1" applyAlignment="1">
      <alignment horizontal="right" vertical="center"/>
    </xf>
    <xf numFmtId="44" fontId="52" fillId="0" borderId="31" xfId="2" applyNumberFormat="1" applyFont="1" applyBorder="1" applyAlignment="1">
      <alignment horizontal="right" vertical="center"/>
    </xf>
    <xf numFmtId="44" fontId="52" fillId="0" borderId="30" xfId="2" applyNumberFormat="1" applyFont="1" applyBorder="1" applyAlignment="1">
      <alignment horizontal="right" vertical="center"/>
    </xf>
    <xf numFmtId="44" fontId="56" fillId="0" borderId="30" xfId="6" applyNumberFormat="1" applyFont="1" applyBorder="1" applyAlignment="1">
      <alignment horizontal="right" vertical="center"/>
    </xf>
    <xf numFmtId="44" fontId="56" fillId="0" borderId="31" xfId="6" applyNumberFormat="1" applyFont="1" applyBorder="1" applyAlignment="1">
      <alignment horizontal="right" vertical="center"/>
    </xf>
    <xf numFmtId="44" fontId="54" fillId="0" borderId="30" xfId="0" applyNumberFormat="1" applyFont="1" applyBorder="1" applyAlignment="1">
      <alignment horizontal="right" vertical="center"/>
    </xf>
    <xf numFmtId="44" fontId="54" fillId="0" borderId="31" xfId="0" applyNumberFormat="1" applyFont="1" applyBorder="1" applyAlignment="1">
      <alignment horizontal="right" vertical="center"/>
    </xf>
    <xf numFmtId="44" fontId="54" fillId="0" borderId="32" xfId="0" applyNumberFormat="1" applyFont="1" applyBorder="1" applyAlignment="1">
      <alignment horizontal="right" vertical="center"/>
    </xf>
    <xf numFmtId="44" fontId="54" fillId="0" borderId="33" xfId="0" applyNumberFormat="1" applyFont="1" applyBorder="1" applyAlignment="1">
      <alignment horizontal="right" vertical="center"/>
    </xf>
    <xf numFmtId="44" fontId="54" fillId="0" borderId="30" xfId="0" applyNumberFormat="1" applyFont="1" applyBorder="1" applyAlignment="1">
      <alignment horizontal="right"/>
    </xf>
    <xf numFmtId="49" fontId="8" fillId="0" borderId="28" xfId="6" applyNumberFormat="1" applyFont="1" applyBorder="1" applyAlignment="1">
      <alignment horizontal="left" vertical="center"/>
    </xf>
    <xf numFmtId="49" fontId="8" fillId="0" borderId="124" xfId="6" applyNumberFormat="1" applyFont="1" applyBorder="1"/>
    <xf numFmtId="49" fontId="8" fillId="0" borderId="124" xfId="6" applyNumberFormat="1" applyFont="1" applyBorder="1" applyAlignment="1">
      <alignment horizontal="right"/>
    </xf>
    <xf numFmtId="4" fontId="8" fillId="0" borderId="124" xfId="6" applyNumberFormat="1" applyFont="1" applyBorder="1" applyAlignment="1">
      <alignment horizontal="right" vertical="center" wrapText="1"/>
    </xf>
    <xf numFmtId="49" fontId="6" fillId="0" borderId="30" xfId="6" applyNumberFormat="1" applyFont="1" applyBorder="1" applyAlignment="1">
      <alignment horizontal="left" vertical="center"/>
    </xf>
    <xf numFmtId="49" fontId="6" fillId="0" borderId="125" xfId="6" applyNumberFormat="1" applyFont="1" applyBorder="1"/>
    <xf numFmtId="49" fontId="6" fillId="0" borderId="125" xfId="6" applyNumberFormat="1" applyFont="1" applyBorder="1" applyAlignment="1">
      <alignment horizontal="right"/>
    </xf>
    <xf numFmtId="4" fontId="6" fillId="0" borderId="125" xfId="6" applyNumberFormat="1" applyFont="1" applyBorder="1" applyAlignment="1">
      <alignment horizontal="right" vertical="center" wrapText="1"/>
    </xf>
    <xf numFmtId="44" fontId="56" fillId="0" borderId="28" xfId="6" applyNumberFormat="1" applyFont="1" applyBorder="1" applyAlignment="1">
      <alignment horizontal="right" vertical="center"/>
    </xf>
    <xf numFmtId="44" fontId="56" fillId="0" borderId="29" xfId="6" applyNumberFormat="1" applyFont="1" applyBorder="1" applyAlignment="1">
      <alignment horizontal="right" vertical="center"/>
    </xf>
    <xf numFmtId="49" fontId="51" fillId="0" borderId="126" xfId="0" applyNumberFormat="1" applyFont="1" applyBorder="1" applyAlignment="1">
      <alignment horizontal="right"/>
    </xf>
    <xf numFmtId="44" fontId="73" fillId="24" borderId="78" xfId="0" applyNumberFormat="1" applyFont="1" applyFill="1" applyBorder="1" applyAlignment="1">
      <alignment horizontal="left" vertical="center"/>
    </xf>
    <xf numFmtId="44" fontId="73" fillId="24" borderId="79" xfId="0" applyNumberFormat="1" applyFont="1" applyFill="1" applyBorder="1" applyAlignment="1">
      <alignment horizontal="left" vertical="center"/>
    </xf>
    <xf numFmtId="44" fontId="51" fillId="12" borderId="93" xfId="0" applyNumberFormat="1" applyFont="1" applyFill="1" applyBorder="1" applyAlignment="1">
      <alignment horizontal="right" vertical="center"/>
    </xf>
    <xf numFmtId="0" fontId="51" fillId="12" borderId="37" xfId="0" applyFont="1" applyFill="1" applyBorder="1" applyAlignment="1">
      <alignment horizontal="right" vertical="center"/>
    </xf>
    <xf numFmtId="44" fontId="51" fillId="12" borderId="63" xfId="0" applyNumberFormat="1" applyFont="1" applyFill="1" applyBorder="1" applyAlignment="1">
      <alignment horizontal="right" vertical="center"/>
    </xf>
    <xf numFmtId="0" fontId="72" fillId="24" borderId="63" xfId="0" applyFont="1" applyFill="1" applyBorder="1" applyAlignment="1">
      <alignment horizontal="right" vertical="center"/>
    </xf>
    <xf numFmtId="44" fontId="54" fillId="12" borderId="119" xfId="0" applyNumberFormat="1" applyFont="1" applyFill="1" applyBorder="1" applyAlignment="1">
      <alignment horizontal="right" vertical="center"/>
    </xf>
    <xf numFmtId="44" fontId="54" fillId="12" borderId="120" xfId="0" applyNumberFormat="1" applyFont="1" applyFill="1" applyBorder="1" applyAlignment="1">
      <alignment horizontal="right" vertical="center"/>
    </xf>
    <xf numFmtId="44" fontId="54" fillId="13" borderId="120" xfId="0" applyNumberFormat="1" applyFont="1" applyFill="1" applyBorder="1" applyAlignment="1">
      <alignment horizontal="right" vertical="center"/>
    </xf>
    <xf numFmtId="44" fontId="54" fillId="13" borderId="122" xfId="0" applyNumberFormat="1" applyFont="1" applyFill="1" applyBorder="1" applyAlignment="1">
      <alignment horizontal="right" vertical="center"/>
    </xf>
    <xf numFmtId="0" fontId="51" fillId="13" borderId="37" xfId="0" applyFont="1" applyFill="1" applyBorder="1" applyAlignment="1">
      <alignment horizontal="right" vertical="center"/>
    </xf>
    <xf numFmtId="44" fontId="54" fillId="0" borderId="43" xfId="0" applyNumberFormat="1" applyFont="1" applyBorder="1" applyAlignment="1">
      <alignment horizontal="right" vertical="center"/>
    </xf>
    <xf numFmtId="44" fontId="54" fillId="14" borderId="123" xfId="0" applyNumberFormat="1" applyFont="1" applyFill="1" applyBorder="1" applyAlignment="1">
      <alignment horizontal="right" vertical="center"/>
    </xf>
    <xf numFmtId="44" fontId="54" fillId="14" borderId="121" xfId="0" applyNumberFormat="1" applyFont="1" applyFill="1" applyBorder="1" applyAlignment="1">
      <alignment horizontal="right" vertical="center"/>
    </xf>
    <xf numFmtId="167" fontId="51" fillId="14" borderId="64" xfId="0" applyNumberFormat="1" applyFont="1" applyFill="1" applyBorder="1" applyAlignment="1">
      <alignment horizontal="right" vertical="center"/>
    </xf>
    <xf numFmtId="44" fontId="51" fillId="13" borderId="88" xfId="0" applyNumberFormat="1" applyFont="1" applyFill="1" applyBorder="1" applyAlignment="1">
      <alignment horizontal="right" vertical="center"/>
    </xf>
    <xf numFmtId="44" fontId="51" fillId="13" borderId="45" xfId="0" applyNumberFormat="1" applyFont="1" applyFill="1" applyBorder="1" applyAlignment="1">
      <alignment horizontal="right" vertical="center"/>
    </xf>
    <xf numFmtId="14" fontId="51" fillId="14" borderId="1" xfId="0" applyNumberFormat="1" applyFont="1" applyFill="1" applyBorder="1" applyAlignment="1">
      <alignment horizontal="right" vertical="center"/>
    </xf>
    <xf numFmtId="14" fontId="51" fillId="14" borderId="130" xfId="0" applyNumberFormat="1" applyFont="1" applyFill="1" applyBorder="1" applyAlignment="1">
      <alignment horizontal="right" vertical="center"/>
    </xf>
    <xf numFmtId="0" fontId="53" fillId="0" borderId="125" xfId="2" applyFont="1" applyBorder="1" applyAlignment="1">
      <alignment horizontal="right"/>
    </xf>
    <xf numFmtId="0" fontId="75" fillId="0" borderId="0" xfId="0" applyFont="1"/>
    <xf numFmtId="8" fontId="44" fillId="0" borderId="0" xfId="0" applyNumberFormat="1" applyFont="1"/>
    <xf numFmtId="0" fontId="72" fillId="24" borderId="70" xfId="0" applyFont="1" applyFill="1" applyBorder="1" applyAlignment="1">
      <alignment horizontal="right" vertical="center"/>
    </xf>
    <xf numFmtId="4" fontId="72" fillId="24" borderId="5" xfId="0" applyNumberFormat="1" applyFont="1" applyFill="1" applyBorder="1" applyAlignment="1">
      <alignment horizontal="left" vertical="center"/>
    </xf>
    <xf numFmtId="4" fontId="72" fillId="24" borderId="71" xfId="0" applyNumberFormat="1" applyFont="1" applyFill="1" applyBorder="1" applyAlignment="1">
      <alignment horizontal="left" vertical="center"/>
    </xf>
    <xf numFmtId="14" fontId="51" fillId="12" borderId="98" xfId="0" applyNumberFormat="1" applyFont="1" applyFill="1" applyBorder="1" applyAlignment="1">
      <alignment horizontal="right" vertical="center"/>
    </xf>
    <xf numFmtId="14" fontId="51" fillId="12" borderId="1" xfId="0" applyNumberFormat="1" applyFont="1" applyFill="1" applyBorder="1" applyAlignment="1">
      <alignment horizontal="right" vertical="center"/>
    </xf>
    <xf numFmtId="14" fontId="51" fillId="13" borderId="98" xfId="0" applyNumberFormat="1" applyFont="1" applyFill="1" applyBorder="1" applyAlignment="1">
      <alignment horizontal="right" vertical="center"/>
    </xf>
    <xf numFmtId="44" fontId="51" fillId="13" borderId="131" xfId="0" applyNumberFormat="1" applyFont="1" applyFill="1" applyBorder="1" applyAlignment="1">
      <alignment horizontal="right" vertical="center"/>
    </xf>
    <xf numFmtId="167" fontId="51" fillId="14" borderId="128" xfId="0" applyNumberFormat="1" applyFont="1" applyFill="1" applyBorder="1" applyAlignment="1">
      <alignment horizontal="right" vertical="center"/>
    </xf>
    <xf numFmtId="167" fontId="51" fillId="14" borderId="71" xfId="0" applyNumberFormat="1" applyFont="1" applyFill="1" applyBorder="1" applyAlignment="1">
      <alignment horizontal="right" vertical="center"/>
    </xf>
    <xf numFmtId="0" fontId="51" fillId="14" borderId="94" xfId="0" applyFont="1" applyFill="1" applyBorder="1" applyAlignment="1">
      <alignment horizontal="right" vertical="center"/>
    </xf>
    <xf numFmtId="14" fontId="51" fillId="14" borderId="96" xfId="0" applyNumberFormat="1" applyFont="1" applyFill="1" applyBorder="1" applyAlignment="1">
      <alignment horizontal="right" vertical="center"/>
    </xf>
    <xf numFmtId="14" fontId="57" fillId="14" borderId="82" xfId="0" applyNumberFormat="1" applyFont="1" applyFill="1" applyBorder="1" applyAlignment="1">
      <alignment horizontal="right" vertical="center"/>
    </xf>
    <xf numFmtId="0" fontId="51" fillId="14" borderId="82" xfId="0" applyFont="1" applyFill="1" applyBorder="1" applyAlignment="1">
      <alignment horizontal="right" vertical="center"/>
    </xf>
    <xf numFmtId="14" fontId="51" fillId="23" borderId="93" xfId="0" applyNumberFormat="1" applyFont="1" applyFill="1" applyBorder="1" applyAlignment="1">
      <alignment horizontal="right" vertical="center"/>
    </xf>
    <xf numFmtId="14" fontId="51" fillId="23" borderId="94" xfId="0" applyNumberFormat="1" applyFont="1" applyFill="1" applyBorder="1" applyAlignment="1">
      <alignment horizontal="right" vertical="center"/>
    </xf>
    <xf numFmtId="14" fontId="51" fillId="23" borderId="82" xfId="0" applyNumberFormat="1" applyFont="1" applyFill="1" applyBorder="1" applyAlignment="1">
      <alignment horizontal="right" vertical="center"/>
    </xf>
    <xf numFmtId="14" fontId="51" fillId="23" borderId="82" xfId="0" applyNumberFormat="1" applyFont="1" applyFill="1" applyBorder="1" applyAlignment="1">
      <alignment horizontal="left" vertical="center"/>
    </xf>
    <xf numFmtId="14" fontId="51" fillId="23" borderId="1" xfId="0" applyNumberFormat="1" applyFont="1" applyFill="1" applyBorder="1" applyAlignment="1">
      <alignment horizontal="right" vertical="center"/>
    </xf>
    <xf numFmtId="14" fontId="51" fillId="23" borderId="10" xfId="0" applyNumberFormat="1" applyFont="1" applyFill="1" applyBorder="1" applyAlignment="1">
      <alignment horizontal="left" vertical="center"/>
    </xf>
    <xf numFmtId="0" fontId="51" fillId="23" borderId="82" xfId="0" applyFont="1" applyFill="1" applyBorder="1" applyAlignment="1">
      <alignment horizontal="right" vertical="center"/>
    </xf>
    <xf numFmtId="0" fontId="51" fillId="23" borderId="94" xfId="0" applyFont="1" applyFill="1" applyBorder="1" applyAlignment="1">
      <alignment horizontal="right" vertical="center"/>
    </xf>
    <xf numFmtId="14" fontId="51" fillId="23" borderId="96" xfId="0" applyNumberFormat="1" applyFont="1" applyFill="1" applyBorder="1" applyAlignment="1">
      <alignment horizontal="right" vertical="center"/>
    </xf>
    <xf numFmtId="0" fontId="51" fillId="23" borderId="96" xfId="0" applyFont="1" applyFill="1" applyBorder="1" applyAlignment="1">
      <alignment horizontal="right" vertical="center"/>
    </xf>
    <xf numFmtId="44" fontId="51" fillId="14" borderId="103" xfId="0" applyNumberFormat="1" applyFont="1" applyFill="1" applyBorder="1" applyAlignment="1">
      <alignment horizontal="left" vertical="center"/>
    </xf>
    <xf numFmtId="0" fontId="51" fillId="14" borderId="103" xfId="0" applyFont="1" applyFill="1" applyBorder="1" applyAlignment="1">
      <alignment horizontal="left" vertical="center"/>
    </xf>
    <xf numFmtId="44" fontId="51" fillId="13" borderId="45" xfId="0" applyNumberFormat="1" applyFont="1" applyFill="1" applyBorder="1" applyAlignment="1">
      <alignment horizontal="left" vertical="center"/>
    </xf>
    <xf numFmtId="44" fontId="51" fillId="13" borderId="132" xfId="0" applyNumberFormat="1" applyFont="1" applyFill="1" applyBorder="1" applyAlignment="1">
      <alignment horizontal="left" vertical="center"/>
    </xf>
    <xf numFmtId="14" fontId="51" fillId="14" borderId="133" xfId="0" applyNumberFormat="1" applyFont="1" applyFill="1" applyBorder="1" applyAlignment="1">
      <alignment horizontal="right" vertical="center"/>
    </xf>
    <xf numFmtId="44" fontId="51" fillId="14" borderId="134" xfId="0" applyNumberFormat="1" applyFont="1" applyFill="1" applyBorder="1" applyAlignment="1">
      <alignment horizontal="left" vertical="center"/>
    </xf>
    <xf numFmtId="0" fontId="51" fillId="14" borderId="103" xfId="0" applyFont="1" applyFill="1" applyBorder="1" applyAlignment="1">
      <alignment horizontal="right" vertical="center"/>
    </xf>
    <xf numFmtId="4" fontId="51" fillId="14" borderId="103" xfId="0" applyNumberFormat="1" applyFont="1" applyFill="1" applyBorder="1" applyAlignment="1">
      <alignment horizontal="left" vertical="center"/>
    </xf>
    <xf numFmtId="0" fontId="51" fillId="14" borderId="130" xfId="0" applyFont="1" applyFill="1" applyBorder="1" applyAlignment="1">
      <alignment horizontal="left" vertical="center"/>
    </xf>
    <xf numFmtId="44" fontId="51" fillId="14" borderId="138" xfId="0" applyNumberFormat="1" applyFont="1" applyFill="1" applyBorder="1" applyAlignment="1">
      <alignment horizontal="left" vertical="center"/>
    </xf>
    <xf numFmtId="0" fontId="51" fillId="14" borderId="130" xfId="0" applyFont="1" applyFill="1" applyBorder="1" applyAlignment="1">
      <alignment horizontal="right" vertical="center"/>
    </xf>
    <xf numFmtId="4" fontId="51" fillId="14" borderId="138" xfId="0" applyNumberFormat="1" applyFont="1" applyFill="1" applyBorder="1" applyAlignment="1">
      <alignment horizontal="left" vertical="center"/>
    </xf>
    <xf numFmtId="14" fontId="51" fillId="14" borderId="139" xfId="0" applyNumberFormat="1" applyFont="1" applyFill="1" applyBorder="1" applyAlignment="1">
      <alignment horizontal="right" vertical="center"/>
    </xf>
    <xf numFmtId="14" fontId="51" fillId="14" borderId="140" xfId="0" applyNumberFormat="1" applyFont="1" applyFill="1" applyBorder="1" applyAlignment="1">
      <alignment horizontal="right" vertical="center"/>
    </xf>
    <xf numFmtId="44" fontId="54" fillId="14" borderId="140" xfId="0" applyNumberFormat="1" applyFont="1" applyFill="1" applyBorder="1" applyAlignment="1">
      <alignment horizontal="left" vertical="center"/>
    </xf>
    <xf numFmtId="44" fontId="54" fillId="14" borderId="141" xfId="0" applyNumberFormat="1" applyFont="1" applyFill="1" applyBorder="1" applyAlignment="1">
      <alignment horizontal="left" vertical="center"/>
    </xf>
    <xf numFmtId="49" fontId="51" fillId="14" borderId="82" xfId="0" applyNumberFormat="1" applyFont="1" applyFill="1" applyBorder="1" applyAlignment="1">
      <alignment horizontal="right" vertical="center"/>
    </xf>
    <xf numFmtId="49" fontId="51" fillId="14" borderId="1" xfId="0" applyNumberFormat="1" applyFont="1" applyFill="1" applyBorder="1" applyAlignment="1">
      <alignment horizontal="right" vertical="center"/>
    </xf>
    <xf numFmtId="14" fontId="51" fillId="14" borderId="95" xfId="0" applyNumberFormat="1" applyFont="1" applyFill="1" applyBorder="1" applyAlignment="1">
      <alignment horizontal="right" vertical="center"/>
    </xf>
    <xf numFmtId="44" fontId="54" fillId="14" borderId="95" xfId="0" applyNumberFormat="1" applyFont="1" applyFill="1" applyBorder="1" applyAlignment="1">
      <alignment horizontal="left" vertical="center"/>
    </xf>
    <xf numFmtId="49" fontId="51" fillId="14" borderId="103" xfId="0" applyNumberFormat="1" applyFont="1" applyFill="1" applyBorder="1" applyAlignment="1">
      <alignment horizontal="right" vertical="center"/>
    </xf>
    <xf numFmtId="44" fontId="51" fillId="14" borderId="103" xfId="0" applyNumberFormat="1" applyFont="1" applyFill="1" applyBorder="1" applyAlignment="1">
      <alignment horizontal="right" vertical="center"/>
    </xf>
    <xf numFmtId="14" fontId="51" fillId="14" borderId="135" xfId="0" applyNumberFormat="1" applyFont="1" applyFill="1" applyBorder="1" applyAlignment="1">
      <alignment horizontal="right" vertical="center"/>
    </xf>
    <xf numFmtId="49" fontId="51" fillId="14" borderId="136" xfId="0" applyNumberFormat="1" applyFont="1" applyFill="1" applyBorder="1" applyAlignment="1">
      <alignment horizontal="right" vertical="center"/>
    </xf>
    <xf numFmtId="44" fontId="51" fillId="14" borderId="136" xfId="0" applyNumberFormat="1" applyFont="1" applyFill="1" applyBorder="1" applyAlignment="1">
      <alignment horizontal="right" vertical="center"/>
    </xf>
    <xf numFmtId="44" fontId="51" fillId="14" borderId="137" xfId="0" applyNumberFormat="1" applyFont="1" applyFill="1" applyBorder="1" applyAlignment="1">
      <alignment horizontal="right" vertical="center"/>
    </xf>
    <xf numFmtId="44" fontId="51" fillId="14" borderId="138" xfId="0" applyNumberFormat="1" applyFont="1" applyFill="1" applyBorder="1" applyAlignment="1">
      <alignment horizontal="right" vertical="center"/>
    </xf>
    <xf numFmtId="44" fontId="51" fillId="14" borderId="140" xfId="0" applyNumberFormat="1" applyFont="1" applyFill="1" applyBorder="1" applyAlignment="1">
      <alignment horizontal="right" vertical="center"/>
    </xf>
    <xf numFmtId="44" fontId="51" fillId="14" borderId="141" xfId="0" applyNumberFormat="1" applyFont="1" applyFill="1" applyBorder="1" applyAlignment="1">
      <alignment horizontal="right" vertical="center"/>
    </xf>
    <xf numFmtId="44" fontId="72" fillId="24" borderId="93" xfId="0" applyNumberFormat="1" applyFont="1" applyFill="1" applyBorder="1" applyAlignment="1">
      <alignment horizontal="left" vertical="center"/>
    </xf>
    <xf numFmtId="44" fontId="72" fillId="24" borderId="82" xfId="0" applyNumberFormat="1" applyFont="1" applyFill="1" applyBorder="1" applyAlignment="1">
      <alignment horizontal="left" vertical="center"/>
    </xf>
    <xf numFmtId="4" fontId="72" fillId="24" borderId="82" xfId="0" applyNumberFormat="1" applyFont="1" applyFill="1" applyBorder="1" applyAlignment="1">
      <alignment horizontal="left" vertical="center"/>
    </xf>
    <xf numFmtId="44" fontId="51" fillId="24" borderId="82" xfId="0" applyNumberFormat="1" applyFont="1" applyFill="1" applyBorder="1" applyAlignment="1">
      <alignment horizontal="left" vertical="center"/>
    </xf>
    <xf numFmtId="4" fontId="51" fillId="24" borderId="82" xfId="0" applyNumberFormat="1" applyFont="1" applyFill="1" applyBorder="1" applyAlignment="1">
      <alignment horizontal="left" vertical="center"/>
    </xf>
    <xf numFmtId="4" fontId="51" fillId="24" borderId="94" xfId="0" applyNumberFormat="1" applyFont="1" applyFill="1" applyBorder="1" applyAlignment="1">
      <alignment horizontal="left" vertical="center"/>
    </xf>
    <xf numFmtId="4" fontId="73" fillId="24" borderId="96" xfId="0" applyNumberFormat="1" applyFont="1" applyFill="1" applyBorder="1" applyAlignment="1">
      <alignment horizontal="left" vertical="center"/>
    </xf>
    <xf numFmtId="44" fontId="51" fillId="13" borderId="127" xfId="0" applyNumberFormat="1" applyFont="1" applyFill="1" applyBorder="1" applyAlignment="1">
      <alignment horizontal="right" vertical="center"/>
    </xf>
    <xf numFmtId="14" fontId="51" fillId="12" borderId="103" xfId="0" applyNumberFormat="1" applyFont="1" applyFill="1" applyBorder="1" applyAlignment="1">
      <alignment horizontal="right" vertical="center"/>
    </xf>
    <xf numFmtId="44" fontId="51" fillId="12" borderId="103" xfId="0" applyNumberFormat="1" applyFont="1" applyFill="1" applyBorder="1" applyAlignment="1">
      <alignment horizontal="left" vertical="center"/>
    </xf>
    <xf numFmtId="4" fontId="51" fillId="12" borderId="103" xfId="0" applyNumberFormat="1" applyFont="1" applyFill="1" applyBorder="1" applyAlignment="1">
      <alignment horizontal="left" vertical="center"/>
    </xf>
    <xf numFmtId="14" fontId="51" fillId="14" borderId="142" xfId="0" applyNumberFormat="1" applyFont="1" applyFill="1" applyBorder="1" applyAlignment="1">
      <alignment horizontal="right" vertical="center"/>
    </xf>
    <xf numFmtId="49" fontId="51" fillId="14" borderId="143" xfId="0" applyNumberFormat="1" applyFont="1" applyFill="1" applyBorder="1" applyAlignment="1">
      <alignment horizontal="right" vertical="center"/>
    </xf>
    <xf numFmtId="44" fontId="51" fillId="14" borderId="143" xfId="0" applyNumberFormat="1" applyFont="1" applyFill="1" applyBorder="1" applyAlignment="1">
      <alignment horizontal="right" vertical="center"/>
    </xf>
    <xf numFmtId="44" fontId="51" fillId="14" borderId="144" xfId="0" applyNumberFormat="1" applyFont="1" applyFill="1" applyBorder="1" applyAlignment="1">
      <alignment horizontal="right" vertical="center"/>
    </xf>
    <xf numFmtId="44" fontId="51" fillId="13" borderId="103" xfId="0" applyNumberFormat="1" applyFont="1" applyFill="1" applyBorder="1" applyAlignment="1">
      <alignment horizontal="right" vertical="center"/>
    </xf>
    <xf numFmtId="44" fontId="51" fillId="13" borderId="103" xfId="0" applyNumberFormat="1" applyFont="1" applyFill="1" applyBorder="1" applyAlignment="1">
      <alignment horizontal="left" vertical="center"/>
    </xf>
    <xf numFmtId="14" fontId="51" fillId="13" borderId="135" xfId="0" applyNumberFormat="1" applyFont="1" applyFill="1" applyBorder="1" applyAlignment="1">
      <alignment horizontal="right" vertical="center"/>
    </xf>
    <xf numFmtId="44" fontId="51" fillId="13" borderId="136" xfId="0" applyNumberFormat="1" applyFont="1" applyFill="1" applyBorder="1" applyAlignment="1">
      <alignment horizontal="right" vertical="center"/>
    </xf>
    <xf numFmtId="44" fontId="51" fillId="13" borderId="137" xfId="0" applyNumberFormat="1" applyFont="1" applyFill="1" applyBorder="1" applyAlignment="1">
      <alignment horizontal="right" vertical="center"/>
    </xf>
    <xf numFmtId="14" fontId="51" fillId="13" borderId="130" xfId="0" applyNumberFormat="1" applyFont="1" applyFill="1" applyBorder="1" applyAlignment="1">
      <alignment horizontal="right" vertical="center"/>
    </xf>
    <xf numFmtId="44" fontId="51" fillId="13" borderId="138" xfId="0" applyNumberFormat="1" applyFont="1" applyFill="1" applyBorder="1" applyAlignment="1">
      <alignment horizontal="right" vertical="center"/>
    </xf>
    <xf numFmtId="44" fontId="51" fillId="13" borderId="138" xfId="0" applyNumberFormat="1" applyFont="1" applyFill="1" applyBorder="1" applyAlignment="1">
      <alignment horizontal="left" vertical="center"/>
    </xf>
    <xf numFmtId="14" fontId="51" fillId="13" borderId="139" xfId="0" applyNumberFormat="1" applyFont="1" applyFill="1" applyBorder="1" applyAlignment="1">
      <alignment horizontal="right" vertical="center"/>
    </xf>
    <xf numFmtId="44" fontId="51" fillId="13" borderId="140" xfId="0" applyNumberFormat="1" applyFont="1" applyFill="1" applyBorder="1" applyAlignment="1">
      <alignment horizontal="right" vertical="center"/>
    </xf>
    <xf numFmtId="44" fontId="51" fillId="13" borderId="141" xfId="0" applyNumberFormat="1" applyFont="1" applyFill="1" applyBorder="1" applyAlignment="1">
      <alignment horizontal="right" vertical="center"/>
    </xf>
    <xf numFmtId="14" fontId="51" fillId="12" borderId="135" xfId="0" applyNumberFormat="1" applyFont="1" applyFill="1" applyBorder="1" applyAlignment="1">
      <alignment horizontal="right" vertical="center"/>
    </xf>
    <xf numFmtId="14" fontId="51" fillId="12" borderId="136" xfId="0" applyNumberFormat="1" applyFont="1" applyFill="1" applyBorder="1" applyAlignment="1">
      <alignment horizontal="right" vertical="center"/>
    </xf>
    <xf numFmtId="14" fontId="51" fillId="12" borderId="137" xfId="0" applyNumberFormat="1" applyFont="1" applyFill="1" applyBorder="1" applyAlignment="1">
      <alignment horizontal="right" vertical="center"/>
    </xf>
    <xf numFmtId="14" fontId="51" fillId="12" borderId="130" xfId="0" applyNumberFormat="1" applyFont="1" applyFill="1" applyBorder="1" applyAlignment="1">
      <alignment horizontal="right" vertical="center"/>
    </xf>
    <xf numFmtId="14" fontId="51" fillId="12" borderId="138" xfId="0" applyNumberFormat="1" applyFont="1" applyFill="1" applyBorder="1" applyAlignment="1">
      <alignment horizontal="right" vertical="center"/>
    </xf>
    <xf numFmtId="44" fontId="51" fillId="12" borderId="138" xfId="0" applyNumberFormat="1" applyFont="1" applyFill="1" applyBorder="1" applyAlignment="1">
      <alignment horizontal="left" vertical="center"/>
    </xf>
    <xf numFmtId="0" fontId="51" fillId="12" borderId="130" xfId="0" applyFont="1" applyFill="1" applyBorder="1" applyAlignment="1">
      <alignment horizontal="right" vertical="center"/>
    </xf>
    <xf numFmtId="4" fontId="51" fillId="12" borderId="138" xfId="0" applyNumberFormat="1" applyFont="1" applyFill="1" applyBorder="1" applyAlignment="1">
      <alignment horizontal="left" vertical="center"/>
    </xf>
    <xf numFmtId="14" fontId="51" fillId="12" borderId="139" xfId="0" applyNumberFormat="1" applyFont="1" applyFill="1" applyBorder="1" applyAlignment="1">
      <alignment horizontal="right" vertical="center"/>
    </xf>
    <xf numFmtId="14" fontId="51" fillId="12" borderId="140" xfId="0" applyNumberFormat="1" applyFont="1" applyFill="1" applyBorder="1" applyAlignment="1">
      <alignment horizontal="right" vertical="center"/>
    </xf>
    <xf numFmtId="14" fontId="51" fillId="12" borderId="141" xfId="0" applyNumberFormat="1" applyFont="1" applyFill="1" applyBorder="1" applyAlignment="1">
      <alignment horizontal="right" vertical="center"/>
    </xf>
    <xf numFmtId="14" fontId="2" fillId="9" borderId="130" xfId="7" applyNumberFormat="1" applyFill="1" applyBorder="1"/>
    <xf numFmtId="49" fontId="2" fillId="9" borderId="103" xfId="7" applyNumberFormat="1" applyFill="1" applyBorder="1"/>
    <xf numFmtId="4" fontId="2" fillId="9" borderId="138" xfId="7" applyNumberFormat="1" applyFill="1" applyBorder="1"/>
    <xf numFmtId="1" fontId="54" fillId="0" borderId="145" xfId="0" applyNumberFormat="1" applyFont="1" applyBorder="1" applyAlignment="1">
      <alignment horizontal="right"/>
    </xf>
    <xf numFmtId="1" fontId="54" fillId="14" borderId="129" xfId="0" applyNumberFormat="1" applyFont="1" applyFill="1" applyBorder="1" applyAlignment="1">
      <alignment horizontal="center"/>
    </xf>
    <xf numFmtId="1" fontId="54" fillId="14" borderId="6" xfId="0" applyNumberFormat="1" applyFont="1" applyFill="1" applyBorder="1" applyAlignment="1">
      <alignment horizontal="center"/>
    </xf>
    <xf numFmtId="1" fontId="54" fillId="14" borderId="25" xfId="0" applyNumberFormat="1" applyFont="1" applyFill="1" applyBorder="1" applyAlignment="1">
      <alignment horizontal="center"/>
    </xf>
    <xf numFmtId="1" fontId="54" fillId="14" borderId="7" xfId="0" applyNumberFormat="1" applyFont="1" applyFill="1" applyBorder="1" applyAlignment="1">
      <alignment horizontal="center"/>
    </xf>
    <xf numFmtId="44" fontId="54" fillId="13" borderId="146" xfId="0" applyNumberFormat="1" applyFont="1" applyFill="1" applyBorder="1" applyAlignment="1">
      <alignment horizontal="left" vertical="center"/>
    </xf>
    <xf numFmtId="0" fontId="51" fillId="14" borderId="147" xfId="0" applyFont="1" applyFill="1" applyBorder="1" applyAlignment="1">
      <alignment horizontal="left" vertical="center"/>
    </xf>
    <xf numFmtId="0" fontId="51" fillId="14" borderId="1" xfId="0" applyFont="1" applyFill="1" applyBorder="1" applyAlignment="1">
      <alignment horizontal="left" vertical="center"/>
    </xf>
    <xf numFmtId="14" fontId="2" fillId="9" borderId="148" xfId="7" applyNumberFormat="1" applyFill="1" applyBorder="1"/>
    <xf numFmtId="49" fontId="2" fillId="9" borderId="149" xfId="7" applyNumberFormat="1" applyFill="1" applyBorder="1"/>
    <xf numFmtId="44" fontId="51" fillId="14" borderId="149" xfId="0" applyNumberFormat="1" applyFont="1" applyFill="1" applyBorder="1" applyAlignment="1">
      <alignment horizontal="left" vertical="center"/>
    </xf>
    <xf numFmtId="4" fontId="2" fillId="9" borderId="150" xfId="7" applyNumberFormat="1" applyFill="1" applyBorder="1"/>
    <xf numFmtId="14" fontId="51" fillId="14" borderId="103" xfId="0" applyNumberFormat="1" applyFont="1" applyFill="1" applyBorder="1" applyAlignment="1">
      <alignment horizontal="left" vertical="center"/>
    </xf>
    <xf numFmtId="49" fontId="1" fillId="9" borderId="103" xfId="8" applyNumberFormat="1" applyFill="1" applyBorder="1"/>
    <xf numFmtId="44" fontId="51" fillId="9" borderId="103" xfId="0" applyNumberFormat="1" applyFont="1" applyFill="1" applyBorder="1" applyAlignment="1">
      <alignment horizontal="left" vertical="center"/>
    </xf>
    <xf numFmtId="14" fontId="1" fillId="9" borderId="130" xfId="8" applyNumberFormat="1" applyFill="1" applyBorder="1"/>
    <xf numFmtId="4" fontId="1" fillId="9" borderId="138" xfId="8" applyNumberFormat="1" applyFill="1" applyBorder="1"/>
    <xf numFmtId="14" fontId="51" fillId="14" borderId="130" xfId="0" applyNumberFormat="1" applyFont="1" applyFill="1" applyBorder="1" applyAlignment="1">
      <alignment horizontal="left" vertical="center"/>
    </xf>
    <xf numFmtId="0" fontId="51" fillId="14" borderId="139" xfId="0" applyFont="1" applyFill="1" applyBorder="1" applyAlignment="1">
      <alignment horizontal="left" vertical="center"/>
    </xf>
    <xf numFmtId="0" fontId="51" fillId="14" borderId="140" xfId="0" applyFont="1" applyFill="1" applyBorder="1" applyAlignment="1">
      <alignment horizontal="left" vertical="center"/>
    </xf>
    <xf numFmtId="44" fontId="8" fillId="9" borderId="101" xfId="6" applyNumberFormat="1" applyFont="1" applyFill="1" applyBorder="1" applyAlignment="1">
      <alignment horizontal="left" vertical="center"/>
    </xf>
    <xf numFmtId="44" fontId="56" fillId="0" borderId="108" xfId="6" applyNumberFormat="1" applyFont="1" applyBorder="1" applyAlignment="1">
      <alignment horizontal="left" vertical="center"/>
    </xf>
    <xf numFmtId="4" fontId="6" fillId="0" borderId="107" xfId="6" applyNumberFormat="1" applyFont="1" applyBorder="1" applyAlignment="1">
      <alignment horizontal="right" vertical="center" wrapText="1"/>
    </xf>
    <xf numFmtId="49" fontId="51" fillId="27" borderId="80" xfId="0" applyNumberFormat="1" applyFont="1" applyFill="1" applyBorder="1" applyAlignment="1">
      <alignment horizontal="left" vertical="center"/>
    </xf>
    <xf numFmtId="49" fontId="51" fillId="27" borderId="3" xfId="0" applyNumberFormat="1" applyFont="1" applyFill="1" applyBorder="1"/>
    <xf numFmtId="0" fontId="51" fillId="27" borderId="9" xfId="0" applyFont="1" applyFill="1" applyBorder="1"/>
    <xf numFmtId="49" fontId="51" fillId="27" borderId="4" xfId="0" applyNumberFormat="1" applyFont="1" applyFill="1" applyBorder="1" applyAlignment="1">
      <alignment horizontal="right"/>
    </xf>
    <xf numFmtId="4" fontId="51" fillId="27" borderId="11" xfId="0" applyNumberFormat="1" applyFont="1" applyFill="1" applyBorder="1" applyAlignment="1">
      <alignment horizontal="right" vertical="center" wrapText="1"/>
    </xf>
    <xf numFmtId="4" fontId="51" fillId="27" borderId="3" xfId="0" applyNumberFormat="1" applyFont="1" applyFill="1" applyBorder="1" applyAlignment="1">
      <alignment horizontal="right" vertical="center" wrapText="1"/>
    </xf>
    <xf numFmtId="14" fontId="51" fillId="27" borderId="3" xfId="0" applyNumberFormat="1" applyFont="1" applyFill="1" applyBorder="1" applyAlignment="1">
      <alignment horizontal="right" vertical="center" wrapText="1"/>
    </xf>
    <xf numFmtId="0" fontId="51" fillId="27" borderId="81" xfId="0" applyFont="1" applyFill="1" applyBorder="1" applyAlignment="1">
      <alignment horizontal="left" vertical="center" wrapText="1"/>
    </xf>
    <xf numFmtId="0" fontId="51" fillId="28" borderId="69" xfId="0" applyFont="1" applyFill="1" applyBorder="1" applyAlignment="1">
      <alignment horizontal="left" vertical="center"/>
    </xf>
    <xf numFmtId="44" fontId="51" fillId="28" borderId="67" xfId="0" applyNumberFormat="1" applyFont="1" applyFill="1" applyBorder="1" applyAlignment="1">
      <alignment horizontal="left" vertical="center"/>
    </xf>
    <xf numFmtId="44" fontId="51" fillId="28" borderId="64" xfId="0" applyNumberFormat="1" applyFont="1" applyFill="1" applyBorder="1" applyAlignment="1">
      <alignment horizontal="left" vertical="center"/>
    </xf>
    <xf numFmtId="14" fontId="51" fillId="28" borderId="69" xfId="0" applyNumberFormat="1" applyFont="1" applyFill="1" applyBorder="1" applyAlignment="1">
      <alignment horizontal="right" vertical="center"/>
    </xf>
    <xf numFmtId="44" fontId="51" fillId="28" borderId="82" xfId="0" applyNumberFormat="1" applyFont="1" applyFill="1" applyBorder="1" applyAlignment="1">
      <alignment horizontal="left" vertical="center"/>
    </xf>
    <xf numFmtId="14" fontId="1" fillId="27" borderId="135" xfId="8" applyNumberFormat="1" applyFill="1" applyBorder="1"/>
    <xf numFmtId="49" fontId="1" fillId="27" borderId="136" xfId="8" applyNumberFormat="1" applyFill="1" applyBorder="1"/>
    <xf numFmtId="44" fontId="51" fillId="27" borderId="136" xfId="0" applyNumberFormat="1" applyFont="1" applyFill="1" applyBorder="1" applyAlignment="1">
      <alignment horizontal="left" vertical="center"/>
    </xf>
    <xf numFmtId="4" fontId="1" fillId="27" borderId="137" xfId="8" applyNumberFormat="1" applyFill="1" applyBorder="1"/>
    <xf numFmtId="44" fontId="54" fillId="27" borderId="73" xfId="0" applyNumberFormat="1" applyFont="1" applyFill="1" applyBorder="1" applyAlignment="1">
      <alignment horizontal="left" vertical="center"/>
    </xf>
    <xf numFmtId="44" fontId="54" fillId="27" borderId="3" xfId="0" applyNumberFormat="1" applyFont="1" applyFill="1" applyBorder="1" applyAlignment="1">
      <alignment horizontal="left" vertical="center"/>
    </xf>
    <xf numFmtId="0" fontId="51" fillId="27" borderId="0" xfId="0" applyFont="1" applyFill="1"/>
    <xf numFmtId="49" fontId="51" fillId="14" borderId="103" xfId="0" applyNumberFormat="1" applyFont="1" applyFill="1" applyBorder="1" applyAlignment="1">
      <alignment horizontal="left" vertical="center"/>
    </xf>
    <xf numFmtId="42" fontId="0" fillId="0" borderId="0" xfId="0" applyNumberFormat="1"/>
    <xf numFmtId="44" fontId="54" fillId="14" borderId="59" xfId="0" applyNumberFormat="1" applyFont="1" applyFill="1" applyBorder="1" applyAlignment="1">
      <alignment horizontal="left" vertical="center"/>
    </xf>
    <xf numFmtId="44" fontId="54" fillId="14" borderId="58" xfId="0" applyNumberFormat="1" applyFont="1" applyFill="1" applyBorder="1" applyAlignment="1">
      <alignment horizontal="left" vertical="center"/>
    </xf>
    <xf numFmtId="44" fontId="8" fillId="9" borderId="48" xfId="6" applyNumberFormat="1" applyFont="1" applyFill="1" applyBorder="1" applyAlignment="1">
      <alignment horizontal="right" vertical="center"/>
    </xf>
    <xf numFmtId="44" fontId="8" fillId="9" borderId="49" xfId="6" applyNumberFormat="1" applyFont="1" applyFill="1" applyBorder="1" applyAlignment="1">
      <alignment horizontal="right" vertical="center"/>
    </xf>
    <xf numFmtId="14" fontId="60" fillId="9" borderId="38" xfId="6" applyNumberFormat="1" applyFont="1" applyFill="1" applyBorder="1" applyAlignment="1">
      <alignment horizontal="right" vertical="center"/>
    </xf>
    <xf numFmtId="44" fontId="60" fillId="9" borderId="31" xfId="6" applyNumberFormat="1" applyFont="1" applyFill="1" applyBorder="1" applyAlignment="1">
      <alignment horizontal="left" vertical="center"/>
    </xf>
    <xf numFmtId="44" fontId="60" fillId="9" borderId="35" xfId="6" applyNumberFormat="1" applyFont="1" applyFill="1" applyBorder="1" applyAlignment="1">
      <alignment horizontal="left" vertical="center"/>
    </xf>
    <xf numFmtId="0" fontId="51" fillId="0" borderId="46" xfId="0" applyFont="1" applyBorder="1" applyAlignment="1">
      <alignment horizontal="left" vertical="center" wrapText="1"/>
    </xf>
    <xf numFmtId="14" fontId="60" fillId="8" borderId="50" xfId="6" applyNumberFormat="1" applyFont="1" applyFill="1" applyBorder="1" applyAlignment="1">
      <alignment horizontal="right" vertical="center"/>
    </xf>
    <xf numFmtId="44" fontId="60" fillId="8" borderId="48" xfId="6" applyNumberFormat="1" applyFont="1" applyFill="1" applyBorder="1" applyAlignment="1">
      <alignment horizontal="right" vertical="center"/>
    </xf>
    <xf numFmtId="44" fontId="60" fillId="8" borderId="49" xfId="6" applyNumberFormat="1" applyFont="1" applyFill="1" applyBorder="1" applyAlignment="1">
      <alignment horizontal="right" vertical="center"/>
    </xf>
    <xf numFmtId="14" fontId="74" fillId="14" borderId="50" xfId="0" applyNumberFormat="1" applyFont="1" applyFill="1" applyBorder="1" applyAlignment="1">
      <alignment horizontal="right" vertical="center"/>
    </xf>
    <xf numFmtId="14" fontId="53" fillId="9" borderId="50" xfId="2" applyNumberFormat="1" applyFont="1" applyFill="1" applyBorder="1" applyAlignment="1">
      <alignment horizontal="left" vertical="center"/>
    </xf>
    <xf numFmtId="0" fontId="53" fillId="21" borderId="4" xfId="2" applyFont="1" applyFill="1" applyBorder="1" applyAlignment="1">
      <alignment horizontal="left"/>
    </xf>
    <xf numFmtId="49" fontId="53" fillId="21" borderId="4" xfId="2" applyNumberFormat="1" applyFont="1" applyFill="1" applyBorder="1" applyAlignment="1">
      <alignment horizontal="left"/>
    </xf>
    <xf numFmtId="4" fontId="53" fillId="21" borderId="11" xfId="2" applyNumberFormat="1" applyFont="1" applyFill="1" applyBorder="1" applyAlignment="1">
      <alignment horizontal="right" vertical="center" wrapText="1"/>
    </xf>
    <xf numFmtId="4" fontId="53" fillId="21" borderId="12" xfId="2" applyNumberFormat="1" applyFont="1" applyFill="1" applyBorder="1" applyAlignment="1">
      <alignment horizontal="right" vertical="center" wrapText="1"/>
    </xf>
    <xf numFmtId="44" fontId="53" fillId="21" borderId="54" xfId="2" applyNumberFormat="1" applyFont="1" applyFill="1" applyBorder="1" applyAlignment="1">
      <alignment horizontal="right" vertical="center"/>
    </xf>
    <xf numFmtId="0" fontId="53" fillId="21" borderId="37" xfId="2" applyFont="1" applyFill="1" applyBorder="1" applyAlignment="1">
      <alignment horizontal="right" vertical="center"/>
    </xf>
    <xf numFmtId="44" fontId="52" fillId="21" borderId="40" xfId="2" applyNumberFormat="1" applyFont="1" applyFill="1" applyBorder="1" applyAlignment="1">
      <alignment horizontal="left" vertical="center"/>
    </xf>
    <xf numFmtId="44" fontId="52" fillId="21" borderId="41" xfId="2" applyNumberFormat="1" applyFont="1" applyFill="1" applyBorder="1" applyAlignment="1">
      <alignment horizontal="right" vertical="center"/>
    </xf>
    <xf numFmtId="0" fontId="51" fillId="21" borderId="0" xfId="0" applyFont="1" applyFill="1" applyAlignment="1">
      <alignment horizontal="left"/>
    </xf>
    <xf numFmtId="0" fontId="51" fillId="21" borderId="0" xfId="0" applyFont="1" applyFill="1"/>
    <xf numFmtId="44" fontId="53" fillId="21" borderId="26" xfId="2" applyNumberFormat="1" applyFont="1" applyFill="1" applyBorder="1" applyAlignment="1">
      <alignment horizontal="left" vertical="center"/>
    </xf>
    <xf numFmtId="44" fontId="52" fillId="21" borderId="14" xfId="2" applyNumberFormat="1" applyFont="1" applyFill="1" applyBorder="1" applyAlignment="1">
      <alignment horizontal="left" vertical="center"/>
    </xf>
    <xf numFmtId="44" fontId="53" fillId="21" borderId="52" xfId="2" applyNumberFormat="1" applyFont="1" applyFill="1" applyBorder="1" applyAlignment="1">
      <alignment horizontal="right" vertical="center"/>
    </xf>
    <xf numFmtId="0" fontId="53" fillId="21" borderId="46" xfId="2" applyFont="1" applyFill="1" applyBorder="1" applyAlignment="1">
      <alignment horizontal="left" vertical="center" wrapText="1"/>
    </xf>
    <xf numFmtId="44" fontId="52" fillId="21" borderId="14" xfId="2" applyNumberFormat="1" applyFont="1" applyFill="1" applyBorder="1" applyAlignment="1">
      <alignment horizontal="right" vertical="center"/>
    </xf>
    <xf numFmtId="49" fontId="53" fillId="0" borderId="28" xfId="2" applyNumberFormat="1" applyFont="1" applyBorder="1" applyAlignment="1">
      <alignment horizontal="left" vertical="center"/>
    </xf>
    <xf numFmtId="49" fontId="53" fillId="0" borderId="124" xfId="2" applyNumberFormat="1" applyFont="1" applyBorder="1" applyAlignment="1">
      <alignment horizontal="center" vertical="center"/>
    </xf>
    <xf numFmtId="49" fontId="53" fillId="0" borderId="124" xfId="2" applyNumberFormat="1" applyFont="1" applyBorder="1" applyAlignment="1">
      <alignment horizontal="left"/>
    </xf>
    <xf numFmtId="49" fontId="53" fillId="0" borderId="124" xfId="2" applyNumberFormat="1" applyFont="1" applyBorder="1" applyAlignment="1">
      <alignment horizontal="right"/>
    </xf>
    <xf numFmtId="4" fontId="53" fillId="0" borderId="124" xfId="2" applyNumberFormat="1" applyFont="1" applyBorder="1" applyAlignment="1">
      <alignment horizontal="right" vertical="center" wrapText="1"/>
    </xf>
    <xf numFmtId="49" fontId="53" fillId="0" borderId="125" xfId="2" applyNumberFormat="1" applyFont="1" applyBorder="1" applyAlignment="1">
      <alignment horizontal="center" vertical="center"/>
    </xf>
    <xf numFmtId="44" fontId="52" fillId="0" borderId="29" xfId="2" applyNumberFormat="1" applyFont="1" applyBorder="1" applyAlignment="1">
      <alignment horizontal="right" vertical="center"/>
    </xf>
    <xf numFmtId="49" fontId="8" fillId="0" borderId="124" xfId="6" applyNumberFormat="1" applyFont="1" applyBorder="1" applyAlignment="1">
      <alignment horizontal="center" vertical="center"/>
    </xf>
    <xf numFmtId="49" fontId="8" fillId="0" borderId="125" xfId="6" applyNumberFormat="1" applyFont="1" applyBorder="1" applyAlignment="1">
      <alignment horizontal="center" vertical="center"/>
    </xf>
    <xf numFmtId="49" fontId="51" fillId="0" borderId="28" xfId="0" applyNumberFormat="1" applyFont="1" applyBorder="1" applyAlignment="1">
      <alignment horizontal="left" vertical="center"/>
    </xf>
    <xf numFmtId="49" fontId="51" fillId="0" borderId="124" xfId="0" applyNumberFormat="1" applyFont="1" applyBorder="1" applyAlignment="1">
      <alignment horizontal="center" vertical="center"/>
    </xf>
    <xf numFmtId="49" fontId="51" fillId="0" borderId="124" xfId="0" applyNumberFormat="1" applyFont="1" applyBorder="1"/>
    <xf numFmtId="49" fontId="51" fillId="0" borderId="124" xfId="0" applyNumberFormat="1" applyFont="1" applyBorder="1" applyAlignment="1">
      <alignment horizontal="right" vertical="center"/>
    </xf>
    <xf numFmtId="44" fontId="51" fillId="0" borderId="124" xfId="0" applyNumberFormat="1" applyFont="1" applyBorder="1" applyAlignment="1">
      <alignment horizontal="right" vertical="center" wrapText="1"/>
    </xf>
    <xf numFmtId="44" fontId="54" fillId="0" borderId="29" xfId="0" applyNumberFormat="1" applyFont="1" applyBorder="1" applyAlignment="1">
      <alignment horizontal="right" vertical="center"/>
    </xf>
    <xf numFmtId="49" fontId="51" fillId="0" borderId="125" xfId="0" applyNumberFormat="1" applyFont="1" applyBorder="1" applyAlignment="1">
      <alignment horizontal="center" vertical="center"/>
    </xf>
    <xf numFmtId="49" fontId="51" fillId="0" borderId="126" xfId="0" applyNumberFormat="1" applyFont="1" applyBorder="1" applyAlignment="1">
      <alignment horizontal="center" vertical="center"/>
    </xf>
    <xf numFmtId="49" fontId="51" fillId="0" borderId="124" xfId="0" applyNumberFormat="1" applyFont="1" applyBorder="1" applyAlignment="1">
      <alignment horizontal="right"/>
    </xf>
    <xf numFmtId="4" fontId="51" fillId="0" borderId="124" xfId="0" applyNumberFormat="1" applyFont="1" applyBorder="1" applyAlignment="1">
      <alignment horizontal="right" vertical="center" wrapText="1"/>
    </xf>
    <xf numFmtId="49" fontId="51" fillId="27" borderId="30" xfId="0" applyNumberFormat="1" applyFont="1" applyFill="1" applyBorder="1" applyAlignment="1">
      <alignment horizontal="left" vertical="center"/>
    </xf>
    <xf numFmtId="49" fontId="51" fillId="27" borderId="125" xfId="0" applyNumberFormat="1" applyFont="1" applyFill="1" applyBorder="1"/>
    <xf numFmtId="49" fontId="51" fillId="27" borderId="125" xfId="0" applyNumberFormat="1" applyFont="1" applyFill="1" applyBorder="1" applyAlignment="1">
      <alignment horizontal="right"/>
    </xf>
    <xf numFmtId="4" fontId="51" fillId="27" borderId="125" xfId="0" applyNumberFormat="1" applyFont="1" applyFill="1" applyBorder="1" applyAlignment="1">
      <alignment horizontal="right" vertical="center" wrapText="1"/>
    </xf>
    <xf numFmtId="14" fontId="53" fillId="0" borderId="151" xfId="2" applyNumberFormat="1" applyFont="1" applyBorder="1" applyAlignment="1">
      <alignment horizontal="right" vertical="center" wrapText="1"/>
    </xf>
    <xf numFmtId="14" fontId="53" fillId="0" borderId="115" xfId="2" applyNumberFormat="1" applyFont="1" applyBorder="1" applyAlignment="1">
      <alignment horizontal="right" vertical="center" wrapText="1"/>
    </xf>
    <xf numFmtId="14" fontId="53" fillId="15" borderId="115" xfId="2" applyNumberFormat="1" applyFont="1" applyFill="1" applyBorder="1" applyAlignment="1">
      <alignment horizontal="right" vertical="center" wrapText="1"/>
    </xf>
    <xf numFmtId="14" fontId="8" fillId="0" borderId="115" xfId="6" applyNumberFormat="1" applyFont="1" applyBorder="1" applyAlignment="1">
      <alignment horizontal="right" vertical="center" wrapText="1"/>
    </xf>
    <xf numFmtId="14" fontId="6" fillId="0" borderId="115" xfId="6" applyNumberFormat="1" applyFont="1" applyBorder="1" applyAlignment="1">
      <alignment horizontal="right" vertical="center" wrapText="1"/>
    </xf>
    <xf numFmtId="14" fontId="51" fillId="0" borderId="115" xfId="0" applyNumberFormat="1" applyFont="1" applyBorder="1" applyAlignment="1">
      <alignment horizontal="right" vertical="center" wrapText="1"/>
    </xf>
    <xf numFmtId="14" fontId="51" fillId="0" borderId="152" xfId="0" applyNumberFormat="1" applyFont="1" applyBorder="1" applyAlignment="1">
      <alignment horizontal="right" vertical="center" wrapText="1"/>
    </xf>
    <xf numFmtId="14" fontId="51" fillId="0" borderId="151" xfId="0" applyNumberFormat="1" applyFont="1" applyBorder="1" applyAlignment="1">
      <alignment horizontal="right" vertical="center" wrapText="1"/>
    </xf>
    <xf numFmtId="14" fontId="51" fillId="27" borderId="115" xfId="0" applyNumberFormat="1" applyFont="1" applyFill="1" applyBorder="1" applyAlignment="1">
      <alignment horizontal="right" vertical="center" wrapText="1"/>
    </xf>
    <xf numFmtId="14" fontId="51" fillId="15" borderId="115" xfId="0" applyNumberFormat="1" applyFont="1" applyFill="1" applyBorder="1" applyAlignment="1">
      <alignment horizontal="right" vertical="center" wrapText="1"/>
    </xf>
    <xf numFmtId="1" fontId="52" fillId="0" borderId="153" xfId="2" applyNumberFormat="1" applyFont="1" applyBorder="1" applyAlignment="1">
      <alignment horizontal="center" vertical="center"/>
    </xf>
    <xf numFmtId="44" fontId="54" fillId="0" borderId="28" xfId="0" applyNumberFormat="1" applyFont="1" applyBorder="1" applyAlignment="1">
      <alignment horizontal="right" vertical="center"/>
    </xf>
    <xf numFmtId="49" fontId="53" fillId="0" borderId="47" xfId="2" applyNumberFormat="1" applyFont="1" applyBorder="1" applyAlignment="1">
      <alignment horizontal="left" vertical="center"/>
    </xf>
    <xf numFmtId="49" fontId="53" fillId="0" borderId="155" xfId="2" applyNumberFormat="1" applyFont="1" applyBorder="1" applyAlignment="1">
      <alignment horizontal="center" vertical="center"/>
    </xf>
    <xf numFmtId="49" fontId="53" fillId="0" borderId="155" xfId="2" applyNumberFormat="1" applyFont="1" applyBorder="1" applyAlignment="1">
      <alignment horizontal="left"/>
    </xf>
    <xf numFmtId="49" fontId="53" fillId="0" borderId="155" xfId="2" applyNumberFormat="1" applyFont="1" applyBorder="1" applyAlignment="1">
      <alignment horizontal="right"/>
    </xf>
    <xf numFmtId="4" fontId="53" fillId="0" borderId="155" xfId="2" applyNumberFormat="1" applyFont="1" applyBorder="1" applyAlignment="1">
      <alignment horizontal="right" vertical="center" wrapText="1"/>
    </xf>
    <xf numFmtId="14" fontId="53" fillId="0" borderId="156" xfId="2" applyNumberFormat="1" applyFont="1" applyBorder="1" applyAlignment="1">
      <alignment horizontal="right" vertical="center" wrapText="1"/>
    </xf>
    <xf numFmtId="14" fontId="8" fillId="0" borderId="151" xfId="6" applyNumberFormat="1" applyFont="1" applyBorder="1" applyAlignment="1">
      <alignment horizontal="right" vertical="center" wrapText="1"/>
    </xf>
    <xf numFmtId="0" fontId="53" fillId="0" borderId="124" xfId="2" applyFont="1" applyBorder="1" applyAlignment="1">
      <alignment horizontal="right"/>
    </xf>
    <xf numFmtId="44" fontId="52" fillId="0" borderId="28" xfId="2" applyNumberFormat="1" applyFont="1" applyBorder="1" applyAlignment="1">
      <alignment horizontal="right" vertical="center"/>
    </xf>
    <xf numFmtId="0" fontId="53" fillId="0" borderId="155" xfId="2" applyFont="1" applyBorder="1" applyAlignment="1">
      <alignment horizontal="right"/>
    </xf>
    <xf numFmtId="44" fontId="52" fillId="0" borderId="47" xfId="2" applyNumberFormat="1" applyFont="1" applyBorder="1" applyAlignment="1">
      <alignment horizontal="right" vertical="center"/>
    </xf>
    <xf numFmtId="44" fontId="52" fillId="0" borderId="48" xfId="2" applyNumberFormat="1" applyFont="1" applyBorder="1" applyAlignment="1">
      <alignment horizontal="right" vertical="center"/>
    </xf>
    <xf numFmtId="0" fontId="8" fillId="0" borderId="124" xfId="6" applyFont="1" applyBorder="1" applyAlignment="1">
      <alignment horizontal="right"/>
    </xf>
    <xf numFmtId="0" fontId="6" fillId="0" borderId="125" xfId="6" applyFont="1" applyBorder="1" applyAlignment="1">
      <alignment horizontal="right"/>
    </xf>
    <xf numFmtId="0" fontId="8" fillId="0" borderId="125" xfId="6" applyFont="1" applyBorder="1" applyAlignment="1">
      <alignment horizontal="right"/>
    </xf>
    <xf numFmtId="0" fontId="51" fillId="0" borderId="125" xfId="0" applyFont="1" applyBorder="1" applyAlignment="1">
      <alignment horizontal="right"/>
    </xf>
    <xf numFmtId="0" fontId="51" fillId="0" borderId="124" xfId="0" applyFont="1" applyBorder="1" applyAlignment="1">
      <alignment horizontal="right"/>
    </xf>
    <xf numFmtId="0" fontId="51" fillId="0" borderId="126" xfId="0" applyFont="1" applyBorder="1" applyAlignment="1">
      <alignment horizontal="right"/>
    </xf>
    <xf numFmtId="44" fontId="54" fillId="0" borderId="154" xfId="0" applyNumberFormat="1" applyFont="1" applyBorder="1" applyAlignment="1">
      <alignment horizontal="right" vertical="center"/>
    </xf>
    <xf numFmtId="0" fontId="51" fillId="27" borderId="125" xfId="0" applyFont="1" applyFill="1" applyBorder="1" applyAlignment="1">
      <alignment horizontal="right"/>
    </xf>
    <xf numFmtId="44" fontId="54" fillId="27" borderId="30" xfId="0" applyNumberFormat="1" applyFont="1" applyFill="1" applyBorder="1" applyAlignment="1">
      <alignment horizontal="right" vertical="center"/>
    </xf>
    <xf numFmtId="44" fontId="54" fillId="27" borderId="31" xfId="0" applyNumberFormat="1" applyFont="1" applyFill="1" applyBorder="1" applyAlignment="1">
      <alignment horizontal="right" vertical="center"/>
    </xf>
    <xf numFmtId="49" fontId="51" fillId="0" borderId="154" xfId="0" applyNumberFormat="1" applyFont="1" applyBorder="1" applyAlignment="1">
      <alignment horizontal="left" vertical="center"/>
    </xf>
    <xf numFmtId="49" fontId="51" fillId="0" borderId="157" xfId="0" applyNumberFormat="1" applyFont="1" applyBorder="1" applyAlignment="1">
      <alignment horizontal="center" vertical="center"/>
    </xf>
    <xf numFmtId="49" fontId="51" fillId="0" borderId="157" xfId="0" applyNumberFormat="1" applyFont="1" applyBorder="1"/>
    <xf numFmtId="0" fontId="51" fillId="0" borderId="157" xfId="0" applyFont="1" applyBorder="1" applyAlignment="1">
      <alignment horizontal="right"/>
    </xf>
    <xf numFmtId="49" fontId="51" fillId="0" borderId="157" xfId="0" applyNumberFormat="1" applyFont="1" applyBorder="1" applyAlignment="1">
      <alignment horizontal="right"/>
    </xf>
    <xf numFmtId="4" fontId="51" fillId="0" borderId="157" xfId="0" applyNumberFormat="1" applyFont="1" applyBorder="1" applyAlignment="1">
      <alignment horizontal="right" vertical="center" wrapText="1"/>
    </xf>
    <xf numFmtId="14" fontId="51" fillId="0" borderId="44" xfId="0" applyNumberFormat="1" applyFont="1" applyBorder="1" applyAlignment="1">
      <alignment horizontal="right" vertical="center" wrapText="1"/>
    </xf>
    <xf numFmtId="165" fontId="6" fillId="0" borderId="0" xfId="0" applyNumberFormat="1" applyFont="1" applyAlignment="1">
      <alignment horizontal="center"/>
    </xf>
    <xf numFmtId="0" fontId="0" fillId="0" borderId="0" xfId="0"/>
    <xf numFmtId="0" fontId="14" fillId="0" borderId="0" xfId="0" applyFont="1"/>
    <xf numFmtId="0" fontId="69" fillId="16" borderId="4" xfId="0" applyFont="1" applyFill="1" applyBorder="1" applyAlignment="1">
      <alignment horizontal="center"/>
    </xf>
    <xf numFmtId="0" fontId="69" fillId="16" borderId="9" xfId="0" applyFont="1" applyFill="1" applyBorder="1" applyAlignment="1">
      <alignment horizontal="center"/>
    </xf>
    <xf numFmtId="0" fontId="69" fillId="16" borderId="3" xfId="0" applyFont="1" applyFill="1" applyBorder="1" applyAlignment="1">
      <alignment horizontal="center"/>
    </xf>
    <xf numFmtId="1" fontId="52" fillId="9" borderId="4" xfId="2" applyNumberFormat="1" applyFont="1" applyFill="1" applyBorder="1" applyAlignment="1">
      <alignment horizontal="center" vertical="center"/>
    </xf>
    <xf numFmtId="1" fontId="52" fillId="9" borderId="9" xfId="2" applyNumberFormat="1" applyFont="1" applyFill="1" applyBorder="1" applyAlignment="1">
      <alignment horizontal="center" vertical="center"/>
    </xf>
    <xf numFmtId="1" fontId="52" fillId="9" borderId="23" xfId="2" applyNumberFormat="1" applyFont="1" applyFill="1" applyBorder="1" applyAlignment="1">
      <alignment horizontal="center" vertical="center"/>
    </xf>
    <xf numFmtId="1" fontId="52" fillId="10" borderId="24" xfId="2" applyNumberFormat="1" applyFont="1" applyFill="1" applyBorder="1" applyAlignment="1">
      <alignment horizontal="center" vertical="center"/>
    </xf>
    <xf numFmtId="1" fontId="52" fillId="10" borderId="9" xfId="2" applyNumberFormat="1" applyFont="1" applyFill="1" applyBorder="1" applyAlignment="1">
      <alignment horizontal="center" vertical="center"/>
    </xf>
    <xf numFmtId="1" fontId="52" fillId="10" borderId="23" xfId="2" applyNumberFormat="1" applyFont="1" applyFill="1" applyBorder="1" applyAlignment="1">
      <alignment horizontal="center" vertical="center"/>
    </xf>
    <xf numFmtId="1" fontId="52" fillId="8" borderId="24" xfId="2" applyNumberFormat="1" applyFont="1" applyFill="1" applyBorder="1" applyAlignment="1">
      <alignment horizontal="center" vertical="center"/>
    </xf>
    <xf numFmtId="1" fontId="52" fillId="8" borderId="9" xfId="2" applyNumberFormat="1" applyFont="1" applyFill="1" applyBorder="1" applyAlignment="1">
      <alignment horizontal="center" vertical="center"/>
    </xf>
    <xf numFmtId="1" fontId="52" fillId="8" borderId="23" xfId="2" applyNumberFormat="1" applyFont="1" applyFill="1" applyBorder="1" applyAlignment="1">
      <alignment horizontal="center" vertical="center"/>
    </xf>
    <xf numFmtId="1" fontId="52" fillId="0" borderId="24" xfId="2" applyNumberFormat="1" applyFont="1" applyBorder="1" applyAlignment="1">
      <alignment horizontal="center" vertical="center"/>
    </xf>
    <xf numFmtId="1" fontId="52" fillId="0" borderId="3" xfId="2" applyNumberFormat="1" applyFont="1" applyBorder="1" applyAlignment="1">
      <alignment horizontal="center" vertical="center"/>
    </xf>
    <xf numFmtId="1" fontId="52" fillId="9" borderId="24" xfId="2" applyNumberFormat="1" applyFont="1" applyFill="1" applyBorder="1" applyAlignment="1">
      <alignment horizontal="center" vertical="center"/>
    </xf>
    <xf numFmtId="1" fontId="56" fillId="0" borderId="24" xfId="6" applyNumberFormat="1" applyFont="1" applyBorder="1" applyAlignment="1">
      <alignment horizontal="center" vertical="center"/>
    </xf>
    <xf numFmtId="1" fontId="56" fillId="0" borderId="3" xfId="6" applyNumberFormat="1" applyFont="1" applyBorder="1" applyAlignment="1">
      <alignment horizontal="center" vertical="center"/>
    </xf>
    <xf numFmtId="1" fontId="56" fillId="17" borderId="4" xfId="6" applyNumberFormat="1" applyFont="1" applyFill="1" applyBorder="1" applyAlignment="1">
      <alignment horizontal="center" vertical="center"/>
    </xf>
    <xf numFmtId="1" fontId="56" fillId="17" borderId="9" xfId="6" applyNumberFormat="1" applyFont="1" applyFill="1" applyBorder="1" applyAlignment="1">
      <alignment horizontal="center" vertical="center"/>
    </xf>
    <xf numFmtId="1" fontId="56" fillId="17" borderId="23" xfId="6" applyNumberFormat="1" applyFont="1" applyFill="1" applyBorder="1" applyAlignment="1">
      <alignment horizontal="center" vertical="center"/>
    </xf>
    <xf numFmtId="1" fontId="56" fillId="10" borderId="24" xfId="6" applyNumberFormat="1" applyFont="1" applyFill="1" applyBorder="1" applyAlignment="1">
      <alignment horizontal="center" vertical="center"/>
    </xf>
    <xf numFmtId="1" fontId="56" fillId="10" borderId="9" xfId="6" applyNumberFormat="1" applyFont="1" applyFill="1" applyBorder="1" applyAlignment="1">
      <alignment horizontal="center" vertical="center"/>
    </xf>
    <xf numFmtId="1" fontId="56" fillId="10" borderId="23" xfId="6" applyNumberFormat="1" applyFont="1" applyFill="1" applyBorder="1" applyAlignment="1">
      <alignment horizontal="center" vertical="center"/>
    </xf>
    <xf numFmtId="1" fontId="56" fillId="8" borderId="24" xfId="6" applyNumberFormat="1" applyFont="1" applyFill="1" applyBorder="1" applyAlignment="1">
      <alignment horizontal="center" vertical="center"/>
    </xf>
    <xf numFmtId="1" fontId="56" fillId="8" borderId="9" xfId="6" applyNumberFormat="1" applyFont="1" applyFill="1" applyBorder="1" applyAlignment="1">
      <alignment horizontal="center" vertical="center"/>
    </xf>
    <xf numFmtId="1" fontId="56" fillId="8" borderId="23" xfId="6" applyNumberFormat="1" applyFont="1" applyFill="1" applyBorder="1" applyAlignment="1">
      <alignment horizontal="center" vertical="center"/>
    </xf>
    <xf numFmtId="1" fontId="56" fillId="9" borderId="24" xfId="6" applyNumberFormat="1" applyFont="1" applyFill="1" applyBorder="1" applyAlignment="1">
      <alignment horizontal="center" vertical="center"/>
    </xf>
    <xf numFmtId="1" fontId="56" fillId="9" borderId="9" xfId="6" applyNumberFormat="1" applyFont="1" applyFill="1" applyBorder="1" applyAlignment="1">
      <alignment horizontal="center" vertical="center"/>
    </xf>
    <xf numFmtId="1" fontId="56" fillId="9" borderId="23" xfId="6" applyNumberFormat="1" applyFont="1" applyFill="1" applyBorder="1" applyAlignment="1">
      <alignment horizontal="center" vertical="center"/>
    </xf>
    <xf numFmtId="1" fontId="54" fillId="14" borderId="4" xfId="0" applyNumberFormat="1" applyFont="1" applyFill="1" applyBorder="1" applyAlignment="1">
      <alignment horizontal="center" vertical="center"/>
    </xf>
    <xf numFmtId="1" fontId="54" fillId="14" borderId="9" xfId="0" applyNumberFormat="1" applyFont="1" applyFill="1" applyBorder="1" applyAlignment="1">
      <alignment horizontal="center" vertical="center"/>
    </xf>
    <xf numFmtId="1" fontId="54" fillId="14" borderId="56" xfId="0" applyNumberFormat="1" applyFont="1" applyFill="1" applyBorder="1" applyAlignment="1">
      <alignment horizontal="center" vertical="center"/>
    </xf>
    <xf numFmtId="1" fontId="54" fillId="12" borderId="100" xfId="0" applyNumberFormat="1" applyFont="1" applyFill="1" applyBorder="1" applyAlignment="1">
      <alignment horizontal="center" vertical="center"/>
    </xf>
    <xf numFmtId="1" fontId="54" fillId="12" borderId="9" xfId="0" applyNumberFormat="1" applyFont="1" applyFill="1" applyBorder="1" applyAlignment="1">
      <alignment horizontal="center" vertical="center"/>
    </xf>
    <xf numFmtId="1" fontId="54" fillId="12" borderId="56" xfId="0" applyNumberFormat="1" applyFont="1" applyFill="1" applyBorder="1" applyAlignment="1">
      <alignment horizontal="center" vertical="center"/>
    </xf>
    <xf numFmtId="1" fontId="54" fillId="13" borderId="84" xfId="0" applyNumberFormat="1" applyFont="1" applyFill="1" applyBorder="1" applyAlignment="1">
      <alignment horizontal="center" vertical="center"/>
    </xf>
    <xf numFmtId="1" fontId="54" fillId="13" borderId="9" xfId="0" applyNumberFormat="1" applyFont="1" applyFill="1" applyBorder="1" applyAlignment="1">
      <alignment horizontal="center" vertical="center"/>
    </xf>
    <xf numFmtId="1" fontId="54" fillId="13" borderId="56" xfId="0" applyNumberFormat="1" applyFont="1" applyFill="1" applyBorder="1" applyAlignment="1">
      <alignment horizontal="center" vertical="center"/>
    </xf>
    <xf numFmtId="1" fontId="54" fillId="0" borderId="84" xfId="0" applyNumberFormat="1" applyFont="1" applyBorder="1" applyAlignment="1">
      <alignment horizontal="center" vertical="center"/>
    </xf>
    <xf numFmtId="1" fontId="54" fillId="0" borderId="57" xfId="0" applyNumberFormat="1" applyFont="1" applyBorder="1" applyAlignment="1">
      <alignment horizontal="center" vertical="center"/>
    </xf>
    <xf numFmtId="1" fontId="54" fillId="12" borderId="84" xfId="0" applyNumberFormat="1" applyFont="1" applyFill="1" applyBorder="1" applyAlignment="1">
      <alignment horizontal="center" vertical="center"/>
    </xf>
    <xf numFmtId="1" fontId="54" fillId="14" borderId="84" xfId="0" applyNumberFormat="1" applyFont="1" applyFill="1" applyBorder="1" applyAlignment="1">
      <alignment horizontal="center" vertical="center"/>
    </xf>
    <xf numFmtId="1" fontId="54" fillId="24" borderId="100" xfId="0" applyNumberFormat="1" applyFont="1" applyFill="1" applyBorder="1" applyAlignment="1">
      <alignment horizontal="center" vertical="center"/>
    </xf>
    <xf numFmtId="1" fontId="54" fillId="24" borderId="9" xfId="0" applyNumberFormat="1" applyFont="1" applyFill="1" applyBorder="1" applyAlignment="1">
      <alignment horizontal="center" vertical="center"/>
    </xf>
    <xf numFmtId="1" fontId="54" fillId="24" borderId="56" xfId="0" applyNumberFormat="1" applyFont="1" applyFill="1" applyBorder="1" applyAlignment="1">
      <alignment horizontal="center" vertical="center"/>
    </xf>
    <xf numFmtId="1" fontId="54" fillId="11" borderId="4" xfId="0" applyNumberFormat="1" applyFont="1" applyFill="1" applyBorder="1" applyAlignment="1">
      <alignment horizontal="center" vertical="center"/>
    </xf>
    <xf numFmtId="1" fontId="54" fillId="11" borderId="9" xfId="0" applyNumberFormat="1" applyFont="1" applyFill="1" applyBorder="1" applyAlignment="1">
      <alignment horizontal="center" vertical="center"/>
    </xf>
    <xf numFmtId="1" fontId="54" fillId="11" borderId="56" xfId="0" applyNumberFormat="1" applyFont="1" applyFill="1" applyBorder="1" applyAlignment="1">
      <alignment horizontal="center" vertical="center"/>
    </xf>
    <xf numFmtId="1" fontId="52" fillId="0" borderId="4" xfId="2" applyNumberFormat="1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1" fontId="52" fillId="21" borderId="24" xfId="2" applyNumberFormat="1" applyFont="1" applyFill="1" applyBorder="1" applyAlignment="1">
      <alignment horizontal="center" vertical="center"/>
    </xf>
    <xf numFmtId="1" fontId="52" fillId="21" borderId="3" xfId="2" applyNumberFormat="1" applyFont="1" applyFill="1" applyBorder="1" applyAlignment="1">
      <alignment horizontal="center" vertical="center"/>
    </xf>
  </cellXfs>
  <cellStyles count="9">
    <cellStyle name="Hypertextový odkaz 2" xfId="3" xr:uid="{09A23F74-431B-4C21-9073-E3C5A986F290}"/>
    <cellStyle name="Měna" xfId="1" builtinId="4"/>
    <cellStyle name="Normální" xfId="0" builtinId="0"/>
    <cellStyle name="Normální 2" xfId="5" xr:uid="{87F88960-0946-4E2E-9DEA-D82FAB24B0C3}"/>
    <cellStyle name="Normální 3" xfId="2" xr:uid="{BCC658C6-FD59-4B4B-AD16-51D0E92BE2FF}"/>
    <cellStyle name="Normální 4" xfId="6" xr:uid="{169F2C3C-0017-4CCD-ACC3-99565234E3B2}"/>
    <cellStyle name="Normální 5" xfId="7" xr:uid="{55FFB55C-B210-4760-A97E-E94CFDF29F8C}"/>
    <cellStyle name="Normální 6" xfId="8" xr:uid="{06D86371-97A5-4392-A043-F3B23D9043A6}"/>
    <cellStyle name="Správně 2" xfId="4" xr:uid="{41A1B3D9-DAD6-4DCA-8403-9E9466CC9E90}"/>
  </cellStyles>
  <dxfs count="30"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>
          <bgColor theme="5" tint="0.39994506668294322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theme="5" tint="0.39994506668294322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9F0FF"/>
      <color rgb="FFFFFFE5"/>
      <color rgb="FFFF6969"/>
      <color rgb="FFFFFFA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jstrik.penize.cz/46356550-pribramska-teplarenska-a-s" TargetMode="External"/><Relationship Id="rId1" Type="http://schemas.openxmlformats.org/officeDocument/2006/relationships/hyperlink" Target="https://www.podnikatel.cz/rejstrik/lacera-s-r-o-48907804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1">
    <pageSetUpPr fitToPage="1"/>
  </sheetPr>
  <dimension ref="A1:AL2070"/>
  <sheetViews>
    <sheetView tabSelected="1" zoomScaleNormal="100" zoomScaleSheetLayoutView="100" workbookViewId="0">
      <pane ySplit="1" topLeftCell="A2033" activePane="bottomLeft" state="frozen"/>
      <selection pane="bottomLeft" activeCell="C2058" sqref="C2058"/>
    </sheetView>
  </sheetViews>
  <sheetFormatPr defaultColWidth="12.6640625" defaultRowHeight="15" customHeight="1"/>
  <cols>
    <col min="1" max="1" width="5.33203125" customWidth="1"/>
    <col min="2" max="2" width="4" customWidth="1"/>
    <col min="3" max="3" width="19.6640625" customWidth="1"/>
    <col min="4" max="4" width="7.88671875" customWidth="1"/>
    <col min="5" max="5" width="19.6640625" customWidth="1"/>
    <col min="6" max="6" width="48.44140625" customWidth="1"/>
    <col min="7" max="7" width="10.88671875" customWidth="1"/>
    <col min="8" max="8" width="21" customWidth="1"/>
    <col min="9" max="9" width="70.6640625" customWidth="1"/>
    <col min="10" max="10" width="53.44140625" customWidth="1"/>
    <col min="11" max="11" width="15.6640625" bestFit="1" customWidth="1"/>
    <col min="12" max="12" width="11.33203125" customWidth="1"/>
    <col min="13" max="13" width="12.33203125" customWidth="1"/>
    <col min="14" max="14" width="10" customWidth="1"/>
    <col min="15" max="15" width="17.44140625" customWidth="1"/>
    <col min="16" max="16" width="11.44140625" customWidth="1"/>
    <col min="17" max="17" width="20.44140625" customWidth="1"/>
    <col min="18" max="19" width="11.6640625" customWidth="1"/>
    <col min="20" max="20" width="9.5546875" customWidth="1"/>
    <col min="21" max="21" width="21.33203125" customWidth="1"/>
    <col min="22" max="22" width="9.6640625" customWidth="1"/>
    <col min="23" max="23" width="14.88671875" customWidth="1"/>
    <col min="24" max="24" width="19.88671875" customWidth="1"/>
    <col min="25" max="25" width="36.5546875" customWidth="1"/>
    <col min="26" max="38" width="8.88671875" customWidth="1"/>
  </cols>
  <sheetData>
    <row r="1" spans="1:38" ht="40.950000000000003" customHeight="1">
      <c r="A1" s="4" t="s">
        <v>3062</v>
      </c>
      <c r="B1" s="5" t="s">
        <v>3063</v>
      </c>
      <c r="C1" s="6" t="s">
        <v>3064</v>
      </c>
      <c r="D1" s="5" t="s">
        <v>3065</v>
      </c>
      <c r="E1" s="5" t="s">
        <v>3066</v>
      </c>
      <c r="F1" s="5" t="s">
        <v>3067</v>
      </c>
      <c r="G1" s="7" t="s">
        <v>3068</v>
      </c>
      <c r="H1" s="8" t="s">
        <v>3069</v>
      </c>
      <c r="I1" s="8" t="s">
        <v>3070</v>
      </c>
      <c r="J1" s="8" t="s">
        <v>3071</v>
      </c>
      <c r="K1" s="9" t="s">
        <v>3072</v>
      </c>
      <c r="L1" s="9" t="s">
        <v>3073</v>
      </c>
      <c r="M1" s="9" t="s">
        <v>3074</v>
      </c>
      <c r="N1" s="7" t="s">
        <v>3075</v>
      </c>
      <c r="O1" s="10" t="s">
        <v>3076</v>
      </c>
      <c r="P1" s="11" t="s">
        <v>3077</v>
      </c>
      <c r="Q1" s="12" t="s">
        <v>3078</v>
      </c>
      <c r="R1" s="14" t="s">
        <v>3079</v>
      </c>
      <c r="S1" s="9" t="s">
        <v>3080</v>
      </c>
      <c r="T1" s="13" t="s">
        <v>3081</v>
      </c>
      <c r="U1" s="13" t="s">
        <v>4627</v>
      </c>
      <c r="V1" s="13" t="s">
        <v>3082</v>
      </c>
      <c r="W1" s="13" t="s">
        <v>4629</v>
      </c>
      <c r="X1" s="14" t="s">
        <v>4628</v>
      </c>
      <c r="Y1" s="98" t="s">
        <v>4632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2.75" customHeight="1">
      <c r="A2" s="15">
        <v>1</v>
      </c>
      <c r="B2" s="736" t="s">
        <v>1555</v>
      </c>
      <c r="C2" s="16" t="s">
        <v>2445</v>
      </c>
      <c r="D2" s="15" t="s">
        <v>3168</v>
      </c>
      <c r="E2" s="2" t="s">
        <v>3083</v>
      </c>
      <c r="F2" s="2" t="s">
        <v>3084</v>
      </c>
      <c r="G2" s="17" t="s">
        <v>3085</v>
      </c>
      <c r="H2" s="2" t="s">
        <v>2444</v>
      </c>
      <c r="I2" s="2" t="s">
        <v>2446</v>
      </c>
      <c r="J2" s="2"/>
      <c r="K2" s="18">
        <v>44872</v>
      </c>
      <c r="L2" s="18">
        <v>44872</v>
      </c>
      <c r="M2" s="18">
        <v>44956</v>
      </c>
      <c r="N2" s="1"/>
      <c r="O2" s="19">
        <v>200</v>
      </c>
      <c r="P2" s="18">
        <v>44956</v>
      </c>
      <c r="Q2" s="19"/>
      <c r="R2" s="772"/>
      <c r="S2" s="18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2.75" customHeight="1">
      <c r="A3" s="15">
        <v>2</v>
      </c>
      <c r="B3" s="736" t="s">
        <v>3086</v>
      </c>
      <c r="C3" s="16" t="s">
        <v>396</v>
      </c>
      <c r="D3" s="20" t="s">
        <v>3087</v>
      </c>
      <c r="E3" s="2" t="s">
        <v>3088</v>
      </c>
      <c r="F3" s="2" t="s">
        <v>3089</v>
      </c>
      <c r="G3" s="17" t="s">
        <v>3090</v>
      </c>
      <c r="H3" s="2" t="s">
        <v>48</v>
      </c>
      <c r="I3" s="2" t="s">
        <v>397</v>
      </c>
      <c r="J3" s="2"/>
      <c r="K3" s="18">
        <v>44603</v>
      </c>
      <c r="L3" s="18">
        <v>44603</v>
      </c>
      <c r="M3" s="18">
        <v>46063</v>
      </c>
      <c r="N3" s="1"/>
      <c r="O3" s="19">
        <v>630000</v>
      </c>
      <c r="P3" s="18">
        <v>46063</v>
      </c>
      <c r="Q3" s="19">
        <v>630000</v>
      </c>
      <c r="R3" s="772" t="s">
        <v>398</v>
      </c>
      <c r="S3" s="18">
        <v>44603</v>
      </c>
      <c r="U3">
        <v>3</v>
      </c>
      <c r="V3" s="3" t="s">
        <v>4625</v>
      </c>
      <c r="W3" s="3"/>
      <c r="X3" s="3"/>
    </row>
    <row r="4" spans="1:38" ht="12.75" customHeight="1">
      <c r="A4" s="15">
        <v>3</v>
      </c>
      <c r="B4" s="736" t="s">
        <v>1555</v>
      </c>
      <c r="C4" s="16" t="s">
        <v>593</v>
      </c>
      <c r="D4" s="20" t="s">
        <v>3087</v>
      </c>
      <c r="E4" s="2" t="s">
        <v>3092</v>
      </c>
      <c r="F4" s="2" t="s">
        <v>3089</v>
      </c>
      <c r="G4" s="17">
        <v>75151481</v>
      </c>
      <c r="H4" s="2" t="s">
        <v>592</v>
      </c>
      <c r="I4" s="2" t="s">
        <v>594</v>
      </c>
      <c r="J4" s="2"/>
      <c r="K4" s="18">
        <v>44894</v>
      </c>
      <c r="L4" s="18">
        <v>44894</v>
      </c>
      <c r="M4" s="18">
        <v>45386</v>
      </c>
      <c r="N4" s="1"/>
      <c r="O4" s="19">
        <v>48556</v>
      </c>
      <c r="P4" s="18">
        <v>45386</v>
      </c>
      <c r="Q4" s="19"/>
      <c r="R4" s="772"/>
      <c r="S4" s="18"/>
      <c r="U4">
        <v>3</v>
      </c>
      <c r="V4" s="3" t="s">
        <v>3091</v>
      </c>
      <c r="W4" s="3"/>
      <c r="X4" s="2"/>
    </row>
    <row r="5" spans="1:38" ht="12.75" customHeight="1">
      <c r="A5" s="15">
        <v>4</v>
      </c>
      <c r="B5" s="736" t="s">
        <v>1555</v>
      </c>
      <c r="C5" s="16" t="s">
        <v>2775</v>
      </c>
      <c r="D5" s="20" t="s">
        <v>3110</v>
      </c>
      <c r="E5" s="2" t="s">
        <v>3092</v>
      </c>
      <c r="F5" s="2" t="s">
        <v>3089</v>
      </c>
      <c r="G5" s="17">
        <v>75151481</v>
      </c>
      <c r="H5" s="2" t="s">
        <v>592</v>
      </c>
      <c r="I5" s="2" t="s">
        <v>5251</v>
      </c>
      <c r="J5" s="2"/>
      <c r="K5" s="18">
        <v>45127</v>
      </c>
      <c r="L5" s="18">
        <v>45127</v>
      </c>
      <c r="M5" s="18">
        <v>45169</v>
      </c>
      <c r="N5" s="1"/>
      <c r="O5" s="19">
        <v>55000</v>
      </c>
      <c r="P5" s="18">
        <v>45169</v>
      </c>
      <c r="Q5" s="19"/>
      <c r="R5" s="772"/>
      <c r="S5" s="18"/>
      <c r="V5" s="3" t="s">
        <v>3091</v>
      </c>
      <c r="W5" s="3" t="s">
        <v>3091</v>
      </c>
      <c r="X5" s="2"/>
    </row>
    <row r="6" spans="1:38" ht="12.75" customHeight="1">
      <c r="A6" s="15">
        <v>5</v>
      </c>
      <c r="B6" s="736" t="s">
        <v>1555</v>
      </c>
      <c r="C6" s="16" t="s">
        <v>2817</v>
      </c>
      <c r="D6" s="20" t="s">
        <v>3087</v>
      </c>
      <c r="E6" s="2" t="s">
        <v>3093</v>
      </c>
      <c r="F6" s="2" t="s">
        <v>3089</v>
      </c>
      <c r="G6" s="17">
        <v>75151481</v>
      </c>
      <c r="H6" s="2" t="s">
        <v>772</v>
      </c>
      <c r="I6" s="2" t="s">
        <v>2818</v>
      </c>
      <c r="J6" s="2"/>
      <c r="K6" s="18">
        <v>45085</v>
      </c>
      <c r="L6" s="18">
        <v>45085</v>
      </c>
      <c r="M6" s="18">
        <v>45107</v>
      </c>
      <c r="N6" s="1"/>
      <c r="O6" s="19"/>
      <c r="P6" s="18">
        <v>45107</v>
      </c>
      <c r="Q6" s="19"/>
      <c r="R6" s="772"/>
      <c r="S6" s="18"/>
      <c r="T6" s="2"/>
      <c r="U6" s="2">
        <v>3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2.75" customHeight="1">
      <c r="A7" s="15">
        <v>6</v>
      </c>
      <c r="B7" s="738" t="s">
        <v>1555</v>
      </c>
      <c r="C7" s="16" t="s">
        <v>101</v>
      </c>
      <c r="D7" s="15" t="s">
        <v>3094</v>
      </c>
      <c r="E7" s="3" t="s">
        <v>3095</v>
      </c>
      <c r="F7" s="15" t="s">
        <v>3096</v>
      </c>
      <c r="G7" s="17">
        <v>75145774</v>
      </c>
      <c r="H7" s="2" t="s">
        <v>100</v>
      </c>
      <c r="I7" s="2" t="s">
        <v>102</v>
      </c>
      <c r="J7" s="2" t="s">
        <v>103</v>
      </c>
      <c r="K7" s="18">
        <v>43251</v>
      </c>
      <c r="L7" s="18">
        <v>43252</v>
      </c>
      <c r="M7" s="18">
        <v>45443</v>
      </c>
      <c r="N7" s="1"/>
      <c r="O7" s="19">
        <v>600</v>
      </c>
      <c r="P7" s="18">
        <v>45443</v>
      </c>
      <c r="Q7" s="19">
        <v>600</v>
      </c>
      <c r="R7" s="772" t="s">
        <v>104</v>
      </c>
      <c r="S7" s="18">
        <v>43252</v>
      </c>
      <c r="V7" s="3" t="s">
        <v>3091</v>
      </c>
      <c r="W7" s="3"/>
      <c r="X7" s="2"/>
      <c r="Y7" t="s">
        <v>4691</v>
      </c>
    </row>
    <row r="8" spans="1:38" ht="12.75" customHeight="1">
      <c r="A8" s="15">
        <v>7</v>
      </c>
      <c r="B8" s="736" t="s">
        <v>1555</v>
      </c>
      <c r="C8" s="16" t="s">
        <v>2596</v>
      </c>
      <c r="D8" s="20" t="s">
        <v>3087</v>
      </c>
      <c r="E8" s="2" t="s">
        <v>3097</v>
      </c>
      <c r="F8" s="2" t="s">
        <v>3098</v>
      </c>
      <c r="G8" s="17" t="s">
        <v>3099</v>
      </c>
      <c r="H8" s="96" t="s">
        <v>830</v>
      </c>
      <c r="I8" s="2" t="s">
        <v>2597</v>
      </c>
      <c r="J8" s="2"/>
      <c r="K8" s="18">
        <v>44950</v>
      </c>
      <c r="L8" s="18">
        <v>44950</v>
      </c>
      <c r="M8" s="18">
        <v>45076</v>
      </c>
      <c r="N8" s="1"/>
      <c r="O8" s="19">
        <v>3500</v>
      </c>
      <c r="P8" s="18">
        <v>45076</v>
      </c>
      <c r="Q8" s="19"/>
      <c r="R8" s="772"/>
      <c r="S8" s="18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2.75" customHeight="1">
      <c r="A9" s="15">
        <v>8</v>
      </c>
      <c r="B9" s="736" t="s">
        <v>1555</v>
      </c>
      <c r="C9" s="16" t="s">
        <v>2050</v>
      </c>
      <c r="D9" s="20" t="s">
        <v>3087</v>
      </c>
      <c r="E9" s="2" t="s">
        <v>3093</v>
      </c>
      <c r="F9" s="2" t="s">
        <v>3100</v>
      </c>
      <c r="G9" s="17" t="s">
        <v>3101</v>
      </c>
      <c r="H9" s="2" t="s">
        <v>772</v>
      </c>
      <c r="I9" s="2" t="s">
        <v>2051</v>
      </c>
      <c r="J9" s="2"/>
      <c r="K9" s="18">
        <v>44657</v>
      </c>
      <c r="L9" s="18">
        <v>44657</v>
      </c>
      <c r="M9" s="18">
        <v>44673</v>
      </c>
      <c r="N9" s="1"/>
      <c r="O9" s="19"/>
      <c r="P9" s="18">
        <v>44673</v>
      </c>
      <c r="Q9" s="19"/>
      <c r="R9" s="772"/>
      <c r="S9" s="18"/>
      <c r="T9" s="2"/>
      <c r="U9" s="2">
        <v>3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12.75" customHeight="1">
      <c r="A10" s="15">
        <v>9</v>
      </c>
      <c r="B10" s="736" t="s">
        <v>1555</v>
      </c>
      <c r="C10" s="16" t="s">
        <v>2721</v>
      </c>
      <c r="D10" s="20" t="s">
        <v>3087</v>
      </c>
      <c r="E10" s="2" t="s">
        <v>3093</v>
      </c>
      <c r="F10" s="2" t="s">
        <v>3100</v>
      </c>
      <c r="G10" s="17">
        <v>75075741</v>
      </c>
      <c r="H10" s="2" t="s">
        <v>772</v>
      </c>
      <c r="I10" s="2" t="s">
        <v>2722</v>
      </c>
      <c r="J10" s="2"/>
      <c r="K10" s="18">
        <v>45030</v>
      </c>
      <c r="L10" s="18">
        <v>45030</v>
      </c>
      <c r="M10" s="18">
        <v>45046</v>
      </c>
      <c r="N10" s="1"/>
      <c r="O10" s="19"/>
      <c r="P10" s="18">
        <v>45046</v>
      </c>
      <c r="Q10" s="19"/>
      <c r="R10" s="772"/>
      <c r="S10" s="18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2.75" customHeight="1">
      <c r="A11" s="15">
        <v>10</v>
      </c>
      <c r="B11" s="736" t="s">
        <v>1555</v>
      </c>
      <c r="C11" s="16" t="s">
        <v>2400</v>
      </c>
      <c r="D11" s="20" t="s">
        <v>3110</v>
      </c>
      <c r="E11" s="2" t="s">
        <v>3092</v>
      </c>
      <c r="F11" s="2" t="s">
        <v>3102</v>
      </c>
      <c r="G11" s="17">
        <v>75045966</v>
      </c>
      <c r="H11" s="2" t="s">
        <v>592</v>
      </c>
      <c r="I11" s="2" t="s">
        <v>2401</v>
      </c>
      <c r="J11" s="2"/>
      <c r="K11" s="18">
        <v>44879</v>
      </c>
      <c r="L11" s="18">
        <v>44879</v>
      </c>
      <c r="M11" s="18">
        <v>44926</v>
      </c>
      <c r="N11" s="1"/>
      <c r="O11" s="19"/>
      <c r="P11" s="18">
        <v>44926</v>
      </c>
      <c r="Q11" s="19"/>
      <c r="R11" s="772"/>
      <c r="S11" s="18"/>
      <c r="V11" s="3" t="s">
        <v>3091</v>
      </c>
      <c r="W11" s="3" t="s">
        <v>3091</v>
      </c>
      <c r="X11" s="2"/>
    </row>
    <row r="12" spans="1:38" ht="12.75" customHeight="1">
      <c r="A12" s="15">
        <v>11</v>
      </c>
      <c r="B12" s="736" t="s">
        <v>1555</v>
      </c>
      <c r="C12" s="16" t="s">
        <v>1719</v>
      </c>
      <c r="D12" s="20" t="s">
        <v>3087</v>
      </c>
      <c r="E12" s="2" t="s">
        <v>3103</v>
      </c>
      <c r="F12" s="2" t="s">
        <v>3104</v>
      </c>
      <c r="G12" s="17" t="s">
        <v>3105</v>
      </c>
      <c r="H12" s="2" t="s">
        <v>180</v>
      </c>
      <c r="I12" s="2" t="s">
        <v>1720</v>
      </c>
      <c r="J12" s="2"/>
      <c r="K12" s="18">
        <v>44368</v>
      </c>
      <c r="L12" s="18">
        <v>44368</v>
      </c>
      <c r="M12" s="18">
        <v>44369</v>
      </c>
      <c r="N12" s="1"/>
      <c r="O12" s="19">
        <v>0</v>
      </c>
      <c r="P12" s="18">
        <v>44369</v>
      </c>
      <c r="Q12" s="19"/>
      <c r="R12" s="772"/>
      <c r="S12" s="18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2.75" customHeight="1">
      <c r="A13" s="15">
        <v>12</v>
      </c>
      <c r="B13" s="736" t="s">
        <v>1555</v>
      </c>
      <c r="C13" s="16" t="s">
        <v>2860</v>
      </c>
      <c r="D13" s="20" t="s">
        <v>3087</v>
      </c>
      <c r="E13" s="2" t="s">
        <v>3093</v>
      </c>
      <c r="F13" s="2" t="s">
        <v>3104</v>
      </c>
      <c r="G13" s="17">
        <v>75033861</v>
      </c>
      <c r="H13" s="96" t="s">
        <v>510</v>
      </c>
      <c r="I13" s="2" t="s">
        <v>2861</v>
      </c>
      <c r="J13" s="2"/>
      <c r="K13" s="18">
        <v>45092</v>
      </c>
      <c r="L13" s="18">
        <v>45092</v>
      </c>
      <c r="M13" s="18">
        <v>45138</v>
      </c>
      <c r="N13" s="1"/>
      <c r="O13" s="19"/>
      <c r="P13" s="18">
        <v>45138</v>
      </c>
      <c r="Q13" s="19"/>
      <c r="R13" s="772"/>
      <c r="S13" s="18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2.75" customHeight="1">
      <c r="A14" s="15">
        <v>13</v>
      </c>
      <c r="B14" s="736" t="s">
        <v>1555</v>
      </c>
      <c r="C14" s="16" t="s">
        <v>2171</v>
      </c>
      <c r="D14" s="20" t="s">
        <v>3087</v>
      </c>
      <c r="E14" s="2" t="s">
        <v>3093</v>
      </c>
      <c r="F14" s="2" t="s">
        <v>3106</v>
      </c>
      <c r="G14" s="17" t="s">
        <v>3107</v>
      </c>
      <c r="H14" s="96" t="s">
        <v>510</v>
      </c>
      <c r="I14" s="2" t="s">
        <v>2172</v>
      </c>
      <c r="J14" s="2"/>
      <c r="K14" s="18">
        <v>44721</v>
      </c>
      <c r="L14" s="18">
        <v>44721</v>
      </c>
      <c r="M14" s="18">
        <v>44804</v>
      </c>
      <c r="N14" s="1"/>
      <c r="O14" s="19"/>
      <c r="P14" s="18">
        <v>44804</v>
      </c>
      <c r="Q14" s="19"/>
      <c r="R14" s="772"/>
      <c r="S14" s="18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2.75" customHeight="1">
      <c r="A15" s="15">
        <v>14</v>
      </c>
      <c r="B15" s="736" t="s">
        <v>1555</v>
      </c>
      <c r="C15" s="16" t="s">
        <v>2755</v>
      </c>
      <c r="D15" s="20" t="s">
        <v>3087</v>
      </c>
      <c r="E15" s="2" t="s">
        <v>3097</v>
      </c>
      <c r="F15" s="15" t="s">
        <v>3108</v>
      </c>
      <c r="G15" s="17">
        <v>75030926</v>
      </c>
      <c r="H15" s="96" t="s">
        <v>830</v>
      </c>
      <c r="I15" s="2" t="s">
        <v>2756</v>
      </c>
      <c r="J15" s="2"/>
      <c r="K15" s="18">
        <v>45035</v>
      </c>
      <c r="L15" s="18">
        <v>45065</v>
      </c>
      <c r="M15" s="18">
        <v>45291</v>
      </c>
      <c r="N15" s="1"/>
      <c r="O15" s="19"/>
      <c r="P15" s="18">
        <v>45291</v>
      </c>
      <c r="Q15" s="19"/>
      <c r="R15" s="772"/>
      <c r="S15" s="18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2.75" customHeight="1">
      <c r="A16" s="15">
        <v>15</v>
      </c>
      <c r="B16" s="736" t="s">
        <v>1555</v>
      </c>
      <c r="C16" s="16" t="s">
        <v>2140</v>
      </c>
      <c r="D16" s="20" t="s">
        <v>3087</v>
      </c>
      <c r="E16" s="2" t="s">
        <v>3093</v>
      </c>
      <c r="F16" s="2" t="s">
        <v>3109</v>
      </c>
      <c r="G16" s="17">
        <v>75030471</v>
      </c>
      <c r="H16" s="96" t="s">
        <v>510</v>
      </c>
      <c r="I16" s="2" t="s">
        <v>2141</v>
      </c>
      <c r="J16" s="2"/>
      <c r="K16" s="18">
        <v>44704</v>
      </c>
      <c r="L16" s="18">
        <v>44704</v>
      </c>
      <c r="M16" s="18">
        <v>44804</v>
      </c>
      <c r="N16" s="1"/>
      <c r="O16" s="19"/>
      <c r="P16" s="18">
        <v>44804</v>
      </c>
      <c r="Q16" s="19"/>
      <c r="R16" s="772"/>
      <c r="S16" s="18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12.75" customHeight="1">
      <c r="A17" s="15">
        <v>16</v>
      </c>
      <c r="B17" s="736" t="s">
        <v>1555</v>
      </c>
      <c r="C17" s="16" t="s">
        <v>372</v>
      </c>
      <c r="D17" s="20" t="s">
        <v>3110</v>
      </c>
      <c r="E17" s="2" t="s">
        <v>3111</v>
      </c>
      <c r="F17" s="2" t="s">
        <v>3112</v>
      </c>
      <c r="G17" s="17" t="s">
        <v>3113</v>
      </c>
      <c r="H17" s="2" t="s">
        <v>371</v>
      </c>
      <c r="I17" s="2" t="s">
        <v>373</v>
      </c>
      <c r="J17" s="2"/>
      <c r="K17" s="18">
        <v>44559</v>
      </c>
      <c r="L17" s="18">
        <v>44562</v>
      </c>
      <c r="M17" s="18">
        <v>45351</v>
      </c>
      <c r="N17" s="1"/>
      <c r="O17" s="19">
        <v>119893</v>
      </c>
      <c r="P17" s="18">
        <v>45351</v>
      </c>
      <c r="Q17" s="19">
        <v>119893</v>
      </c>
      <c r="R17" s="772" t="s">
        <v>374</v>
      </c>
      <c r="S17" s="18">
        <v>44559</v>
      </c>
      <c r="T17" s="2"/>
      <c r="U17" s="2"/>
      <c r="V17" s="3" t="s">
        <v>3091</v>
      </c>
      <c r="W17" s="3" t="s">
        <v>4625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2.75" customHeight="1">
      <c r="A18" s="15">
        <v>17</v>
      </c>
      <c r="B18" s="736" t="s">
        <v>1555</v>
      </c>
      <c r="C18" s="16" t="s">
        <v>1918</v>
      </c>
      <c r="D18" s="20" t="s">
        <v>3110</v>
      </c>
      <c r="E18" s="2" t="s">
        <v>3114</v>
      </c>
      <c r="F18" s="2" t="s">
        <v>3112</v>
      </c>
      <c r="G18" s="17">
        <v>72496991</v>
      </c>
      <c r="H18" s="2" t="s">
        <v>1905</v>
      </c>
      <c r="I18" s="2" t="s">
        <v>1919</v>
      </c>
      <c r="J18" s="2"/>
      <c r="K18" s="18">
        <v>44558</v>
      </c>
      <c r="L18" s="18">
        <v>44558</v>
      </c>
      <c r="M18" s="18">
        <v>44561</v>
      </c>
      <c r="N18" s="1"/>
      <c r="O18" s="19">
        <v>1</v>
      </c>
      <c r="P18" s="18">
        <v>44561</v>
      </c>
      <c r="Q18" s="19"/>
      <c r="R18" s="772"/>
      <c r="S18" s="18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12.75" customHeight="1">
      <c r="A19" s="15">
        <v>18</v>
      </c>
      <c r="B19" s="736" t="s">
        <v>1555</v>
      </c>
      <c r="C19" s="16" t="s">
        <v>2926</v>
      </c>
      <c r="D19" s="20" t="s">
        <v>3087</v>
      </c>
      <c r="E19" s="2" t="s">
        <v>3093</v>
      </c>
      <c r="F19" s="2" t="s">
        <v>3112</v>
      </c>
      <c r="G19" s="17">
        <v>72075805</v>
      </c>
      <c r="H19" s="96" t="s">
        <v>510</v>
      </c>
      <c r="I19" s="2" t="s">
        <v>2927</v>
      </c>
      <c r="J19" s="2"/>
      <c r="K19" s="18">
        <v>45174</v>
      </c>
      <c r="L19" s="18">
        <v>45174</v>
      </c>
      <c r="M19" s="18">
        <v>45199</v>
      </c>
      <c r="N19" s="1"/>
      <c r="O19" s="19"/>
      <c r="P19" s="18">
        <v>45199</v>
      </c>
      <c r="Q19" s="19"/>
      <c r="R19" s="772"/>
      <c r="S19" s="18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2.75" customHeight="1">
      <c r="A20" s="15">
        <v>19</v>
      </c>
      <c r="B20" s="736" t="s">
        <v>1555</v>
      </c>
      <c r="C20" s="16" t="s">
        <v>2359</v>
      </c>
      <c r="D20" s="20" t="s">
        <v>3087</v>
      </c>
      <c r="E20" s="2" t="s">
        <v>3093</v>
      </c>
      <c r="F20" s="2" t="s">
        <v>3112</v>
      </c>
      <c r="G20" s="17">
        <v>72075805</v>
      </c>
      <c r="H20" s="96" t="s">
        <v>510</v>
      </c>
      <c r="I20" s="2" t="s">
        <v>2360</v>
      </c>
      <c r="J20" s="2"/>
      <c r="K20" s="18">
        <v>44826</v>
      </c>
      <c r="L20" s="18">
        <v>44826</v>
      </c>
      <c r="M20" s="18">
        <v>44895</v>
      </c>
      <c r="N20" s="1"/>
      <c r="O20" s="19"/>
      <c r="P20" s="18">
        <v>44895</v>
      </c>
      <c r="Q20" s="19"/>
      <c r="R20" s="772"/>
      <c r="S20" s="18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12.75" customHeight="1">
      <c r="A21" s="15">
        <v>20</v>
      </c>
      <c r="B21" s="736" t="s">
        <v>1555</v>
      </c>
      <c r="C21" s="16" t="s">
        <v>877</v>
      </c>
      <c r="D21" s="20" t="s">
        <v>3110</v>
      </c>
      <c r="E21" s="2" t="s">
        <v>3092</v>
      </c>
      <c r="F21" s="2" t="s">
        <v>3115</v>
      </c>
      <c r="G21" s="17">
        <v>72050250</v>
      </c>
      <c r="H21" s="2" t="s">
        <v>684</v>
      </c>
      <c r="I21" s="2" t="s">
        <v>878</v>
      </c>
      <c r="J21" s="2"/>
      <c r="K21" s="18">
        <v>45268</v>
      </c>
      <c r="L21" s="18">
        <v>45268</v>
      </c>
      <c r="M21" s="18">
        <v>45322</v>
      </c>
      <c r="N21" s="1"/>
      <c r="O21" s="19">
        <v>163000</v>
      </c>
      <c r="P21" s="18">
        <v>45322</v>
      </c>
      <c r="Q21" s="19">
        <v>163000</v>
      </c>
      <c r="R21" s="772" t="s">
        <v>879</v>
      </c>
      <c r="S21" s="18">
        <v>45276</v>
      </c>
      <c r="T21" s="2"/>
      <c r="U21" s="2"/>
      <c r="V21" s="3" t="s">
        <v>3091</v>
      </c>
      <c r="W21" s="3" t="s">
        <v>3091</v>
      </c>
      <c r="X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12.75" customHeight="1">
      <c r="A22" s="15">
        <v>21</v>
      </c>
      <c r="B22" s="736" t="s">
        <v>1555</v>
      </c>
      <c r="C22" s="16" t="s">
        <v>694</v>
      </c>
      <c r="D22" s="21" t="s">
        <v>3116</v>
      </c>
      <c r="E22" s="2" t="s">
        <v>3117</v>
      </c>
      <c r="F22" s="2" t="s">
        <v>3115</v>
      </c>
      <c r="G22" s="17">
        <v>71799320</v>
      </c>
      <c r="H22" s="2" t="s">
        <v>693</v>
      </c>
      <c r="I22" s="2" t="s">
        <v>695</v>
      </c>
      <c r="J22" s="2"/>
      <c r="K22" s="18">
        <v>45065</v>
      </c>
      <c r="L22" s="18">
        <v>45065</v>
      </c>
      <c r="M22" s="18">
        <v>45795</v>
      </c>
      <c r="N22" s="1"/>
      <c r="O22" s="19">
        <v>363000</v>
      </c>
      <c r="P22" s="18">
        <v>45795</v>
      </c>
      <c r="Q22" s="19">
        <v>363000</v>
      </c>
      <c r="R22" s="772" t="s">
        <v>696</v>
      </c>
      <c r="S22" s="18">
        <v>45065</v>
      </c>
      <c r="T22" s="3"/>
      <c r="U22" s="3">
        <v>3</v>
      </c>
      <c r="V22" s="3"/>
      <c r="W22" s="3"/>
      <c r="X22" s="2"/>
      <c r="Y22" s="109" t="s">
        <v>4714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2.75" customHeight="1">
      <c r="A23" s="15">
        <v>22</v>
      </c>
      <c r="B23" s="736" t="s">
        <v>1555</v>
      </c>
      <c r="C23" s="16" t="s">
        <v>1734</v>
      </c>
      <c r="D23" s="21" t="s">
        <v>3139</v>
      </c>
      <c r="E23" s="2" t="s">
        <v>3118</v>
      </c>
      <c r="F23" s="2" t="s">
        <v>3119</v>
      </c>
      <c r="G23" s="17">
        <v>71467114</v>
      </c>
      <c r="H23" s="2" t="s">
        <v>885</v>
      </c>
      <c r="I23" s="16" t="s">
        <v>3120</v>
      </c>
      <c r="J23" s="2"/>
      <c r="K23" s="18">
        <v>44396</v>
      </c>
      <c r="L23" s="18">
        <v>44396</v>
      </c>
      <c r="M23" s="18">
        <v>44561</v>
      </c>
      <c r="N23" s="1"/>
      <c r="O23" s="19">
        <v>1</v>
      </c>
      <c r="P23" s="18">
        <v>44561</v>
      </c>
      <c r="Q23" s="19"/>
      <c r="R23" s="772"/>
      <c r="S23" s="18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2.75" customHeight="1">
      <c r="A24" s="15">
        <v>23</v>
      </c>
      <c r="B24" s="736" t="s">
        <v>1555</v>
      </c>
      <c r="C24" s="16" t="s">
        <v>1755</v>
      </c>
      <c r="D24" s="21" t="s">
        <v>3121</v>
      </c>
      <c r="E24" s="2" t="s">
        <v>3118</v>
      </c>
      <c r="F24" s="2" t="s">
        <v>3119</v>
      </c>
      <c r="G24" s="17">
        <v>71467114</v>
      </c>
      <c r="H24" s="2" t="s">
        <v>432</v>
      </c>
      <c r="I24" s="2" t="s">
        <v>1756</v>
      </c>
      <c r="J24" s="2"/>
      <c r="K24" s="18">
        <v>44391</v>
      </c>
      <c r="L24" s="18">
        <v>44391</v>
      </c>
      <c r="M24" s="18">
        <v>44500</v>
      </c>
      <c r="N24" s="1"/>
      <c r="O24" s="19">
        <v>2000</v>
      </c>
      <c r="P24" s="18">
        <v>44500</v>
      </c>
      <c r="Q24" s="19"/>
      <c r="R24" s="772"/>
      <c r="S24" s="18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2.75" customHeight="1">
      <c r="A25" s="15">
        <v>24</v>
      </c>
      <c r="B25" s="736" t="s">
        <v>1555</v>
      </c>
      <c r="C25" s="16" t="s">
        <v>1880</v>
      </c>
      <c r="D25" s="21" t="s">
        <v>3121</v>
      </c>
      <c r="E25" s="2" t="s">
        <v>3118</v>
      </c>
      <c r="F25" s="2" t="s">
        <v>3119</v>
      </c>
      <c r="G25" s="17">
        <v>71467114</v>
      </c>
      <c r="H25" s="2" t="s">
        <v>885</v>
      </c>
      <c r="I25" s="2" t="s">
        <v>1881</v>
      </c>
      <c r="J25" s="2"/>
      <c r="K25" s="18">
        <v>44525</v>
      </c>
      <c r="L25" s="18">
        <v>44525</v>
      </c>
      <c r="M25" s="18">
        <v>44561</v>
      </c>
      <c r="N25" s="1"/>
      <c r="O25" s="19">
        <v>1</v>
      </c>
      <c r="P25" s="18">
        <v>44561</v>
      </c>
      <c r="Q25" s="19"/>
      <c r="R25" s="772"/>
      <c r="S25" s="18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2.75" customHeight="1">
      <c r="A26" s="15">
        <v>25</v>
      </c>
      <c r="B26" s="736" t="s">
        <v>1555</v>
      </c>
      <c r="C26" s="16" t="s">
        <v>1882</v>
      </c>
      <c r="D26" s="21" t="s">
        <v>3121</v>
      </c>
      <c r="E26" s="2" t="s">
        <v>3118</v>
      </c>
      <c r="F26" s="2" t="s">
        <v>3119</v>
      </c>
      <c r="G26" s="17">
        <v>71467114</v>
      </c>
      <c r="H26" s="2" t="s">
        <v>885</v>
      </c>
      <c r="I26" s="2" t="s">
        <v>1881</v>
      </c>
      <c r="J26" s="2"/>
      <c r="K26" s="18">
        <v>44525</v>
      </c>
      <c r="L26" s="18">
        <v>44525</v>
      </c>
      <c r="M26" s="18">
        <v>44561</v>
      </c>
      <c r="N26" s="1"/>
      <c r="O26" s="19">
        <v>1</v>
      </c>
      <c r="P26" s="18">
        <v>44561</v>
      </c>
      <c r="Q26" s="19"/>
      <c r="R26" s="772"/>
      <c r="S26" s="18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2.75" customHeight="1">
      <c r="A27" s="15">
        <v>26</v>
      </c>
      <c r="B27" s="736" t="s">
        <v>1555</v>
      </c>
      <c r="C27" s="16" t="s">
        <v>1883</v>
      </c>
      <c r="D27" s="21" t="s">
        <v>3121</v>
      </c>
      <c r="E27" s="2" t="s">
        <v>3118</v>
      </c>
      <c r="F27" s="2" t="s">
        <v>3119</v>
      </c>
      <c r="G27" s="17">
        <v>71467114</v>
      </c>
      <c r="H27" s="2" t="s">
        <v>885</v>
      </c>
      <c r="I27" s="2" t="s">
        <v>1881</v>
      </c>
      <c r="J27" s="2"/>
      <c r="K27" s="18">
        <v>44525</v>
      </c>
      <c r="L27" s="18">
        <v>44525</v>
      </c>
      <c r="M27" s="18">
        <v>44561</v>
      </c>
      <c r="N27" s="1"/>
      <c r="O27" s="19">
        <v>1</v>
      </c>
      <c r="P27" s="18">
        <v>44561</v>
      </c>
      <c r="Q27" s="19"/>
      <c r="R27" s="772"/>
      <c r="S27" s="18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2.75" customHeight="1">
      <c r="A28" s="15">
        <v>27</v>
      </c>
      <c r="B28" s="736" t="s">
        <v>3086</v>
      </c>
      <c r="C28" s="16" t="s">
        <v>886</v>
      </c>
      <c r="D28" s="21" t="s">
        <v>3116</v>
      </c>
      <c r="E28" s="2" t="s">
        <v>3118</v>
      </c>
      <c r="F28" s="2" t="s">
        <v>3122</v>
      </c>
      <c r="G28" s="17">
        <v>71332111</v>
      </c>
      <c r="H28" s="2" t="s">
        <v>885</v>
      </c>
      <c r="I28" s="2" t="s">
        <v>887</v>
      </c>
      <c r="J28" s="2"/>
      <c r="K28" s="18">
        <v>45279</v>
      </c>
      <c r="L28" s="18">
        <v>45279</v>
      </c>
      <c r="M28" s="18">
        <v>2958465</v>
      </c>
      <c r="N28" s="1"/>
      <c r="O28" s="19">
        <v>0</v>
      </c>
      <c r="P28" s="18">
        <v>2958465</v>
      </c>
      <c r="Q28" s="19"/>
      <c r="R28" s="772" t="s">
        <v>888</v>
      </c>
      <c r="S28" s="18">
        <v>45305</v>
      </c>
      <c r="T28" s="3"/>
      <c r="U28" s="3">
        <v>3</v>
      </c>
      <c r="V28" s="3" t="s">
        <v>4625</v>
      </c>
      <c r="W28" s="3" t="s">
        <v>4631</v>
      </c>
      <c r="X28" s="2"/>
      <c r="Y28" s="2" t="s">
        <v>4794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12.75" customHeight="1">
      <c r="A29" s="15">
        <v>28</v>
      </c>
      <c r="B29" s="736" t="s">
        <v>3086</v>
      </c>
      <c r="C29" s="16" t="s">
        <v>889</v>
      </c>
      <c r="D29" s="21" t="s">
        <v>3116</v>
      </c>
      <c r="E29" s="2" t="s">
        <v>3118</v>
      </c>
      <c r="F29" s="2" t="s">
        <v>3122</v>
      </c>
      <c r="G29" s="17">
        <v>71332111</v>
      </c>
      <c r="H29" s="2" t="s">
        <v>432</v>
      </c>
      <c r="I29" s="2" t="s">
        <v>890</v>
      </c>
      <c r="J29" s="2"/>
      <c r="K29" s="18">
        <v>45279</v>
      </c>
      <c r="L29" s="18">
        <v>45279</v>
      </c>
      <c r="M29" s="18">
        <v>2958465</v>
      </c>
      <c r="N29" s="1"/>
      <c r="O29" s="19">
        <v>0</v>
      </c>
      <c r="P29" s="18">
        <v>2958465</v>
      </c>
      <c r="Q29" s="19"/>
      <c r="R29" s="772" t="s">
        <v>891</v>
      </c>
      <c r="S29" s="18">
        <v>45305</v>
      </c>
      <c r="T29" s="3"/>
      <c r="U29" s="3">
        <v>3</v>
      </c>
      <c r="V29" s="3" t="s">
        <v>4625</v>
      </c>
      <c r="W29" s="3" t="s">
        <v>4631</v>
      </c>
      <c r="X29" s="2"/>
      <c r="Y29" s="2" t="s">
        <v>4794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2.75" customHeight="1">
      <c r="A30" s="15">
        <v>29</v>
      </c>
      <c r="B30" s="736" t="s">
        <v>3086</v>
      </c>
      <c r="C30" s="16" t="s">
        <v>626</v>
      </c>
      <c r="D30" s="20" t="s">
        <v>3110</v>
      </c>
      <c r="E30" s="2" t="s">
        <v>3123</v>
      </c>
      <c r="F30" s="2" t="s">
        <v>3124</v>
      </c>
      <c r="G30" s="17">
        <v>71294023</v>
      </c>
      <c r="H30" s="2" t="s">
        <v>553</v>
      </c>
      <c r="I30" s="2" t="s">
        <v>555</v>
      </c>
      <c r="J30" s="2"/>
      <c r="K30" s="18">
        <v>44956</v>
      </c>
      <c r="L30" s="18">
        <v>44956</v>
      </c>
      <c r="M30" s="18">
        <v>46752</v>
      </c>
      <c r="N30" s="1">
        <v>1</v>
      </c>
      <c r="O30" s="19">
        <v>3624000</v>
      </c>
      <c r="P30" s="18">
        <v>46752</v>
      </c>
      <c r="Q30" s="19"/>
      <c r="R30" s="772"/>
      <c r="S30" s="18"/>
      <c r="T30" s="2"/>
      <c r="U30" s="2"/>
      <c r="V30" s="3"/>
      <c r="W30" s="3"/>
      <c r="X30" s="97" t="s">
        <v>3125</v>
      </c>
      <c r="Z30" s="22"/>
      <c r="AA30" s="22"/>
      <c r="AB30" s="22"/>
      <c r="AC30" s="2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12.75" customHeight="1">
      <c r="A31" s="15">
        <v>30</v>
      </c>
      <c r="B31" s="736" t="s">
        <v>3086</v>
      </c>
      <c r="C31" s="16" t="s">
        <v>554</v>
      </c>
      <c r="D31" s="20" t="s">
        <v>3110</v>
      </c>
      <c r="E31" s="2" t="s">
        <v>3123</v>
      </c>
      <c r="F31" s="2" t="s">
        <v>3124</v>
      </c>
      <c r="G31" s="17">
        <v>71294023</v>
      </c>
      <c r="H31" s="2" t="s">
        <v>553</v>
      </c>
      <c r="I31" s="2" t="s">
        <v>555</v>
      </c>
      <c r="J31" s="2"/>
      <c r="K31" s="18">
        <v>44591</v>
      </c>
      <c r="L31" s="18">
        <v>44956</v>
      </c>
      <c r="M31" s="18">
        <v>46752</v>
      </c>
      <c r="N31" s="1">
        <v>1</v>
      </c>
      <c r="O31" s="19">
        <v>3624000</v>
      </c>
      <c r="P31" s="18">
        <v>46752</v>
      </c>
      <c r="Q31" s="19">
        <v>3624000</v>
      </c>
      <c r="R31" s="772" t="s">
        <v>556</v>
      </c>
      <c r="S31" s="18">
        <v>44956</v>
      </c>
      <c r="T31" s="2"/>
      <c r="U31" s="2"/>
      <c r="V31" s="3"/>
      <c r="W31" s="3"/>
      <c r="X31" s="2"/>
      <c r="Y31" s="22"/>
      <c r="Z31" s="22"/>
      <c r="AA31" s="22"/>
      <c r="AB31" s="22"/>
      <c r="AC31" s="2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12.75" customHeight="1">
      <c r="A32" s="15">
        <v>31</v>
      </c>
      <c r="B32" s="736" t="s">
        <v>3086</v>
      </c>
      <c r="C32" s="16" t="s">
        <v>589</v>
      </c>
      <c r="D32" s="20" t="s">
        <v>3110</v>
      </c>
      <c r="E32" s="2" t="s">
        <v>3126</v>
      </c>
      <c r="F32" s="2" t="s">
        <v>3124</v>
      </c>
      <c r="G32" s="17">
        <v>71294023</v>
      </c>
      <c r="H32" s="2" t="s">
        <v>588</v>
      </c>
      <c r="I32" s="2" t="s">
        <v>590</v>
      </c>
      <c r="J32" s="2"/>
      <c r="K32" s="18">
        <v>44911</v>
      </c>
      <c r="L32" s="18">
        <v>44911</v>
      </c>
      <c r="M32" s="18">
        <v>46752</v>
      </c>
      <c r="N32" s="1"/>
      <c r="O32" s="19">
        <v>620000</v>
      </c>
      <c r="P32" s="18">
        <v>46752</v>
      </c>
      <c r="Q32" s="19">
        <v>620000</v>
      </c>
      <c r="R32" s="772" t="s">
        <v>591</v>
      </c>
      <c r="S32" s="18">
        <v>44914</v>
      </c>
      <c r="T32" s="2"/>
      <c r="U32" s="2"/>
      <c r="V32" s="3"/>
      <c r="W32" s="3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12.75" customHeight="1">
      <c r="A33" s="15">
        <v>32</v>
      </c>
      <c r="B33" s="736" t="s">
        <v>3086</v>
      </c>
      <c r="C33" s="16" t="s">
        <v>5</v>
      </c>
      <c r="D33" s="2" t="s">
        <v>3127</v>
      </c>
      <c r="E33" s="2" t="s">
        <v>3128</v>
      </c>
      <c r="F33" s="2" t="s">
        <v>3129</v>
      </c>
      <c r="G33" s="17">
        <v>71214011</v>
      </c>
      <c r="H33" s="2" t="s">
        <v>48</v>
      </c>
      <c r="I33" s="2" t="s">
        <v>6</v>
      </c>
      <c r="J33" s="2" t="s">
        <v>7</v>
      </c>
      <c r="K33" s="18">
        <v>42772</v>
      </c>
      <c r="L33" s="18">
        <v>42772</v>
      </c>
      <c r="M33" s="18">
        <v>46423</v>
      </c>
      <c r="N33" s="1"/>
      <c r="O33" s="19">
        <v>235950</v>
      </c>
      <c r="P33" s="18">
        <v>46423</v>
      </c>
      <c r="Q33" s="19">
        <v>235950</v>
      </c>
      <c r="R33" s="772" t="s">
        <v>8</v>
      </c>
      <c r="S33" s="18">
        <v>42772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12.75" customHeight="1">
      <c r="A34" s="15">
        <v>33</v>
      </c>
      <c r="B34" s="736" t="s">
        <v>1555</v>
      </c>
      <c r="C34" s="16" t="s">
        <v>2370</v>
      </c>
      <c r="D34" s="20" t="s">
        <v>3110</v>
      </c>
      <c r="E34" s="2" t="s">
        <v>3092</v>
      </c>
      <c r="F34" s="2" t="s">
        <v>3130</v>
      </c>
      <c r="G34" s="17">
        <v>71209921</v>
      </c>
      <c r="H34" s="2" t="s">
        <v>592</v>
      </c>
      <c r="I34" s="2" t="s">
        <v>2371</v>
      </c>
      <c r="J34" s="2"/>
      <c r="K34" s="18">
        <v>44854</v>
      </c>
      <c r="L34" s="18">
        <v>44854</v>
      </c>
      <c r="M34" s="18"/>
      <c r="N34" s="1"/>
      <c r="O34" s="19"/>
      <c r="P34" s="18">
        <v>44926</v>
      </c>
      <c r="Q34" s="19"/>
      <c r="R34" s="772"/>
      <c r="S34" s="18"/>
      <c r="T34" s="2"/>
      <c r="U34" s="2"/>
      <c r="V34" s="3" t="s">
        <v>3091</v>
      </c>
      <c r="W34" s="3" t="s">
        <v>3091</v>
      </c>
      <c r="X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12.75" customHeight="1">
      <c r="A35" s="15">
        <v>34</v>
      </c>
      <c r="B35" s="738" t="s">
        <v>3086</v>
      </c>
      <c r="C35" s="16" t="s">
        <v>1513</v>
      </c>
      <c r="D35" s="21" t="s">
        <v>3087</v>
      </c>
      <c r="E35" s="3" t="s">
        <v>3088</v>
      </c>
      <c r="F35" s="15" t="s">
        <v>3131</v>
      </c>
      <c r="G35" s="17">
        <v>71192255</v>
      </c>
      <c r="H35" s="2" t="s">
        <v>48</v>
      </c>
      <c r="I35" s="2" t="s">
        <v>1514</v>
      </c>
      <c r="J35" s="2" t="s">
        <v>1515</v>
      </c>
      <c r="K35" s="18">
        <v>42550</v>
      </c>
      <c r="L35" s="18">
        <v>42550</v>
      </c>
      <c r="M35" s="18">
        <v>46201</v>
      </c>
      <c r="N35" s="1"/>
      <c r="O35" s="19">
        <v>0</v>
      </c>
      <c r="P35" s="18">
        <v>46201</v>
      </c>
      <c r="Q35" s="19"/>
      <c r="R35" s="772"/>
      <c r="S35" s="18"/>
      <c r="T35" s="2"/>
      <c r="U35" s="2">
        <v>3</v>
      </c>
      <c r="V35" s="3" t="s">
        <v>4625</v>
      </c>
      <c r="W35" s="3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12.75" customHeight="1">
      <c r="A36" s="15">
        <v>35</v>
      </c>
      <c r="B36" s="738" t="s">
        <v>3086</v>
      </c>
      <c r="C36" s="16" t="s">
        <v>238</v>
      </c>
      <c r="D36" s="20" t="s">
        <v>3110</v>
      </c>
      <c r="E36" s="3" t="s">
        <v>3132</v>
      </c>
      <c r="F36" s="15" t="s">
        <v>3131</v>
      </c>
      <c r="G36" s="17">
        <v>71192255</v>
      </c>
      <c r="H36" s="2" t="s">
        <v>48</v>
      </c>
      <c r="I36" s="2" t="s">
        <v>239</v>
      </c>
      <c r="J36" s="2" t="s">
        <v>239</v>
      </c>
      <c r="K36" s="18">
        <v>43916</v>
      </c>
      <c r="L36" s="18">
        <v>43916</v>
      </c>
      <c r="M36" s="18">
        <v>46106</v>
      </c>
      <c r="N36" s="1"/>
      <c r="O36" s="19">
        <v>1</v>
      </c>
      <c r="P36" s="18">
        <v>46106</v>
      </c>
      <c r="Q36" s="19"/>
      <c r="R36" s="772" t="s">
        <v>240</v>
      </c>
      <c r="S36" s="18">
        <v>43916</v>
      </c>
      <c r="T36" s="2"/>
      <c r="U36" s="2"/>
      <c r="V36" s="3"/>
      <c r="W36" s="3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12.75" customHeight="1">
      <c r="A37" s="15">
        <v>36</v>
      </c>
      <c r="B37" s="736" t="s">
        <v>1555</v>
      </c>
      <c r="C37" s="16" t="s">
        <v>2159</v>
      </c>
      <c r="D37" s="20" t="s">
        <v>3087</v>
      </c>
      <c r="E37" s="2" t="s">
        <v>3093</v>
      </c>
      <c r="F37" s="2" t="s">
        <v>3133</v>
      </c>
      <c r="G37" s="17">
        <v>71009728</v>
      </c>
      <c r="H37" s="96" t="s">
        <v>510</v>
      </c>
      <c r="I37" s="2" t="s">
        <v>2160</v>
      </c>
      <c r="J37" s="2"/>
      <c r="K37" s="18">
        <v>44714</v>
      </c>
      <c r="L37" s="18">
        <v>44714</v>
      </c>
      <c r="M37" s="18">
        <v>44804</v>
      </c>
      <c r="N37" s="1"/>
      <c r="O37" s="19"/>
      <c r="P37" s="18">
        <v>44804</v>
      </c>
      <c r="Q37" s="19"/>
      <c r="R37" s="772"/>
      <c r="S37" s="18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12.75" customHeight="1">
      <c r="A38" s="15">
        <v>37</v>
      </c>
      <c r="B38" s="736" t="s">
        <v>1555</v>
      </c>
      <c r="C38" s="16" t="s">
        <v>2022</v>
      </c>
      <c r="D38" s="20" t="s">
        <v>3087</v>
      </c>
      <c r="E38" s="2" t="s">
        <v>3093</v>
      </c>
      <c r="F38" s="2" t="s">
        <v>3134</v>
      </c>
      <c r="G38" s="17">
        <v>71002235</v>
      </c>
      <c r="H38" s="96" t="s">
        <v>510</v>
      </c>
      <c r="I38" s="2" t="s">
        <v>2023</v>
      </c>
      <c r="J38" s="2"/>
      <c r="K38" s="18">
        <v>44648</v>
      </c>
      <c r="L38" s="18">
        <v>44648</v>
      </c>
      <c r="M38" s="18">
        <v>44681</v>
      </c>
      <c r="N38" s="1"/>
      <c r="O38" s="19">
        <v>0</v>
      </c>
      <c r="P38" s="18">
        <v>44681</v>
      </c>
      <c r="Q38" s="19"/>
      <c r="R38" s="772"/>
      <c r="S38" s="18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12.75" customHeight="1">
      <c r="A39" s="15">
        <v>38</v>
      </c>
      <c r="B39" s="736" t="s">
        <v>1555</v>
      </c>
      <c r="C39" s="16" t="s">
        <v>2973</v>
      </c>
      <c r="D39" s="20" t="s">
        <v>3087</v>
      </c>
      <c r="E39" s="2" t="s">
        <v>3093</v>
      </c>
      <c r="F39" s="15" t="s">
        <v>3135</v>
      </c>
      <c r="G39" s="17">
        <v>70946060</v>
      </c>
      <c r="H39" s="2" t="s">
        <v>180</v>
      </c>
      <c r="I39" s="2" t="s">
        <v>2974</v>
      </c>
      <c r="J39" s="2"/>
      <c r="K39" s="18">
        <v>45195</v>
      </c>
      <c r="L39" s="18">
        <v>45196</v>
      </c>
      <c r="M39" s="18">
        <v>45196</v>
      </c>
      <c r="N39" s="1"/>
      <c r="O39" s="19">
        <v>0</v>
      </c>
      <c r="P39" s="18">
        <v>45196</v>
      </c>
      <c r="Q39" s="19"/>
      <c r="R39" s="772"/>
      <c r="S39" s="18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12.75" customHeight="1">
      <c r="A40" s="15">
        <v>39</v>
      </c>
      <c r="B40" s="738" t="s">
        <v>3086</v>
      </c>
      <c r="C40" s="16" t="s">
        <v>1275</v>
      </c>
      <c r="D40" s="20" t="s">
        <v>3087</v>
      </c>
      <c r="E40" s="2" t="s">
        <v>3093</v>
      </c>
      <c r="F40" s="15" t="s">
        <v>3136</v>
      </c>
      <c r="G40" s="17">
        <v>70892822</v>
      </c>
      <c r="H40" s="96" t="s">
        <v>510</v>
      </c>
      <c r="I40" s="2" t="s">
        <v>1022</v>
      </c>
      <c r="J40" s="2" t="s">
        <v>1022</v>
      </c>
      <c r="K40" s="18">
        <v>41442</v>
      </c>
      <c r="L40" s="18">
        <v>41442</v>
      </c>
      <c r="M40" s="18">
        <v>2958465</v>
      </c>
      <c r="N40" s="1"/>
      <c r="O40" s="19">
        <v>0</v>
      </c>
      <c r="P40" s="18">
        <v>2958465</v>
      </c>
      <c r="Q40" s="19"/>
      <c r="R40" s="772"/>
      <c r="S40" s="18"/>
      <c r="T40" s="2"/>
      <c r="U40" s="2">
        <v>3</v>
      </c>
      <c r="V40" s="3" t="s">
        <v>4625</v>
      </c>
      <c r="W40" s="3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12.75" customHeight="1">
      <c r="A41" s="15">
        <v>40</v>
      </c>
      <c r="B41" s="738" t="s">
        <v>3086</v>
      </c>
      <c r="C41" s="16" t="s">
        <v>1287</v>
      </c>
      <c r="D41" s="20" t="s">
        <v>3087</v>
      </c>
      <c r="E41" s="2" t="s">
        <v>3093</v>
      </c>
      <c r="F41" s="3" t="s">
        <v>3137</v>
      </c>
      <c r="G41" s="17">
        <v>70892115</v>
      </c>
      <c r="H41" s="96" t="s">
        <v>510</v>
      </c>
      <c r="I41" s="2" t="s">
        <v>1022</v>
      </c>
      <c r="J41" s="2" t="s">
        <v>1022</v>
      </c>
      <c r="K41" s="18">
        <v>41501</v>
      </c>
      <c r="L41" s="18">
        <v>41501</v>
      </c>
      <c r="M41" s="18">
        <v>2958465</v>
      </c>
      <c r="N41" s="1"/>
      <c r="O41" s="19">
        <v>0</v>
      </c>
      <c r="P41" s="18">
        <v>2958465</v>
      </c>
      <c r="Q41" s="19"/>
      <c r="R41" s="772"/>
      <c r="S41" s="18"/>
      <c r="T41" s="2"/>
      <c r="U41" s="2">
        <v>3</v>
      </c>
      <c r="V41" s="3" t="s">
        <v>4625</v>
      </c>
      <c r="W41" s="3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12.75" customHeight="1">
      <c r="A42" s="15">
        <v>41</v>
      </c>
      <c r="B42" s="738" t="s">
        <v>3086</v>
      </c>
      <c r="C42" s="16" t="s">
        <v>1294</v>
      </c>
      <c r="D42" s="20" t="s">
        <v>3087</v>
      </c>
      <c r="E42" s="2" t="s">
        <v>3093</v>
      </c>
      <c r="F42" s="15" t="s">
        <v>3138</v>
      </c>
      <c r="G42" s="17">
        <v>70891508</v>
      </c>
      <c r="H42" s="96" t="s">
        <v>510</v>
      </c>
      <c r="I42" s="2" t="s">
        <v>1022</v>
      </c>
      <c r="J42" s="2" t="s">
        <v>1022</v>
      </c>
      <c r="K42" s="18">
        <v>41554</v>
      </c>
      <c r="L42" s="18">
        <v>41554</v>
      </c>
      <c r="M42" s="18">
        <v>2958465</v>
      </c>
      <c r="N42" s="1"/>
      <c r="O42" s="19">
        <v>0</v>
      </c>
      <c r="P42" s="18">
        <v>2958465</v>
      </c>
      <c r="Q42" s="19"/>
      <c r="R42" s="772"/>
      <c r="S42" s="18"/>
      <c r="T42" s="2"/>
      <c r="U42" s="2">
        <v>3</v>
      </c>
      <c r="V42" s="3" t="s">
        <v>4625</v>
      </c>
      <c r="W42" s="3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12.75" customHeight="1">
      <c r="A43" s="15">
        <v>42</v>
      </c>
      <c r="B43" s="738" t="s">
        <v>1555</v>
      </c>
      <c r="C43" s="16" t="s">
        <v>1244</v>
      </c>
      <c r="D43" s="3" t="s">
        <v>3139</v>
      </c>
      <c r="E43" s="3" t="s">
        <v>3117</v>
      </c>
      <c r="F43" s="3" t="s">
        <v>3140</v>
      </c>
      <c r="G43" s="17">
        <v>70891095</v>
      </c>
      <c r="H43" s="2" t="s">
        <v>147</v>
      </c>
      <c r="I43" s="2" t="s">
        <v>1245</v>
      </c>
      <c r="J43" s="2" t="s">
        <v>1246</v>
      </c>
      <c r="K43" s="18">
        <v>41000</v>
      </c>
      <c r="L43" s="18">
        <v>41000</v>
      </c>
      <c r="M43" s="18">
        <v>41274</v>
      </c>
      <c r="N43" s="1"/>
      <c r="O43" s="19">
        <v>0</v>
      </c>
      <c r="P43" s="18">
        <v>41274</v>
      </c>
      <c r="Q43" s="19"/>
      <c r="R43" s="772"/>
      <c r="S43" s="18"/>
      <c r="T43" s="3"/>
      <c r="U43" s="3"/>
      <c r="V43" s="3" t="s">
        <v>3091</v>
      </c>
      <c r="W43" s="3"/>
      <c r="X43" s="2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2.75" customHeight="1">
      <c r="A44" s="15">
        <v>43</v>
      </c>
      <c r="B44" s="738" t="s">
        <v>3086</v>
      </c>
      <c r="C44" s="16" t="s">
        <v>187</v>
      </c>
      <c r="D44" s="20" t="s">
        <v>3110</v>
      </c>
      <c r="E44" s="3" t="s">
        <v>3141</v>
      </c>
      <c r="F44" s="15" t="s">
        <v>3140</v>
      </c>
      <c r="G44" s="17">
        <v>70891095</v>
      </c>
      <c r="H44" s="2" t="s">
        <v>186</v>
      </c>
      <c r="I44" s="2" t="s">
        <v>188</v>
      </c>
      <c r="J44" s="2"/>
      <c r="K44" s="18">
        <v>43613</v>
      </c>
      <c r="L44" s="18">
        <v>43613</v>
      </c>
      <c r="M44" s="18">
        <v>2958465</v>
      </c>
      <c r="N44" s="1"/>
      <c r="O44" s="19">
        <v>0</v>
      </c>
      <c r="P44" s="18">
        <v>2958465</v>
      </c>
      <c r="Q44" s="19"/>
      <c r="R44" s="772"/>
      <c r="S44" s="18"/>
      <c r="T44" s="2"/>
      <c r="U44" s="2">
        <v>3</v>
      </c>
      <c r="V44" s="3" t="s">
        <v>4625</v>
      </c>
      <c r="W44" s="3" t="s">
        <v>4625</v>
      </c>
      <c r="X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12.75" customHeight="1">
      <c r="A45" s="15">
        <v>44</v>
      </c>
      <c r="B45" s="738" t="s">
        <v>3086</v>
      </c>
      <c r="C45" s="16" t="s">
        <v>122</v>
      </c>
      <c r="D45" s="3" t="s">
        <v>3087</v>
      </c>
      <c r="E45" s="3" t="s">
        <v>3142</v>
      </c>
      <c r="F45" s="15" t="s">
        <v>3140</v>
      </c>
      <c r="G45" s="17">
        <v>70891095</v>
      </c>
      <c r="H45" s="2" t="s">
        <v>118</v>
      </c>
      <c r="I45" s="2" t="s">
        <v>120</v>
      </c>
      <c r="J45" s="2"/>
      <c r="K45" s="18">
        <v>43262</v>
      </c>
      <c r="L45" s="18">
        <v>43262</v>
      </c>
      <c r="M45" s="18">
        <v>2958465</v>
      </c>
      <c r="N45" s="1"/>
      <c r="O45" s="19">
        <v>0</v>
      </c>
      <c r="P45" s="18">
        <v>2958465</v>
      </c>
      <c r="Q45" s="19"/>
      <c r="R45" s="772"/>
      <c r="S45" s="18"/>
      <c r="T45" s="2"/>
      <c r="U45" s="2">
        <v>3</v>
      </c>
      <c r="V45" s="3" t="s">
        <v>4625</v>
      </c>
      <c r="W45" s="3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12.75" customHeight="1">
      <c r="A46" s="15">
        <v>45</v>
      </c>
      <c r="B46" s="738" t="s">
        <v>3086</v>
      </c>
      <c r="C46" s="16" t="s">
        <v>1528</v>
      </c>
      <c r="D46" s="3" t="s">
        <v>3139</v>
      </c>
      <c r="E46" s="3" t="s">
        <v>3143</v>
      </c>
      <c r="F46" s="15" t="s">
        <v>3140</v>
      </c>
      <c r="G46" s="17">
        <v>70891095</v>
      </c>
      <c r="H46" s="2" t="s">
        <v>1527</v>
      </c>
      <c r="I46" s="2" t="s">
        <v>1529</v>
      </c>
      <c r="J46" s="2" t="s">
        <v>1530</v>
      </c>
      <c r="K46" s="18">
        <v>42640</v>
      </c>
      <c r="L46" s="18">
        <v>42640</v>
      </c>
      <c r="M46" s="18">
        <v>2958465</v>
      </c>
      <c r="N46" s="1"/>
      <c r="O46" s="19">
        <v>0</v>
      </c>
      <c r="P46" s="18">
        <v>2958465</v>
      </c>
      <c r="Q46" s="19">
        <v>0</v>
      </c>
      <c r="R46" s="772" t="s">
        <v>1531</v>
      </c>
      <c r="S46" s="18">
        <v>42642</v>
      </c>
      <c r="T46" s="2"/>
      <c r="U46" s="2"/>
      <c r="V46" s="3"/>
      <c r="W46" s="3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12.75" customHeight="1">
      <c r="A47" s="15">
        <v>46</v>
      </c>
      <c r="B47" s="738" t="s">
        <v>3086</v>
      </c>
      <c r="C47" s="16" t="s">
        <v>138</v>
      </c>
      <c r="D47" s="20" t="s">
        <v>3110</v>
      </c>
      <c r="E47" s="3" t="s">
        <v>3144</v>
      </c>
      <c r="F47" s="15" t="s">
        <v>3140</v>
      </c>
      <c r="G47" s="17">
        <v>70891095</v>
      </c>
      <c r="H47" s="2" t="s">
        <v>186</v>
      </c>
      <c r="I47" s="2" t="s">
        <v>139</v>
      </c>
      <c r="J47" s="2"/>
      <c r="K47" s="18">
        <v>43404</v>
      </c>
      <c r="L47" s="18">
        <v>43404</v>
      </c>
      <c r="M47" s="18">
        <v>46568</v>
      </c>
      <c r="N47" s="1"/>
      <c r="O47" s="19">
        <v>0</v>
      </c>
      <c r="P47" s="18">
        <v>46568</v>
      </c>
      <c r="Q47" s="19"/>
      <c r="R47" s="772"/>
      <c r="S47" s="18"/>
      <c r="T47" s="2"/>
      <c r="U47" s="2"/>
      <c r="V47" s="3"/>
      <c r="W47" s="3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12.75" customHeight="1">
      <c r="A48" s="15">
        <v>47</v>
      </c>
      <c r="B48" s="736" t="s">
        <v>3086</v>
      </c>
      <c r="C48" s="16" t="s">
        <v>812</v>
      </c>
      <c r="D48" s="20" t="s">
        <v>3110</v>
      </c>
      <c r="E48" s="2" t="s">
        <v>3088</v>
      </c>
      <c r="F48" s="15" t="s">
        <v>3140</v>
      </c>
      <c r="G48" s="17">
        <v>70891095</v>
      </c>
      <c r="H48" s="2" t="s">
        <v>48</v>
      </c>
      <c r="I48" s="2" t="s">
        <v>813</v>
      </c>
      <c r="J48" s="2"/>
      <c r="K48" s="18">
        <v>45223</v>
      </c>
      <c r="L48" s="18">
        <v>45223</v>
      </c>
      <c r="M48" s="18">
        <v>46022</v>
      </c>
      <c r="N48" s="1"/>
      <c r="O48" s="19">
        <v>1354290</v>
      </c>
      <c r="P48" s="18">
        <v>46022</v>
      </c>
      <c r="Q48" s="19">
        <v>1354290</v>
      </c>
      <c r="R48" s="772" t="s">
        <v>3145</v>
      </c>
      <c r="S48" s="18">
        <v>45223</v>
      </c>
      <c r="T48" s="2"/>
      <c r="U48" s="2"/>
      <c r="V48" s="3"/>
      <c r="W48" s="3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12.75" customHeight="1">
      <c r="A49" s="15">
        <v>48</v>
      </c>
      <c r="B49" s="736" t="s">
        <v>3086</v>
      </c>
      <c r="C49" s="16" t="s">
        <v>836</v>
      </c>
      <c r="D49" s="21" t="s">
        <v>3116</v>
      </c>
      <c r="E49" s="2" t="s">
        <v>3146</v>
      </c>
      <c r="F49" s="15" t="s">
        <v>3140</v>
      </c>
      <c r="G49" s="17">
        <v>70891095</v>
      </c>
      <c r="H49" s="96" t="s">
        <v>510</v>
      </c>
      <c r="I49" s="2" t="s">
        <v>837</v>
      </c>
      <c r="J49" s="2"/>
      <c r="K49" s="18">
        <v>45237</v>
      </c>
      <c r="L49" s="18">
        <v>45237</v>
      </c>
      <c r="M49" s="18">
        <v>2958465</v>
      </c>
      <c r="N49" s="1"/>
      <c r="O49" s="19">
        <v>0</v>
      </c>
      <c r="P49" s="18">
        <v>2958465</v>
      </c>
      <c r="Q49" s="19"/>
      <c r="R49" s="772"/>
      <c r="S49" s="18"/>
      <c r="T49" s="3"/>
      <c r="U49" s="3">
        <v>3</v>
      </c>
      <c r="V49" s="3" t="s">
        <v>4625</v>
      </c>
      <c r="W49" s="3" t="s">
        <v>4631</v>
      </c>
      <c r="X49" s="2"/>
      <c r="Y49" s="2" t="s">
        <v>4706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2.75" customHeight="1">
      <c r="A50" s="15">
        <v>49</v>
      </c>
      <c r="B50" s="736" t="s">
        <v>1555</v>
      </c>
      <c r="C50" s="16" t="s">
        <v>2026</v>
      </c>
      <c r="D50" s="20" t="s">
        <v>3087</v>
      </c>
      <c r="E50" s="2" t="s">
        <v>3093</v>
      </c>
      <c r="F50" s="15" t="s">
        <v>3140</v>
      </c>
      <c r="G50" s="17">
        <v>70891095</v>
      </c>
      <c r="H50" s="96" t="s">
        <v>510</v>
      </c>
      <c r="I50" s="2" t="s">
        <v>2027</v>
      </c>
      <c r="J50" s="2"/>
      <c r="K50" s="18">
        <v>44641</v>
      </c>
      <c r="L50" s="18">
        <v>44637</v>
      </c>
      <c r="M50" s="18">
        <v>44926</v>
      </c>
      <c r="N50" s="1"/>
      <c r="O50" s="19">
        <v>0</v>
      </c>
      <c r="P50" s="18">
        <v>44926</v>
      </c>
      <c r="Q50" s="19"/>
      <c r="R50" s="772"/>
      <c r="S50" s="18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2.75" customHeight="1">
      <c r="A51" s="15">
        <v>50</v>
      </c>
      <c r="B51" s="736" t="s">
        <v>1555</v>
      </c>
      <c r="C51" s="16" t="s">
        <v>1647</v>
      </c>
      <c r="D51" s="20" t="s">
        <v>3110</v>
      </c>
      <c r="E51" s="2" t="s">
        <v>3092</v>
      </c>
      <c r="F51" s="15" t="s">
        <v>3140</v>
      </c>
      <c r="G51" s="17">
        <v>70891095</v>
      </c>
      <c r="H51" s="2" t="s">
        <v>592</v>
      </c>
      <c r="I51" s="2" t="s">
        <v>1648</v>
      </c>
      <c r="J51" s="2"/>
      <c r="K51" s="18">
        <v>44341</v>
      </c>
      <c r="L51" s="18">
        <v>44341</v>
      </c>
      <c r="M51" s="18">
        <v>44963</v>
      </c>
      <c r="N51" s="1"/>
      <c r="O51" s="19">
        <v>34144</v>
      </c>
      <c r="P51" s="18">
        <v>44963</v>
      </c>
      <c r="Q51" s="19"/>
      <c r="R51" s="772"/>
      <c r="S51" s="18"/>
      <c r="T51" s="2"/>
      <c r="U51" s="2"/>
      <c r="V51" s="3" t="s">
        <v>3091</v>
      </c>
      <c r="W51" s="3" t="s">
        <v>3091</v>
      </c>
      <c r="X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2.75" customHeight="1">
      <c r="A52" s="15">
        <v>51</v>
      </c>
      <c r="B52" s="736" t="s">
        <v>1555</v>
      </c>
      <c r="C52" s="16" t="s">
        <v>2677</v>
      </c>
      <c r="D52" s="20" t="s">
        <v>3087</v>
      </c>
      <c r="E52" s="2" t="s">
        <v>3093</v>
      </c>
      <c r="F52" s="15" t="s">
        <v>3140</v>
      </c>
      <c r="G52" s="17">
        <v>70891095</v>
      </c>
      <c r="H52" s="96" t="s">
        <v>510</v>
      </c>
      <c r="I52" s="2" t="s">
        <v>2678</v>
      </c>
      <c r="J52" s="2"/>
      <c r="K52" s="18">
        <v>45005</v>
      </c>
      <c r="L52" s="18">
        <v>45005</v>
      </c>
      <c r="M52" s="18">
        <v>45291</v>
      </c>
      <c r="N52" s="1"/>
      <c r="O52" s="19"/>
      <c r="P52" s="18">
        <v>45291</v>
      </c>
      <c r="Q52" s="19"/>
      <c r="R52" s="772"/>
      <c r="S52" s="18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12.75" customHeight="1">
      <c r="A53" s="15">
        <v>52</v>
      </c>
      <c r="B53" s="736" t="s">
        <v>1555</v>
      </c>
      <c r="C53" s="16" t="s">
        <v>2218</v>
      </c>
      <c r="D53" s="20" t="s">
        <v>3110</v>
      </c>
      <c r="E53" s="2" t="s">
        <v>3092</v>
      </c>
      <c r="F53" s="15" t="s">
        <v>3140</v>
      </c>
      <c r="G53" s="17">
        <v>70891095</v>
      </c>
      <c r="H53" s="2" t="s">
        <v>684</v>
      </c>
      <c r="I53" s="2" t="s">
        <v>2219</v>
      </c>
      <c r="J53" s="2"/>
      <c r="K53" s="18">
        <v>44769</v>
      </c>
      <c r="L53" s="18">
        <v>44769</v>
      </c>
      <c r="M53" s="18">
        <v>44926</v>
      </c>
      <c r="N53" s="1"/>
      <c r="O53" s="19"/>
      <c r="P53" s="18">
        <v>44926</v>
      </c>
      <c r="Q53" s="19"/>
      <c r="R53" s="772"/>
      <c r="S53" s="18"/>
      <c r="T53" s="2"/>
      <c r="U53" s="2"/>
      <c r="V53" s="3" t="s">
        <v>3091</v>
      </c>
      <c r="W53" s="3" t="s">
        <v>3091</v>
      </c>
      <c r="X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12.75" customHeight="1">
      <c r="A54" s="15">
        <v>53</v>
      </c>
      <c r="B54" s="738" t="s">
        <v>3086</v>
      </c>
      <c r="C54" s="16" t="s">
        <v>1443</v>
      </c>
      <c r="D54" s="21" t="s">
        <v>3116</v>
      </c>
      <c r="E54" s="3" t="s">
        <v>3117</v>
      </c>
      <c r="F54" s="15" t="s">
        <v>3147</v>
      </c>
      <c r="G54" s="17">
        <v>70890749</v>
      </c>
      <c r="H54" s="2" t="s">
        <v>1444</v>
      </c>
      <c r="I54" s="2" t="s">
        <v>1445</v>
      </c>
      <c r="J54" s="2" t="s">
        <v>1446</v>
      </c>
      <c r="K54" s="18">
        <v>42304</v>
      </c>
      <c r="L54" s="18">
        <v>42304</v>
      </c>
      <c r="M54" s="18">
        <v>2958465</v>
      </c>
      <c r="N54" s="1"/>
      <c r="O54" s="19">
        <v>0</v>
      </c>
      <c r="P54" s="18">
        <v>2958465</v>
      </c>
      <c r="Q54" s="19"/>
      <c r="R54" s="772"/>
      <c r="S54" s="18"/>
      <c r="T54" s="2"/>
      <c r="U54" s="3">
        <v>3</v>
      </c>
      <c r="V54" s="3" t="s">
        <v>4625</v>
      </c>
      <c r="W54" s="3" t="s">
        <v>4631</v>
      </c>
      <c r="X54" s="2"/>
      <c r="Y54" s="2" t="s">
        <v>4707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12.75" customHeight="1">
      <c r="A55" s="15">
        <v>54</v>
      </c>
      <c r="B55" s="738" t="s">
        <v>3086</v>
      </c>
      <c r="C55" s="16" t="s">
        <v>1289</v>
      </c>
      <c r="D55" s="20" t="s">
        <v>3087</v>
      </c>
      <c r="E55" s="2" t="s">
        <v>3093</v>
      </c>
      <c r="F55" s="15" t="s">
        <v>3148</v>
      </c>
      <c r="G55" s="17">
        <v>70890650</v>
      </c>
      <c r="H55" s="96" t="s">
        <v>510</v>
      </c>
      <c r="I55" s="2" t="s">
        <v>1022</v>
      </c>
      <c r="J55" s="2" t="s">
        <v>1022</v>
      </c>
      <c r="K55" s="18">
        <v>41501</v>
      </c>
      <c r="L55" s="18">
        <v>41501</v>
      </c>
      <c r="M55" s="18">
        <v>2958465</v>
      </c>
      <c r="N55" s="1"/>
      <c r="O55" s="19">
        <v>0</v>
      </c>
      <c r="P55" s="18">
        <v>2958465</v>
      </c>
      <c r="Q55" s="19"/>
      <c r="R55" s="772"/>
      <c r="S55" s="18"/>
      <c r="T55" s="2"/>
      <c r="U55" s="2">
        <v>3</v>
      </c>
      <c r="V55" s="3" t="s">
        <v>4625</v>
      </c>
      <c r="W55" s="3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12.75" customHeight="1">
      <c r="A56" s="15">
        <v>55</v>
      </c>
      <c r="B56" s="738" t="s">
        <v>3086</v>
      </c>
      <c r="C56" s="16" t="s">
        <v>1269</v>
      </c>
      <c r="D56" s="20" t="s">
        <v>3087</v>
      </c>
      <c r="E56" s="2" t="s">
        <v>3093</v>
      </c>
      <c r="F56" s="15" t="s">
        <v>3149</v>
      </c>
      <c r="G56" s="17">
        <v>70890366</v>
      </c>
      <c r="H56" s="96" t="s">
        <v>510</v>
      </c>
      <c r="I56" s="2" t="s">
        <v>1022</v>
      </c>
      <c r="J56" s="2" t="s">
        <v>1022</v>
      </c>
      <c r="K56" s="18">
        <v>41381</v>
      </c>
      <c r="L56" s="18">
        <v>41381</v>
      </c>
      <c r="M56" s="18">
        <v>2958465</v>
      </c>
      <c r="N56" s="1"/>
      <c r="O56" s="19">
        <v>0</v>
      </c>
      <c r="P56" s="18">
        <v>2958465</v>
      </c>
      <c r="Q56" s="19"/>
      <c r="R56" s="772"/>
      <c r="S56" s="18"/>
      <c r="T56" s="2"/>
      <c r="U56" s="2">
        <v>3</v>
      </c>
      <c r="V56" s="3" t="s">
        <v>4625</v>
      </c>
      <c r="W56" s="3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12.75" customHeight="1">
      <c r="A57" s="15">
        <v>56</v>
      </c>
      <c r="B57" s="736" t="s">
        <v>1555</v>
      </c>
      <c r="C57" s="16" t="s">
        <v>1711</v>
      </c>
      <c r="D57" s="20" t="s">
        <v>3110</v>
      </c>
      <c r="E57" s="2" t="s">
        <v>3114</v>
      </c>
      <c r="F57" s="2" t="s">
        <v>3150</v>
      </c>
      <c r="G57" s="17">
        <v>70889953</v>
      </c>
      <c r="H57" s="2" t="s">
        <v>1905</v>
      </c>
      <c r="I57" s="2" t="s">
        <v>1712</v>
      </c>
      <c r="J57" s="2"/>
      <c r="K57" s="18">
        <v>44375</v>
      </c>
      <c r="L57" s="18">
        <v>44375</v>
      </c>
      <c r="M57" s="18">
        <v>44377</v>
      </c>
      <c r="N57" s="1"/>
      <c r="O57" s="19"/>
      <c r="P57" s="18">
        <v>44377</v>
      </c>
      <c r="Q57" s="19"/>
      <c r="R57" s="772"/>
      <c r="S57" s="18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12.75" customHeight="1">
      <c r="A58" s="15">
        <v>57</v>
      </c>
      <c r="B58" s="738" t="s">
        <v>3086</v>
      </c>
      <c r="C58" s="16" t="s">
        <v>1288</v>
      </c>
      <c r="D58" s="23" t="s">
        <v>3087</v>
      </c>
      <c r="E58" s="2" t="s">
        <v>3093</v>
      </c>
      <c r="F58" s="15" t="s">
        <v>3151</v>
      </c>
      <c r="G58" s="17">
        <v>70889546</v>
      </c>
      <c r="H58" s="96" t="s">
        <v>510</v>
      </c>
      <c r="I58" s="2" t="s">
        <v>1022</v>
      </c>
      <c r="J58" s="2" t="s">
        <v>1022</v>
      </c>
      <c r="K58" s="18">
        <v>41501</v>
      </c>
      <c r="L58" s="18">
        <v>41501</v>
      </c>
      <c r="M58" s="18">
        <v>2958465</v>
      </c>
      <c r="N58" s="1"/>
      <c r="O58" s="19">
        <v>0</v>
      </c>
      <c r="P58" s="18">
        <v>2958465</v>
      </c>
      <c r="Q58" s="19"/>
      <c r="R58" s="772"/>
      <c r="S58" s="18"/>
      <c r="T58" s="2"/>
      <c r="U58" s="2">
        <v>3</v>
      </c>
      <c r="V58" s="3" t="s">
        <v>4625</v>
      </c>
      <c r="W58" s="3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12.75" customHeight="1">
      <c r="A59" s="15">
        <v>58</v>
      </c>
      <c r="B59" s="736" t="s">
        <v>3086</v>
      </c>
      <c r="C59" s="16" t="s">
        <v>17</v>
      </c>
      <c r="D59" s="2" t="s">
        <v>3127</v>
      </c>
      <c r="E59" s="2" t="s">
        <v>3128</v>
      </c>
      <c r="F59" s="2" t="s">
        <v>3152</v>
      </c>
      <c r="G59" s="17">
        <v>70885371</v>
      </c>
      <c r="H59" s="2" t="s">
        <v>48</v>
      </c>
      <c r="I59" s="2" t="s">
        <v>18</v>
      </c>
      <c r="J59" s="2" t="s">
        <v>19</v>
      </c>
      <c r="K59" s="18">
        <v>42786</v>
      </c>
      <c r="L59" s="18">
        <v>42786</v>
      </c>
      <c r="M59" s="18">
        <v>46437</v>
      </c>
      <c r="N59" s="1"/>
      <c r="O59" s="19">
        <v>119971.5</v>
      </c>
      <c r="P59" s="18">
        <v>46437</v>
      </c>
      <c r="Q59" s="19">
        <v>119971</v>
      </c>
      <c r="R59" s="772" t="s">
        <v>20</v>
      </c>
      <c r="S59" s="18">
        <v>42786</v>
      </c>
      <c r="T59" s="2"/>
      <c r="U59" s="2"/>
      <c r="V59" s="3"/>
      <c r="W59" s="3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12.75" customHeight="1">
      <c r="A60" s="15">
        <v>59</v>
      </c>
      <c r="B60" s="736" t="s">
        <v>3086</v>
      </c>
      <c r="C60" s="16" t="s">
        <v>1309</v>
      </c>
      <c r="D60" s="2" t="s">
        <v>3127</v>
      </c>
      <c r="E60" s="2" t="s">
        <v>3128</v>
      </c>
      <c r="F60" s="2" t="s">
        <v>3152</v>
      </c>
      <c r="G60" s="17">
        <v>70885371</v>
      </c>
      <c r="H60" s="2" t="s">
        <v>48</v>
      </c>
      <c r="I60" s="2" t="s">
        <v>1310</v>
      </c>
      <c r="J60" s="2" t="s">
        <v>1311</v>
      </c>
      <c r="K60" s="18">
        <v>41789</v>
      </c>
      <c r="L60" s="18">
        <v>41789</v>
      </c>
      <c r="M60" s="18">
        <v>46536</v>
      </c>
      <c r="N60" s="1"/>
      <c r="O60" s="19">
        <v>0</v>
      </c>
      <c r="P60" s="18">
        <v>46536</v>
      </c>
      <c r="Q60" s="19">
        <v>0</v>
      </c>
      <c r="R60" s="772"/>
      <c r="S60" s="18"/>
      <c r="T60" s="2"/>
      <c r="U60" s="2"/>
      <c r="V60" s="3"/>
      <c r="W60" s="3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12.75" customHeight="1">
      <c r="A61" s="15">
        <v>60</v>
      </c>
      <c r="B61" s="736" t="s">
        <v>3086</v>
      </c>
      <c r="C61" s="16" t="s">
        <v>1382</v>
      </c>
      <c r="D61" s="2" t="s">
        <v>3127</v>
      </c>
      <c r="E61" s="2" t="s">
        <v>3128</v>
      </c>
      <c r="F61" s="2" t="s">
        <v>3152</v>
      </c>
      <c r="G61" s="17">
        <v>70885371</v>
      </c>
      <c r="H61" s="2" t="s">
        <v>48</v>
      </c>
      <c r="I61" s="2" t="s">
        <v>1383</v>
      </c>
      <c r="J61" s="2" t="s">
        <v>1311</v>
      </c>
      <c r="K61" s="18">
        <v>42058</v>
      </c>
      <c r="L61" s="18">
        <v>42058</v>
      </c>
      <c r="M61" s="18">
        <v>46440</v>
      </c>
      <c r="N61" s="1"/>
      <c r="O61" s="19">
        <v>144471</v>
      </c>
      <c r="P61" s="18">
        <v>46440</v>
      </c>
      <c r="Q61" s="19">
        <v>144471</v>
      </c>
      <c r="R61" s="772" t="s">
        <v>1384</v>
      </c>
      <c r="S61" s="18">
        <v>42781</v>
      </c>
      <c r="T61" s="2"/>
      <c r="U61" s="2"/>
      <c r="V61" s="3"/>
      <c r="W61" s="3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12.75" customHeight="1">
      <c r="A62" s="15">
        <v>61</v>
      </c>
      <c r="B62" s="736" t="s">
        <v>3086</v>
      </c>
      <c r="C62" s="16" t="s">
        <v>1440</v>
      </c>
      <c r="D62" s="2" t="s">
        <v>3127</v>
      </c>
      <c r="E62" s="2" t="s">
        <v>3128</v>
      </c>
      <c r="F62" s="2" t="s">
        <v>3152</v>
      </c>
      <c r="G62" s="17">
        <v>70885371</v>
      </c>
      <c r="H62" s="2" t="s">
        <v>48</v>
      </c>
      <c r="I62" s="2" t="s">
        <v>1441</v>
      </c>
      <c r="J62" s="2" t="s">
        <v>1442</v>
      </c>
      <c r="K62" s="18">
        <v>42298</v>
      </c>
      <c r="L62" s="18">
        <v>42298</v>
      </c>
      <c r="M62" s="18">
        <v>46680</v>
      </c>
      <c r="N62" s="1"/>
      <c r="O62" s="19">
        <v>0</v>
      </c>
      <c r="P62" s="18">
        <v>46680</v>
      </c>
      <c r="Q62" s="19">
        <v>0</v>
      </c>
      <c r="R62" s="772"/>
      <c r="S62" s="18"/>
      <c r="T62" s="2"/>
      <c r="U62" s="2"/>
      <c r="V62" s="3"/>
      <c r="W62" s="3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12.75" customHeight="1">
      <c r="A63" s="15">
        <v>62</v>
      </c>
      <c r="B63" s="736" t="s">
        <v>3086</v>
      </c>
      <c r="C63" s="16" t="s">
        <v>1479</v>
      </c>
      <c r="D63" s="2" t="s">
        <v>3127</v>
      </c>
      <c r="E63" s="2" t="s">
        <v>3128</v>
      </c>
      <c r="F63" s="2" t="s">
        <v>3152</v>
      </c>
      <c r="G63" s="17">
        <v>70885371</v>
      </c>
      <c r="H63" s="2" t="s">
        <v>48</v>
      </c>
      <c r="I63" s="2" t="s">
        <v>1480</v>
      </c>
      <c r="J63" s="2" t="s">
        <v>1481</v>
      </c>
      <c r="K63" s="18">
        <v>42387</v>
      </c>
      <c r="L63" s="18">
        <v>42387</v>
      </c>
      <c r="M63" s="18">
        <v>46039</v>
      </c>
      <c r="N63" s="1"/>
      <c r="O63" s="19">
        <v>144470.37</v>
      </c>
      <c r="P63" s="18">
        <v>46039</v>
      </c>
      <c r="Q63" s="19">
        <v>144470</v>
      </c>
      <c r="R63" s="772" t="s">
        <v>1482</v>
      </c>
      <c r="S63" s="18">
        <v>43124</v>
      </c>
      <c r="T63" s="2"/>
      <c r="U63" s="2"/>
      <c r="V63" s="3"/>
      <c r="W63" s="3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12.75" customHeight="1">
      <c r="A64" s="15">
        <v>63</v>
      </c>
      <c r="B64" s="742" t="s">
        <v>1555</v>
      </c>
      <c r="C64" s="16" t="s">
        <v>319</v>
      </c>
      <c r="D64" s="20" t="s">
        <v>3110</v>
      </c>
      <c r="E64" s="2" t="s">
        <v>3153</v>
      </c>
      <c r="F64" s="2" t="s">
        <v>3152</v>
      </c>
      <c r="G64" s="17">
        <v>70885371</v>
      </c>
      <c r="H64" s="2" t="s">
        <v>48</v>
      </c>
      <c r="I64" s="2" t="s">
        <v>320</v>
      </c>
      <c r="J64" s="2"/>
      <c r="K64" s="18">
        <v>44287</v>
      </c>
      <c r="L64" s="18">
        <v>44287</v>
      </c>
      <c r="M64" s="18">
        <v>45412</v>
      </c>
      <c r="N64" s="1"/>
      <c r="O64" s="19">
        <v>1294442.03</v>
      </c>
      <c r="P64" s="18">
        <v>45412</v>
      </c>
      <c r="Q64" s="19">
        <v>1294442.03</v>
      </c>
      <c r="R64" s="772" t="s">
        <v>3154</v>
      </c>
      <c r="S64" s="18">
        <v>44287</v>
      </c>
      <c r="T64" s="2"/>
      <c r="U64" s="2"/>
      <c r="V64" s="3" t="s">
        <v>3091</v>
      </c>
      <c r="W64" s="3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12.75" customHeight="1">
      <c r="A65" s="15">
        <v>64</v>
      </c>
      <c r="B65" s="736" t="s">
        <v>3086</v>
      </c>
      <c r="C65" s="16" t="s">
        <v>321</v>
      </c>
      <c r="D65" s="15" t="s">
        <v>3110</v>
      </c>
      <c r="E65" s="2" t="s">
        <v>3153</v>
      </c>
      <c r="F65" s="2" t="s">
        <v>3152</v>
      </c>
      <c r="G65" s="17">
        <v>70885371</v>
      </c>
      <c r="H65" s="2" t="s">
        <v>48</v>
      </c>
      <c r="I65" s="2" t="s">
        <v>322</v>
      </c>
      <c r="J65" s="2"/>
      <c r="K65" s="18">
        <v>44314</v>
      </c>
      <c r="L65" s="18">
        <v>44314</v>
      </c>
      <c r="M65" s="18">
        <v>46112</v>
      </c>
      <c r="N65" s="1">
        <v>2</v>
      </c>
      <c r="O65" s="19">
        <v>12839646.060000001</v>
      </c>
      <c r="P65" s="18">
        <v>46112</v>
      </c>
      <c r="Q65" s="19">
        <v>12839646.060000001</v>
      </c>
      <c r="R65" s="772" t="s">
        <v>3155</v>
      </c>
      <c r="S65" s="18" t="s">
        <v>3156</v>
      </c>
      <c r="T65" s="2"/>
      <c r="U65" s="2"/>
      <c r="V65" s="3"/>
      <c r="W65" s="3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2.75" customHeight="1">
      <c r="A66" s="15">
        <v>65</v>
      </c>
      <c r="B66" s="736" t="s">
        <v>1555</v>
      </c>
      <c r="C66" s="16" t="s">
        <v>2144</v>
      </c>
      <c r="D66" s="20" t="s">
        <v>3087</v>
      </c>
      <c r="E66" s="2" t="s">
        <v>3093</v>
      </c>
      <c r="F66" s="2" t="s">
        <v>3152</v>
      </c>
      <c r="G66" s="17">
        <v>70885371</v>
      </c>
      <c r="H66" s="96" t="s">
        <v>510</v>
      </c>
      <c r="I66" s="2" t="s">
        <v>2145</v>
      </c>
      <c r="J66" s="2"/>
      <c r="K66" s="18">
        <v>44705</v>
      </c>
      <c r="L66" s="18">
        <v>44705</v>
      </c>
      <c r="M66" s="18">
        <v>44804</v>
      </c>
      <c r="N66" s="1"/>
      <c r="O66" s="19"/>
      <c r="P66" s="18">
        <v>44804</v>
      </c>
      <c r="Q66" s="19"/>
      <c r="R66" s="772"/>
      <c r="S66" s="18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12.75" customHeight="1">
      <c r="A67" s="15">
        <v>66</v>
      </c>
      <c r="B67" s="736" t="s">
        <v>1555</v>
      </c>
      <c r="C67" s="16" t="s">
        <v>2146</v>
      </c>
      <c r="D67" s="20" t="s">
        <v>3087</v>
      </c>
      <c r="E67" s="2" t="s">
        <v>3093</v>
      </c>
      <c r="F67" s="2" t="s">
        <v>3152</v>
      </c>
      <c r="G67" s="17">
        <v>70885371</v>
      </c>
      <c r="H67" s="96" t="s">
        <v>510</v>
      </c>
      <c r="I67" s="2" t="s">
        <v>2147</v>
      </c>
      <c r="J67" s="2"/>
      <c r="K67" s="18">
        <v>44705</v>
      </c>
      <c r="L67" s="18">
        <v>44705</v>
      </c>
      <c r="M67" s="18">
        <v>44804</v>
      </c>
      <c r="N67" s="1"/>
      <c r="O67" s="19"/>
      <c r="P67" s="18">
        <v>44804</v>
      </c>
      <c r="Q67" s="19"/>
      <c r="R67" s="772"/>
      <c r="S67" s="18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12.75" customHeight="1">
      <c r="A68" s="15">
        <v>67</v>
      </c>
      <c r="B68" s="736" t="s">
        <v>1555</v>
      </c>
      <c r="C68" s="16" t="s">
        <v>1862</v>
      </c>
      <c r="D68" s="20" t="s">
        <v>3087</v>
      </c>
      <c r="E68" s="2" t="s">
        <v>3103</v>
      </c>
      <c r="F68" s="2" t="s">
        <v>3152</v>
      </c>
      <c r="G68" s="17">
        <v>70885371</v>
      </c>
      <c r="H68" s="2" t="s">
        <v>180</v>
      </c>
      <c r="I68" s="2" t="s">
        <v>1863</v>
      </c>
      <c r="J68" s="2"/>
      <c r="K68" s="18">
        <v>44499</v>
      </c>
      <c r="L68" s="18">
        <v>44499</v>
      </c>
      <c r="M68" s="18">
        <v>44499</v>
      </c>
      <c r="N68" s="1"/>
      <c r="O68" s="19">
        <v>0</v>
      </c>
      <c r="P68" s="18">
        <v>44499</v>
      </c>
      <c r="Q68" s="19"/>
      <c r="R68" s="772"/>
      <c r="S68" s="18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12.75" customHeight="1">
      <c r="A69" s="15">
        <v>68</v>
      </c>
      <c r="B69" s="736" t="s">
        <v>1555</v>
      </c>
      <c r="C69" s="16" t="s">
        <v>2245</v>
      </c>
      <c r="D69" s="20" t="s">
        <v>3087</v>
      </c>
      <c r="E69" s="2" t="s">
        <v>3093</v>
      </c>
      <c r="F69" s="2" t="s">
        <v>3152</v>
      </c>
      <c r="G69" s="17">
        <v>70885371</v>
      </c>
      <c r="H69" s="96" t="s">
        <v>510</v>
      </c>
      <c r="I69" s="2" t="s">
        <v>2246</v>
      </c>
      <c r="J69" s="2"/>
      <c r="K69" s="18">
        <v>44781</v>
      </c>
      <c r="L69" s="18">
        <v>44781</v>
      </c>
      <c r="M69" s="18">
        <v>44895</v>
      </c>
      <c r="N69" s="1"/>
      <c r="O69" s="19"/>
      <c r="P69" s="18">
        <v>44895</v>
      </c>
      <c r="Q69" s="19"/>
      <c r="R69" s="772"/>
      <c r="S69" s="18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12.75" customHeight="1">
      <c r="A70" s="15">
        <v>69</v>
      </c>
      <c r="B70" s="736" t="s">
        <v>1555</v>
      </c>
      <c r="C70" s="16" t="s">
        <v>2835</v>
      </c>
      <c r="D70" s="20" t="s">
        <v>3087</v>
      </c>
      <c r="E70" s="2" t="s">
        <v>3093</v>
      </c>
      <c r="F70" s="2" t="s">
        <v>3152</v>
      </c>
      <c r="G70" s="17">
        <v>70885371</v>
      </c>
      <c r="H70" s="96" t="s">
        <v>510</v>
      </c>
      <c r="I70" s="2" t="s">
        <v>2836</v>
      </c>
      <c r="J70" s="2"/>
      <c r="K70" s="18">
        <v>45092</v>
      </c>
      <c r="L70" s="18">
        <v>45092</v>
      </c>
      <c r="M70" s="18">
        <v>45107</v>
      </c>
      <c r="N70" s="1"/>
      <c r="O70" s="19"/>
      <c r="P70" s="18">
        <v>45107</v>
      </c>
      <c r="Q70" s="19"/>
      <c r="R70" s="772"/>
      <c r="S70" s="18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12.75" customHeight="1">
      <c r="A71" s="15">
        <v>70</v>
      </c>
      <c r="B71" s="736" t="s">
        <v>1555</v>
      </c>
      <c r="C71" s="16" t="s">
        <v>2859</v>
      </c>
      <c r="D71" s="20" t="s">
        <v>3087</v>
      </c>
      <c r="E71" s="2" t="s">
        <v>3093</v>
      </c>
      <c r="F71" s="2" t="s">
        <v>3152</v>
      </c>
      <c r="G71" s="17">
        <v>70885371</v>
      </c>
      <c r="H71" s="96" t="s">
        <v>510</v>
      </c>
      <c r="I71" s="2" t="s">
        <v>2836</v>
      </c>
      <c r="J71" s="2"/>
      <c r="K71" s="18">
        <v>45092</v>
      </c>
      <c r="L71" s="18">
        <v>45092</v>
      </c>
      <c r="M71" s="18">
        <v>45138</v>
      </c>
      <c r="N71" s="1"/>
      <c r="O71" s="19"/>
      <c r="P71" s="18">
        <v>45138</v>
      </c>
      <c r="Q71" s="19"/>
      <c r="R71" s="772"/>
      <c r="S71" s="18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12.75" customHeight="1">
      <c r="A72" s="15">
        <v>71</v>
      </c>
      <c r="B72" s="736" t="s">
        <v>1555</v>
      </c>
      <c r="C72" s="16" t="s">
        <v>2453</v>
      </c>
      <c r="D72" s="20" t="s">
        <v>3087</v>
      </c>
      <c r="E72" s="2" t="s">
        <v>3097</v>
      </c>
      <c r="F72" s="2" t="s">
        <v>3152</v>
      </c>
      <c r="G72" s="17">
        <v>70885371</v>
      </c>
      <c r="H72" s="96" t="s">
        <v>830</v>
      </c>
      <c r="I72" s="2" t="s">
        <v>2454</v>
      </c>
      <c r="J72" s="2"/>
      <c r="K72" s="18">
        <v>44873</v>
      </c>
      <c r="L72" s="18">
        <v>44873</v>
      </c>
      <c r="M72" s="18">
        <v>44651</v>
      </c>
      <c r="N72" s="1"/>
      <c r="O72" s="19"/>
      <c r="P72" s="18">
        <v>44651</v>
      </c>
      <c r="Q72" s="19"/>
      <c r="R72" s="772"/>
      <c r="S72" s="18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12.75" customHeight="1">
      <c r="A73" s="15">
        <v>72</v>
      </c>
      <c r="B73" s="736" t="s">
        <v>3086</v>
      </c>
      <c r="C73" s="16" t="s">
        <v>377</v>
      </c>
      <c r="D73" s="15" t="s">
        <v>3110</v>
      </c>
      <c r="E73" s="2" t="s">
        <v>3157</v>
      </c>
      <c r="F73" s="2" t="s">
        <v>3158</v>
      </c>
      <c r="G73" s="17">
        <v>70837376</v>
      </c>
      <c r="H73" s="2" t="s">
        <v>250</v>
      </c>
      <c r="I73" s="2" t="s">
        <v>378</v>
      </c>
      <c r="J73" s="2"/>
      <c r="K73" s="18">
        <v>44559</v>
      </c>
      <c r="L73" s="18">
        <v>44562</v>
      </c>
      <c r="M73" s="18">
        <v>2958465</v>
      </c>
      <c r="N73" s="1">
        <v>2</v>
      </c>
      <c r="O73" s="19">
        <v>789600</v>
      </c>
      <c r="P73" s="18">
        <v>2958465</v>
      </c>
      <c r="Q73" s="1727" t="s">
        <v>3159</v>
      </c>
      <c r="R73" s="1728"/>
      <c r="S73" s="1728"/>
      <c r="T73" s="2"/>
      <c r="U73" s="2"/>
      <c r="V73" s="3"/>
      <c r="W73" s="3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12.75" customHeight="1">
      <c r="A74" s="15">
        <v>73</v>
      </c>
      <c r="B74" s="736" t="s">
        <v>1555</v>
      </c>
      <c r="C74" s="16" t="s">
        <v>1912</v>
      </c>
      <c r="D74" s="15" t="s">
        <v>3110</v>
      </c>
      <c r="E74" s="2" t="s">
        <v>3114</v>
      </c>
      <c r="F74" s="2" t="s">
        <v>3158</v>
      </c>
      <c r="G74" s="17">
        <v>70837376</v>
      </c>
      <c r="H74" s="2" t="s">
        <v>1905</v>
      </c>
      <c r="I74" s="2" t="s">
        <v>1913</v>
      </c>
      <c r="J74" s="2"/>
      <c r="K74" s="18">
        <v>44558</v>
      </c>
      <c r="L74" s="18">
        <v>44558</v>
      </c>
      <c r="M74" s="18">
        <v>44561</v>
      </c>
      <c r="N74" s="1"/>
      <c r="O74" s="19">
        <v>1</v>
      </c>
      <c r="P74" s="18">
        <v>44561</v>
      </c>
      <c r="Q74" s="19"/>
      <c r="R74" s="772"/>
      <c r="S74" s="18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12.75" customHeight="1">
      <c r="A75" s="15">
        <v>74</v>
      </c>
      <c r="B75" s="738" t="s">
        <v>3086</v>
      </c>
      <c r="C75" s="16" t="s">
        <v>1077</v>
      </c>
      <c r="D75" s="15" t="s">
        <v>3087</v>
      </c>
      <c r="E75" s="3" t="s">
        <v>3093</v>
      </c>
      <c r="F75" s="15" t="s">
        <v>3160</v>
      </c>
      <c r="G75" s="17">
        <v>70809771</v>
      </c>
      <c r="H75" s="96" t="s">
        <v>510</v>
      </c>
      <c r="I75" s="2" t="s">
        <v>1078</v>
      </c>
      <c r="J75" s="2" t="s">
        <v>1078</v>
      </c>
      <c r="K75" s="18">
        <v>39133</v>
      </c>
      <c r="L75" s="18">
        <v>39133</v>
      </c>
      <c r="M75" s="18">
        <v>2958465</v>
      </c>
      <c r="N75" s="1"/>
      <c r="O75" s="19">
        <v>0</v>
      </c>
      <c r="P75" s="18">
        <v>2958465</v>
      </c>
      <c r="Q75" s="19">
        <v>0</v>
      </c>
      <c r="R75" s="772"/>
      <c r="S75" s="18"/>
      <c r="T75" s="2"/>
      <c r="U75" s="2"/>
      <c r="V75" s="3"/>
      <c r="W75" s="3"/>
      <c r="X75" s="25" t="s">
        <v>3161</v>
      </c>
      <c r="Y75" s="2"/>
      <c r="Z75" s="24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12.75" customHeight="1">
      <c r="A76" s="15">
        <v>75</v>
      </c>
      <c r="B76" s="736" t="s">
        <v>1555</v>
      </c>
      <c r="C76" s="16" t="s">
        <v>1665</v>
      </c>
      <c r="D76" s="20" t="s">
        <v>3087</v>
      </c>
      <c r="E76" s="2" t="s">
        <v>3162</v>
      </c>
      <c r="F76" s="2" t="s">
        <v>3163</v>
      </c>
      <c r="G76" s="17">
        <v>70800693</v>
      </c>
      <c r="H76" s="96" t="s">
        <v>830</v>
      </c>
      <c r="I76" s="2" t="s">
        <v>1666</v>
      </c>
      <c r="J76" s="2"/>
      <c r="K76" s="18">
        <v>44354</v>
      </c>
      <c r="L76" s="18">
        <v>44354</v>
      </c>
      <c r="M76" s="18">
        <v>44370</v>
      </c>
      <c r="N76" s="1"/>
      <c r="O76" s="19">
        <v>3500</v>
      </c>
      <c r="P76" s="18">
        <v>44370</v>
      </c>
      <c r="Q76" s="19"/>
      <c r="R76" s="772"/>
      <c r="S76" s="18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12.75" customHeight="1">
      <c r="A77" s="15">
        <v>76</v>
      </c>
      <c r="B77" s="736" t="s">
        <v>1555</v>
      </c>
      <c r="C77" s="16" t="s">
        <v>2786</v>
      </c>
      <c r="D77" s="20" t="s">
        <v>3087</v>
      </c>
      <c r="E77" s="2" t="s">
        <v>3093</v>
      </c>
      <c r="F77" s="2" t="s">
        <v>3164</v>
      </c>
      <c r="G77" s="17">
        <v>70640866</v>
      </c>
      <c r="H77" s="96" t="s">
        <v>510</v>
      </c>
      <c r="I77" s="2" t="s">
        <v>2787</v>
      </c>
      <c r="J77" s="2"/>
      <c r="K77" s="18">
        <v>45065</v>
      </c>
      <c r="L77" s="18">
        <v>45065</v>
      </c>
      <c r="M77" s="18">
        <v>45107</v>
      </c>
      <c r="N77" s="1"/>
      <c r="O77" s="19">
        <v>18380</v>
      </c>
      <c r="P77" s="18">
        <v>45107</v>
      </c>
      <c r="Q77" s="19"/>
      <c r="R77" s="772"/>
      <c r="S77" s="18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12.75" customHeight="1">
      <c r="A78" s="15">
        <v>77</v>
      </c>
      <c r="B78" s="736" t="s">
        <v>1555</v>
      </c>
      <c r="C78" s="16" t="s">
        <v>2076</v>
      </c>
      <c r="D78" s="20" t="s">
        <v>3087</v>
      </c>
      <c r="E78" s="2" t="s">
        <v>3093</v>
      </c>
      <c r="F78" s="2" t="s">
        <v>3165</v>
      </c>
      <c r="G78" s="17">
        <v>70565813</v>
      </c>
      <c r="H78" s="96" t="s">
        <v>510</v>
      </c>
      <c r="I78" s="2" t="s">
        <v>2077</v>
      </c>
      <c r="J78" s="2"/>
      <c r="K78" s="18">
        <v>44676</v>
      </c>
      <c r="L78" s="18">
        <v>44676</v>
      </c>
      <c r="M78" s="18">
        <v>44742</v>
      </c>
      <c r="N78" s="1"/>
      <c r="O78" s="19">
        <v>27550</v>
      </c>
      <c r="P78" s="18">
        <v>44742</v>
      </c>
      <c r="Q78" s="19"/>
      <c r="R78" s="772"/>
      <c r="S78" s="18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12.75" customHeight="1">
      <c r="A79" s="15">
        <v>78</v>
      </c>
      <c r="B79" s="736" t="s">
        <v>1555</v>
      </c>
      <c r="C79" s="16" t="s">
        <v>2895</v>
      </c>
      <c r="D79" s="20" t="s">
        <v>3087</v>
      </c>
      <c r="E79" s="2" t="s">
        <v>3093</v>
      </c>
      <c r="F79" s="2" t="s">
        <v>3165</v>
      </c>
      <c r="G79" s="17">
        <v>70565813</v>
      </c>
      <c r="H79" s="96" t="s">
        <v>510</v>
      </c>
      <c r="I79" s="2" t="s">
        <v>2896</v>
      </c>
      <c r="J79" s="2"/>
      <c r="K79" s="18">
        <v>45138</v>
      </c>
      <c r="L79" s="18">
        <v>45138</v>
      </c>
      <c r="M79" s="18">
        <v>45199</v>
      </c>
      <c r="N79" s="1"/>
      <c r="O79" s="19">
        <v>36400</v>
      </c>
      <c r="P79" s="18">
        <v>45199</v>
      </c>
      <c r="Q79" s="19"/>
      <c r="R79" s="772"/>
      <c r="S79" s="18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12.75" customHeight="1">
      <c r="A80" s="15">
        <v>79</v>
      </c>
      <c r="B80" s="736" t="s">
        <v>1555</v>
      </c>
      <c r="C80" s="16" t="s">
        <v>2408</v>
      </c>
      <c r="D80" s="20" t="s">
        <v>3087</v>
      </c>
      <c r="E80" s="2" t="s">
        <v>3093</v>
      </c>
      <c r="F80" s="2" t="s">
        <v>3165</v>
      </c>
      <c r="G80" s="17">
        <v>70565813</v>
      </c>
      <c r="H80" s="96" t="s">
        <v>510</v>
      </c>
      <c r="I80" s="2" t="s">
        <v>2409</v>
      </c>
      <c r="J80" s="2"/>
      <c r="K80" s="18">
        <v>44847</v>
      </c>
      <c r="L80" s="18">
        <v>44847</v>
      </c>
      <c r="M80" s="18">
        <v>44926</v>
      </c>
      <c r="N80" s="1"/>
      <c r="O80" s="19">
        <v>25050</v>
      </c>
      <c r="P80" s="18">
        <v>44926</v>
      </c>
      <c r="Q80" s="19"/>
      <c r="R80" s="772"/>
      <c r="S80" s="18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12.75" customHeight="1">
      <c r="A81" s="15">
        <v>80</v>
      </c>
      <c r="B81" s="736" t="s">
        <v>1555</v>
      </c>
      <c r="C81" s="16" t="s">
        <v>3021</v>
      </c>
      <c r="D81" s="20" t="s">
        <v>3087</v>
      </c>
      <c r="E81" s="2" t="s">
        <v>3093</v>
      </c>
      <c r="F81" s="2" t="s">
        <v>3165</v>
      </c>
      <c r="G81" s="17">
        <v>70565813</v>
      </c>
      <c r="H81" s="2" t="s">
        <v>180</v>
      </c>
      <c r="I81" s="2" t="s">
        <v>3022</v>
      </c>
      <c r="J81" s="2"/>
      <c r="K81" s="18">
        <v>45233</v>
      </c>
      <c r="L81" s="18">
        <v>45257</v>
      </c>
      <c r="M81" s="18">
        <v>45260</v>
      </c>
      <c r="N81" s="1"/>
      <c r="O81" s="19">
        <v>36400</v>
      </c>
      <c r="P81" s="18">
        <v>45260</v>
      </c>
      <c r="Q81" s="19"/>
      <c r="R81" s="772"/>
      <c r="S81" s="18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12.75" customHeight="1">
      <c r="A82" s="15">
        <v>81</v>
      </c>
      <c r="B82" s="737" t="s">
        <v>1555</v>
      </c>
      <c r="C82" s="71" t="s">
        <v>1353</v>
      </c>
      <c r="D82" s="75" t="s">
        <v>3116</v>
      </c>
      <c r="E82" s="75" t="s">
        <v>3166</v>
      </c>
      <c r="F82" s="75" t="s">
        <v>3167</v>
      </c>
      <c r="G82" s="76">
        <v>70106975</v>
      </c>
      <c r="H82" s="77" t="s">
        <v>258</v>
      </c>
      <c r="I82" s="77" t="s">
        <v>1354</v>
      </c>
      <c r="J82" s="2" t="s">
        <v>260</v>
      </c>
      <c r="K82" s="18">
        <v>41843</v>
      </c>
      <c r="L82" s="18">
        <v>41843</v>
      </c>
      <c r="M82" s="18">
        <v>45473</v>
      </c>
      <c r="N82" s="1"/>
      <c r="O82" s="19">
        <v>315188</v>
      </c>
      <c r="P82" s="18">
        <v>45473</v>
      </c>
      <c r="Q82" s="19">
        <v>315188</v>
      </c>
      <c r="R82" s="772" t="s">
        <v>1355</v>
      </c>
      <c r="S82" s="18">
        <v>43627</v>
      </c>
      <c r="T82" s="2"/>
      <c r="U82" s="3">
        <v>3</v>
      </c>
      <c r="V82" t="s">
        <v>4625</v>
      </c>
      <c r="W82" t="s">
        <v>4625</v>
      </c>
      <c r="X82" s="4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12.75" customHeight="1">
      <c r="A83" s="15">
        <v>82</v>
      </c>
      <c r="B83" s="738" t="s">
        <v>1555</v>
      </c>
      <c r="C83" s="16" t="s">
        <v>259</v>
      </c>
      <c r="D83" s="15" t="s">
        <v>3116</v>
      </c>
      <c r="E83" s="3" t="s">
        <v>3166</v>
      </c>
      <c r="F83" s="15" t="s">
        <v>3167</v>
      </c>
      <c r="G83" s="17">
        <v>70106975</v>
      </c>
      <c r="H83" s="2" t="s">
        <v>258</v>
      </c>
      <c r="I83" s="2" t="s">
        <v>260</v>
      </c>
      <c r="J83" s="2"/>
      <c r="K83" s="18">
        <v>44055</v>
      </c>
      <c r="L83" s="18">
        <v>44055</v>
      </c>
      <c r="M83" s="18">
        <v>45838</v>
      </c>
      <c r="N83" s="1"/>
      <c r="O83" s="19">
        <v>18000</v>
      </c>
      <c r="P83" s="18">
        <v>45838</v>
      </c>
      <c r="Q83" s="19"/>
      <c r="R83" s="772"/>
      <c r="S83" s="18"/>
      <c r="T83" s="2"/>
      <c r="U83" s="3">
        <v>3</v>
      </c>
      <c r="V83" t="s">
        <v>4625</v>
      </c>
      <c r="W83" t="s">
        <v>4625</v>
      </c>
      <c r="X83" s="42"/>
      <c r="Y83" s="2" t="s">
        <v>4708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12.75" customHeight="1">
      <c r="A84" s="15">
        <v>83</v>
      </c>
      <c r="B84" s="736" t="s">
        <v>3086</v>
      </c>
      <c r="C84" s="16" t="s">
        <v>689</v>
      </c>
      <c r="D84" s="21" t="s">
        <v>4667</v>
      </c>
      <c r="E84" s="2" t="s">
        <v>3169</v>
      </c>
      <c r="F84" s="15" t="s">
        <v>3170</v>
      </c>
      <c r="G84" s="17" t="s">
        <v>3171</v>
      </c>
      <c r="H84" s="2" t="s">
        <v>688</v>
      </c>
      <c r="I84" s="2" t="s">
        <v>690</v>
      </c>
      <c r="J84" s="2"/>
      <c r="K84" s="835">
        <v>45021</v>
      </c>
      <c r="L84" s="835">
        <v>45021</v>
      </c>
      <c r="M84" s="835">
        <v>46022</v>
      </c>
      <c r="N84" s="835">
        <v>7</v>
      </c>
      <c r="O84" s="836">
        <v>7051424</v>
      </c>
      <c r="P84" s="835">
        <v>46022</v>
      </c>
      <c r="Q84" s="19">
        <v>7051424</v>
      </c>
      <c r="R84" s="772" t="s">
        <v>3172</v>
      </c>
      <c r="S84" s="18" t="s">
        <v>3173</v>
      </c>
      <c r="T84" s="2"/>
      <c r="U84" s="2">
        <v>3</v>
      </c>
      <c r="V84" s="15" t="s">
        <v>4625</v>
      </c>
      <c r="W84" s="15" t="s">
        <v>4625</v>
      </c>
      <c r="X84" s="3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12.75" customHeight="1">
      <c r="A85" s="15">
        <v>84</v>
      </c>
      <c r="B85" s="736" t="s">
        <v>1555</v>
      </c>
      <c r="C85" s="16" t="s">
        <v>1606</v>
      </c>
      <c r="D85" s="21" t="s">
        <v>3168</v>
      </c>
      <c r="E85" s="2" t="s">
        <v>3169</v>
      </c>
      <c r="F85" s="15" t="s">
        <v>3170</v>
      </c>
      <c r="G85" s="17">
        <v>70099618</v>
      </c>
      <c r="H85" s="2" t="s">
        <v>1605</v>
      </c>
      <c r="I85" s="2" t="s">
        <v>1607</v>
      </c>
      <c r="J85" s="2"/>
      <c r="K85" s="835">
        <v>44294</v>
      </c>
      <c r="L85" s="835">
        <v>44294</v>
      </c>
      <c r="M85" s="835">
        <v>44834</v>
      </c>
      <c r="N85" s="835"/>
      <c r="O85" s="836">
        <v>7909531</v>
      </c>
      <c r="P85" s="835">
        <v>44834</v>
      </c>
      <c r="Q85" s="19"/>
      <c r="R85" s="772"/>
      <c r="S85" s="18"/>
      <c r="T85" s="2"/>
      <c r="U85" s="2"/>
      <c r="V85" s="2"/>
      <c r="W85" s="2"/>
      <c r="X85" s="3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12.75" customHeight="1">
      <c r="A86" s="15">
        <v>85</v>
      </c>
      <c r="B86" s="736" t="s">
        <v>1555</v>
      </c>
      <c r="C86" s="16" t="s">
        <v>2018</v>
      </c>
      <c r="D86" s="21" t="s">
        <v>3168</v>
      </c>
      <c r="E86" s="2" t="s">
        <v>3174</v>
      </c>
      <c r="F86" s="15" t="s">
        <v>3170</v>
      </c>
      <c r="G86" s="17">
        <v>70099618</v>
      </c>
      <c r="H86" s="2" t="s">
        <v>2017</v>
      </c>
      <c r="I86" s="2" t="s">
        <v>2019</v>
      </c>
      <c r="J86" s="2"/>
      <c r="K86" s="835">
        <v>44651</v>
      </c>
      <c r="L86" s="835">
        <v>44651</v>
      </c>
      <c r="M86" s="835">
        <v>44926</v>
      </c>
      <c r="N86" s="835"/>
      <c r="O86" s="836">
        <v>6628139</v>
      </c>
      <c r="P86" s="835">
        <v>44926</v>
      </c>
      <c r="Q86" s="19"/>
      <c r="R86" s="772"/>
      <c r="S86" s="18"/>
      <c r="T86" s="2"/>
      <c r="U86" s="2"/>
      <c r="V86" s="2"/>
      <c r="W86" s="2"/>
      <c r="X86" s="3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12.75" customHeight="1">
      <c r="A87" s="15">
        <v>86</v>
      </c>
      <c r="B87" s="736" t="s">
        <v>3086</v>
      </c>
      <c r="C87" s="16" t="s">
        <v>489</v>
      </c>
      <c r="D87" s="20" t="s">
        <v>3110</v>
      </c>
      <c r="E87" s="2" t="s">
        <v>3175</v>
      </c>
      <c r="F87" s="2" t="s">
        <v>3176</v>
      </c>
      <c r="G87" s="17">
        <v>68855958</v>
      </c>
      <c r="H87" s="2" t="s">
        <v>5254</v>
      </c>
      <c r="I87" s="2" t="s">
        <v>490</v>
      </c>
      <c r="J87" s="2"/>
      <c r="K87" s="18">
        <v>44782</v>
      </c>
      <c r="L87" s="18">
        <v>44782</v>
      </c>
      <c r="M87" s="18">
        <v>46022</v>
      </c>
      <c r="N87" s="1"/>
      <c r="O87" s="19">
        <v>2383700</v>
      </c>
      <c r="P87" s="18">
        <v>46022</v>
      </c>
      <c r="Q87" s="19">
        <v>2383700</v>
      </c>
      <c r="R87" s="772" t="s">
        <v>491</v>
      </c>
      <c r="S87" s="18">
        <v>44782</v>
      </c>
      <c r="T87" s="2"/>
      <c r="U87" s="2"/>
      <c r="V87" s="3"/>
      <c r="W87" s="3"/>
      <c r="X87" s="3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12.75" customHeight="1">
      <c r="A88" s="15">
        <v>87</v>
      </c>
      <c r="B88" s="736" t="s">
        <v>1555</v>
      </c>
      <c r="C88" s="16" t="s">
        <v>365</v>
      </c>
      <c r="D88" s="20" t="s">
        <v>3110</v>
      </c>
      <c r="E88" s="2" t="s">
        <v>3175</v>
      </c>
      <c r="F88" s="2" t="s">
        <v>3176</v>
      </c>
      <c r="G88" s="17">
        <v>68855958</v>
      </c>
      <c r="H88" s="2" t="s">
        <v>5254</v>
      </c>
      <c r="I88" s="2" t="s">
        <v>366</v>
      </c>
      <c r="J88" s="2"/>
      <c r="K88" s="18">
        <v>44544</v>
      </c>
      <c r="L88" s="18">
        <v>44544</v>
      </c>
      <c r="M88" s="18">
        <v>45657</v>
      </c>
      <c r="N88" s="1">
        <v>5</v>
      </c>
      <c r="O88" s="19">
        <v>1695000</v>
      </c>
      <c r="P88" s="18">
        <v>45657</v>
      </c>
      <c r="Q88" s="19">
        <v>1695000</v>
      </c>
      <c r="R88" s="772" t="s">
        <v>367</v>
      </c>
      <c r="S88" s="18">
        <v>44544</v>
      </c>
      <c r="T88" s="2"/>
      <c r="U88" s="2"/>
      <c r="V88" s="3"/>
      <c r="W88" s="3"/>
      <c r="X88" s="3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12.75" customHeight="1">
      <c r="A89" s="15">
        <v>88</v>
      </c>
      <c r="B89" s="736" t="s">
        <v>3086</v>
      </c>
      <c r="C89" s="16" t="s">
        <v>515</v>
      </c>
      <c r="D89" s="20" t="s">
        <v>3110</v>
      </c>
      <c r="E89" s="2" t="s">
        <v>3175</v>
      </c>
      <c r="F89" s="2" t="s">
        <v>3176</v>
      </c>
      <c r="G89" s="17">
        <v>68855958</v>
      </c>
      <c r="H89" s="2" t="s">
        <v>5254</v>
      </c>
      <c r="I89" s="2" t="s">
        <v>516</v>
      </c>
      <c r="J89" s="2"/>
      <c r="K89" s="18">
        <v>44825</v>
      </c>
      <c r="L89" s="18">
        <v>44825</v>
      </c>
      <c r="M89" s="18">
        <v>46752</v>
      </c>
      <c r="N89" s="1"/>
      <c r="O89" s="19">
        <v>1652255</v>
      </c>
      <c r="P89" s="18">
        <v>46752</v>
      </c>
      <c r="Q89" s="19">
        <v>1652255</v>
      </c>
      <c r="R89" s="772" t="s">
        <v>517</v>
      </c>
      <c r="S89" s="18">
        <v>44826</v>
      </c>
      <c r="T89" s="2"/>
      <c r="U89" s="2"/>
      <c r="V89" s="3"/>
      <c r="W89" s="3"/>
      <c r="X89" s="3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12.75" customHeight="1">
      <c r="A90" s="15">
        <v>89</v>
      </c>
      <c r="B90" s="736" t="s">
        <v>3086</v>
      </c>
      <c r="C90" s="16" t="s">
        <v>759</v>
      </c>
      <c r="D90" s="20" t="s">
        <v>3110</v>
      </c>
      <c r="E90" s="2" t="s">
        <v>3175</v>
      </c>
      <c r="F90" s="2" t="s">
        <v>3176</v>
      </c>
      <c r="G90" s="17">
        <v>68855958</v>
      </c>
      <c r="H90" s="2" t="s">
        <v>5254</v>
      </c>
      <c r="I90" s="2" t="s">
        <v>760</v>
      </c>
      <c r="J90" s="2"/>
      <c r="K90" s="18">
        <v>45181</v>
      </c>
      <c r="L90" s="18">
        <v>45181</v>
      </c>
      <c r="M90" s="18">
        <v>46752</v>
      </c>
      <c r="N90" s="1">
        <v>6</v>
      </c>
      <c r="O90" s="19">
        <v>1619585</v>
      </c>
      <c r="P90" s="18">
        <v>46752</v>
      </c>
      <c r="Q90" s="19">
        <v>1619585</v>
      </c>
      <c r="R90" s="772" t="s">
        <v>761</v>
      </c>
      <c r="S90" s="18">
        <v>45182</v>
      </c>
      <c r="T90" s="2"/>
      <c r="U90" s="2"/>
      <c r="V90" s="3"/>
      <c r="W90" s="3"/>
      <c r="X90" s="3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12.75" customHeight="1">
      <c r="A91" s="15">
        <v>90</v>
      </c>
      <c r="B91" s="736" t="s">
        <v>3086</v>
      </c>
      <c r="C91" s="16" t="s">
        <v>762</v>
      </c>
      <c r="D91" s="20" t="s">
        <v>3110</v>
      </c>
      <c r="E91" s="2" t="s">
        <v>3175</v>
      </c>
      <c r="F91" s="2" t="s">
        <v>3176</v>
      </c>
      <c r="G91" s="17">
        <v>68855958</v>
      </c>
      <c r="H91" s="2" t="s">
        <v>5254</v>
      </c>
      <c r="I91" s="2" t="s">
        <v>763</v>
      </c>
      <c r="J91" s="2"/>
      <c r="K91" s="18">
        <v>45187</v>
      </c>
      <c r="L91" s="18">
        <v>45187</v>
      </c>
      <c r="M91" s="18">
        <v>46752</v>
      </c>
      <c r="N91" s="1"/>
      <c r="O91" s="19">
        <v>1627390</v>
      </c>
      <c r="P91" s="18">
        <v>46752</v>
      </c>
      <c r="Q91" s="19">
        <v>1627390</v>
      </c>
      <c r="R91" s="772" t="s">
        <v>764</v>
      </c>
      <c r="S91" s="18">
        <v>45187</v>
      </c>
      <c r="T91" s="2"/>
      <c r="U91" s="2"/>
      <c r="V91" s="3"/>
      <c r="W91" s="3"/>
      <c r="X91" s="3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12.75" customHeight="1">
      <c r="A92" s="15">
        <v>91</v>
      </c>
      <c r="B92" s="737" t="s">
        <v>1555</v>
      </c>
      <c r="C92" s="71" t="s">
        <v>1151</v>
      </c>
      <c r="D92" s="75" t="s">
        <v>3087</v>
      </c>
      <c r="E92" s="75" t="s">
        <v>3177</v>
      </c>
      <c r="F92" s="75" t="s">
        <v>3178</v>
      </c>
      <c r="G92" s="76">
        <v>68407700</v>
      </c>
      <c r="H92" s="96" t="s">
        <v>510</v>
      </c>
      <c r="I92" s="77" t="s">
        <v>1152</v>
      </c>
      <c r="J92" s="2" t="s">
        <v>1153</v>
      </c>
      <c r="K92" s="18">
        <v>40248</v>
      </c>
      <c r="L92" s="18">
        <v>40248</v>
      </c>
      <c r="M92" s="18">
        <v>45394</v>
      </c>
      <c r="N92" s="1"/>
      <c r="O92" s="19">
        <v>0</v>
      </c>
      <c r="P92" s="18">
        <v>45394</v>
      </c>
      <c r="Q92" s="19">
        <v>0</v>
      </c>
      <c r="R92" s="772"/>
      <c r="S92" s="18"/>
      <c r="T92" s="2"/>
      <c r="U92" s="2">
        <v>3</v>
      </c>
      <c r="V92" s="3" t="s">
        <v>3091</v>
      </c>
      <c r="W92" s="3"/>
      <c r="X92" s="3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12.75" customHeight="1">
      <c r="A93" s="15">
        <v>92</v>
      </c>
      <c r="B93" s="736" t="s">
        <v>3086</v>
      </c>
      <c r="C93" s="16" t="s">
        <v>850</v>
      </c>
      <c r="D93" s="20" t="s">
        <v>3087</v>
      </c>
      <c r="E93" s="2" t="s">
        <v>3162</v>
      </c>
      <c r="F93" s="3" t="s">
        <v>3178</v>
      </c>
      <c r="G93" s="17">
        <v>68407700</v>
      </c>
      <c r="H93" s="96" t="s">
        <v>830</v>
      </c>
      <c r="I93" s="2" t="s">
        <v>851</v>
      </c>
      <c r="J93" s="2"/>
      <c r="K93" s="18">
        <v>45239</v>
      </c>
      <c r="L93" s="18">
        <v>45261</v>
      </c>
      <c r="M93" s="18">
        <v>45565</v>
      </c>
      <c r="N93" s="1"/>
      <c r="O93" s="19">
        <v>0</v>
      </c>
      <c r="P93" s="18">
        <v>45565</v>
      </c>
      <c r="Q93" s="19"/>
      <c r="R93" s="772"/>
      <c r="S93" s="18"/>
      <c r="T93" s="2"/>
      <c r="U93" s="2"/>
      <c r="V93" s="3"/>
      <c r="W93" s="3"/>
      <c r="X93" s="3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12.75" customHeight="1">
      <c r="A94" s="15">
        <v>93</v>
      </c>
      <c r="B94" s="736" t="s">
        <v>1555</v>
      </c>
      <c r="C94" s="16" t="s">
        <v>1988</v>
      </c>
      <c r="D94" s="20" t="s">
        <v>3087</v>
      </c>
      <c r="E94" s="2" t="s">
        <v>3162</v>
      </c>
      <c r="F94" s="3" t="s">
        <v>3178</v>
      </c>
      <c r="G94" s="17">
        <v>68407700</v>
      </c>
      <c r="H94" s="96" t="s">
        <v>830</v>
      </c>
      <c r="I94" s="2" t="s">
        <v>1989</v>
      </c>
      <c r="J94" s="2"/>
      <c r="K94" s="18">
        <v>44565</v>
      </c>
      <c r="L94" s="18">
        <v>44578</v>
      </c>
      <c r="M94" s="18">
        <v>44589</v>
      </c>
      <c r="N94" s="1"/>
      <c r="O94" s="19"/>
      <c r="P94" s="18">
        <v>44589</v>
      </c>
      <c r="Q94" s="19"/>
      <c r="R94" s="772"/>
      <c r="S94" s="18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12.75" customHeight="1">
      <c r="A95" s="15">
        <v>94</v>
      </c>
      <c r="B95" s="736" t="s">
        <v>1555</v>
      </c>
      <c r="C95" s="16" t="s">
        <v>1990</v>
      </c>
      <c r="D95" s="20" t="s">
        <v>3087</v>
      </c>
      <c r="E95" s="2" t="s">
        <v>3162</v>
      </c>
      <c r="F95" s="3" t="s">
        <v>3178</v>
      </c>
      <c r="G95" s="17">
        <v>68407700</v>
      </c>
      <c r="H95" s="96" t="s">
        <v>830</v>
      </c>
      <c r="I95" s="2" t="s">
        <v>86</v>
      </c>
      <c r="J95" s="2"/>
      <c r="K95" s="18">
        <v>44565</v>
      </c>
      <c r="L95" s="18">
        <v>44609</v>
      </c>
      <c r="M95" s="18">
        <v>44579</v>
      </c>
      <c r="N95" s="1"/>
      <c r="O95" s="19"/>
      <c r="P95" s="18">
        <v>44579</v>
      </c>
      <c r="Q95" s="19"/>
      <c r="R95" s="772"/>
      <c r="S95" s="18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12.75" customHeight="1">
      <c r="A96" s="15">
        <v>95</v>
      </c>
      <c r="B96" s="736" t="s">
        <v>1555</v>
      </c>
      <c r="C96" s="16" t="s">
        <v>1741</v>
      </c>
      <c r="D96" s="20" t="s">
        <v>3087</v>
      </c>
      <c r="E96" s="2" t="s">
        <v>3103</v>
      </c>
      <c r="F96" s="3" t="s">
        <v>3178</v>
      </c>
      <c r="G96" s="17">
        <v>68407700</v>
      </c>
      <c r="H96" s="2" t="s">
        <v>180</v>
      </c>
      <c r="I96" s="2" t="s">
        <v>1742</v>
      </c>
      <c r="J96" s="2"/>
      <c r="K96" s="18">
        <v>44372</v>
      </c>
      <c r="L96" s="18">
        <v>44372</v>
      </c>
      <c r="M96" s="18">
        <v>44742</v>
      </c>
      <c r="N96" s="1"/>
      <c r="O96" s="19">
        <v>0</v>
      </c>
      <c r="P96" s="18">
        <v>44742</v>
      </c>
      <c r="Q96" s="19"/>
      <c r="R96" s="772"/>
      <c r="S96" s="18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12.75" customHeight="1">
      <c r="A97" s="15">
        <v>96</v>
      </c>
      <c r="B97" s="736" t="s">
        <v>1555</v>
      </c>
      <c r="C97" s="16" t="s">
        <v>2433</v>
      </c>
      <c r="D97" s="20" t="s">
        <v>3087</v>
      </c>
      <c r="E97" s="2" t="s">
        <v>3097</v>
      </c>
      <c r="F97" s="3" t="s">
        <v>3178</v>
      </c>
      <c r="G97" s="17">
        <v>68407700</v>
      </c>
      <c r="H97" s="96" t="s">
        <v>830</v>
      </c>
      <c r="I97" s="2" t="s">
        <v>2397</v>
      </c>
      <c r="J97" s="2"/>
      <c r="K97" s="18">
        <v>44860</v>
      </c>
      <c r="L97" s="18">
        <v>44866</v>
      </c>
      <c r="M97" s="18">
        <v>45230</v>
      </c>
      <c r="N97" s="1"/>
      <c r="O97" s="19">
        <v>0</v>
      </c>
      <c r="P97" s="18">
        <v>45230</v>
      </c>
      <c r="Q97" s="19"/>
      <c r="R97" s="772"/>
      <c r="S97" s="18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12.75" customHeight="1">
      <c r="A98" s="15">
        <v>97</v>
      </c>
      <c r="B98" s="736" t="s">
        <v>3086</v>
      </c>
      <c r="C98" s="16" t="s">
        <v>613</v>
      </c>
      <c r="D98" s="20" t="s">
        <v>3087</v>
      </c>
      <c r="E98" s="2" t="s">
        <v>3088</v>
      </c>
      <c r="F98" s="2" t="s">
        <v>3179</v>
      </c>
      <c r="G98" s="17">
        <v>67775292</v>
      </c>
      <c r="H98" s="2" t="s">
        <v>48</v>
      </c>
      <c r="I98" s="2" t="s">
        <v>614</v>
      </c>
      <c r="J98" s="2"/>
      <c r="K98" s="18">
        <v>44938</v>
      </c>
      <c r="L98" s="18">
        <v>44938</v>
      </c>
      <c r="M98" s="18">
        <v>46034</v>
      </c>
      <c r="N98" s="1"/>
      <c r="O98" s="19"/>
      <c r="P98" s="18">
        <v>46034</v>
      </c>
      <c r="Q98" s="19"/>
      <c r="R98" s="772"/>
      <c r="S98" s="18"/>
      <c r="T98" s="2"/>
      <c r="U98" s="2"/>
      <c r="V98" s="3" t="s">
        <v>4625</v>
      </c>
      <c r="W98" s="3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12.75" customHeight="1">
      <c r="A99" s="15">
        <v>98</v>
      </c>
      <c r="B99" s="736" t="s">
        <v>1555</v>
      </c>
      <c r="C99" s="16" t="s">
        <v>2776</v>
      </c>
      <c r="D99" s="20" t="s">
        <v>3087</v>
      </c>
      <c r="E99" s="2" t="s">
        <v>3093</v>
      </c>
      <c r="F99" s="2" t="s">
        <v>3180</v>
      </c>
      <c r="G99" s="17">
        <v>66493188</v>
      </c>
      <c r="H99" s="96" t="s">
        <v>510</v>
      </c>
      <c r="I99" s="2" t="s">
        <v>2777</v>
      </c>
      <c r="J99" s="2"/>
      <c r="K99" s="18">
        <v>45069</v>
      </c>
      <c r="L99" s="18">
        <v>45069</v>
      </c>
      <c r="M99" s="18">
        <v>45076</v>
      </c>
      <c r="N99" s="1"/>
      <c r="O99" s="19"/>
      <c r="P99" s="18">
        <v>45076</v>
      </c>
      <c r="Q99" s="19"/>
      <c r="R99" s="772"/>
      <c r="S99" s="18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12.75" customHeight="1">
      <c r="A100" s="15">
        <v>99</v>
      </c>
      <c r="B100" s="738" t="s">
        <v>3086</v>
      </c>
      <c r="C100" s="16" t="s">
        <v>1423</v>
      </c>
      <c r="D100" s="15" t="s">
        <v>3116</v>
      </c>
      <c r="E100" s="2" t="s">
        <v>3093</v>
      </c>
      <c r="F100" s="15" t="s">
        <v>3181</v>
      </c>
      <c r="G100" s="17">
        <v>65993390</v>
      </c>
      <c r="H100" s="2" t="s">
        <v>1424</v>
      </c>
      <c r="I100" s="2" t="s">
        <v>1425</v>
      </c>
      <c r="J100" s="2" t="s">
        <v>1426</v>
      </c>
      <c r="K100" s="18">
        <v>42188</v>
      </c>
      <c r="L100" s="18">
        <v>42188</v>
      </c>
      <c r="M100" s="18">
        <v>2958465</v>
      </c>
      <c r="N100" s="1"/>
      <c r="O100" s="19">
        <v>0</v>
      </c>
      <c r="P100" s="18">
        <v>2958465</v>
      </c>
      <c r="Q100" s="19">
        <v>0</v>
      </c>
      <c r="R100" s="772"/>
      <c r="S100" s="18"/>
      <c r="T100" s="2"/>
      <c r="U100" s="3">
        <v>3</v>
      </c>
      <c r="V100" s="3" t="s">
        <v>4625</v>
      </c>
      <c r="W100" s="3" t="s">
        <v>4631</v>
      </c>
      <c r="X100" s="2"/>
      <c r="Y100" s="109" t="s">
        <v>4709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12.75" customHeight="1">
      <c r="A101" s="15">
        <v>100</v>
      </c>
      <c r="B101" s="738" t="s">
        <v>3086</v>
      </c>
      <c r="C101" s="16" t="s">
        <v>199</v>
      </c>
      <c r="D101" s="20" t="s">
        <v>3110</v>
      </c>
      <c r="E101" s="3" t="s">
        <v>3182</v>
      </c>
      <c r="F101" s="15" t="s">
        <v>3181</v>
      </c>
      <c r="G101" s="17">
        <v>65993390</v>
      </c>
      <c r="H101" t="s">
        <v>3183</v>
      </c>
      <c r="I101" s="2" t="s">
        <v>200</v>
      </c>
      <c r="J101" s="2" t="s">
        <v>201</v>
      </c>
      <c r="K101" s="18">
        <v>43684</v>
      </c>
      <c r="L101" s="18">
        <v>43684</v>
      </c>
      <c r="M101" s="18">
        <v>47336</v>
      </c>
      <c r="N101" s="1"/>
      <c r="O101" s="19">
        <v>1</v>
      </c>
      <c r="P101" s="18">
        <v>47336</v>
      </c>
      <c r="Q101" s="19">
        <v>1</v>
      </c>
      <c r="R101" s="772" t="s">
        <v>202</v>
      </c>
      <c r="S101" s="18">
        <v>43684</v>
      </c>
      <c r="T101" s="2"/>
      <c r="U101" s="2"/>
      <c r="V101" s="3"/>
      <c r="W101" s="3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12.75" customHeight="1">
      <c r="A102" s="15">
        <v>101</v>
      </c>
      <c r="B102" s="736" t="s">
        <v>3086</v>
      </c>
      <c r="C102" s="16" t="s">
        <v>330</v>
      </c>
      <c r="D102" s="20" t="s">
        <v>3110</v>
      </c>
      <c r="E102" s="2" t="s">
        <v>3184</v>
      </c>
      <c r="F102" s="15" t="s">
        <v>3181</v>
      </c>
      <c r="G102" s="17">
        <v>65993390</v>
      </c>
      <c r="H102" s="2" t="s">
        <v>3183</v>
      </c>
      <c r="I102" s="2" t="s">
        <v>331</v>
      </c>
      <c r="J102" s="2"/>
      <c r="K102" s="18">
        <v>44335</v>
      </c>
      <c r="L102" s="18">
        <v>44335</v>
      </c>
      <c r="M102" s="18">
        <v>46162</v>
      </c>
      <c r="N102" s="1"/>
      <c r="O102" s="19">
        <v>500</v>
      </c>
      <c r="P102" s="18">
        <v>46162</v>
      </c>
      <c r="Q102" s="19"/>
      <c r="R102" s="772"/>
      <c r="S102" s="18"/>
      <c r="T102" s="2"/>
      <c r="U102" s="2"/>
      <c r="V102" s="2"/>
      <c r="W102" s="2"/>
      <c r="X102" s="25" t="s">
        <v>5016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12.75" customHeight="1">
      <c r="A103" s="15">
        <v>102</v>
      </c>
      <c r="B103" s="736" t="s">
        <v>1555</v>
      </c>
      <c r="C103" s="16" t="s">
        <v>2784</v>
      </c>
      <c r="D103" s="20" t="s">
        <v>3087</v>
      </c>
      <c r="E103" s="2" t="s">
        <v>3184</v>
      </c>
      <c r="F103" s="15" t="s">
        <v>3181</v>
      </c>
      <c r="G103" s="17">
        <v>65993390</v>
      </c>
      <c r="H103" s="2" t="s">
        <v>255</v>
      </c>
      <c r="I103" s="2" t="s">
        <v>2785</v>
      </c>
      <c r="J103" s="2"/>
      <c r="K103" s="18">
        <v>45089</v>
      </c>
      <c r="L103" s="18">
        <v>45089</v>
      </c>
      <c r="M103" s="18">
        <v>45107</v>
      </c>
      <c r="N103" s="1">
        <v>7</v>
      </c>
      <c r="O103" s="19">
        <v>787.71</v>
      </c>
      <c r="P103" s="18">
        <v>45107</v>
      </c>
      <c r="Q103" s="19"/>
      <c r="R103" s="772"/>
      <c r="S103" s="18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12.75" customHeight="1">
      <c r="A104" s="15">
        <v>103</v>
      </c>
      <c r="B104" s="736" t="s">
        <v>1555</v>
      </c>
      <c r="C104" s="16" t="s">
        <v>2839</v>
      </c>
      <c r="D104" s="20" t="s">
        <v>3087</v>
      </c>
      <c r="E104" s="2" t="s">
        <v>3093</v>
      </c>
      <c r="F104" s="2" t="s">
        <v>3185</v>
      </c>
      <c r="G104" s="17">
        <v>65928857</v>
      </c>
      <c r="H104" s="96" t="s">
        <v>510</v>
      </c>
      <c r="I104" s="2" t="s">
        <v>2840</v>
      </c>
      <c r="J104" s="2"/>
      <c r="K104" s="18">
        <v>45096</v>
      </c>
      <c r="L104" s="18">
        <v>45096</v>
      </c>
      <c r="M104" s="18">
        <v>45107</v>
      </c>
      <c r="N104" s="1"/>
      <c r="O104" s="19"/>
      <c r="P104" s="18">
        <v>45107</v>
      </c>
      <c r="Q104" s="19"/>
      <c r="R104" s="772"/>
      <c r="S104" s="18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12.75" customHeight="1">
      <c r="A105" s="15">
        <v>104</v>
      </c>
      <c r="B105" s="736" t="s">
        <v>1555</v>
      </c>
      <c r="C105" s="16" t="s">
        <v>1628</v>
      </c>
      <c r="D105" s="2"/>
      <c r="E105" s="96" t="s">
        <v>5143</v>
      </c>
      <c r="F105" s="2" t="s">
        <v>3186</v>
      </c>
      <c r="G105" s="17">
        <v>65436733</v>
      </c>
      <c r="H105" s="2" t="s">
        <v>1729</v>
      </c>
      <c r="I105" s="2" t="s">
        <v>328</v>
      </c>
      <c r="J105" s="2"/>
      <c r="K105" s="18">
        <v>44330</v>
      </c>
      <c r="L105" s="18">
        <v>44330</v>
      </c>
      <c r="M105" s="18">
        <v>44328</v>
      </c>
      <c r="N105" s="1"/>
      <c r="O105" s="19"/>
      <c r="P105" s="18">
        <v>44328</v>
      </c>
      <c r="Q105" s="19"/>
      <c r="R105" s="772"/>
      <c r="S105" s="18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12.75" customHeight="1">
      <c r="A106" s="15">
        <v>105</v>
      </c>
      <c r="B106" s="736" t="s">
        <v>1555</v>
      </c>
      <c r="C106" s="16" t="s">
        <v>1732</v>
      </c>
      <c r="D106" s="20" t="s">
        <v>3087</v>
      </c>
      <c r="E106" s="2" t="s">
        <v>3093</v>
      </c>
      <c r="F106" s="2" t="s">
        <v>3187</v>
      </c>
      <c r="G106" s="17">
        <v>65398742</v>
      </c>
      <c r="H106" s="96" t="s">
        <v>510</v>
      </c>
      <c r="I106" s="2" t="s">
        <v>1733</v>
      </c>
      <c r="J106" s="2"/>
      <c r="K106" s="18">
        <v>44377</v>
      </c>
      <c r="L106" s="18">
        <v>44378</v>
      </c>
      <c r="M106" s="18">
        <v>44742</v>
      </c>
      <c r="N106" s="1"/>
      <c r="O106" s="19">
        <v>0</v>
      </c>
      <c r="P106" s="18">
        <v>44742</v>
      </c>
      <c r="Q106" s="19"/>
      <c r="R106" s="772"/>
      <c r="S106" s="18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12.75" customHeight="1">
      <c r="A107" s="15">
        <v>106</v>
      </c>
      <c r="B107" s="736" t="s">
        <v>1555</v>
      </c>
      <c r="C107" s="16" t="s">
        <v>2148</v>
      </c>
      <c r="D107" s="20" t="s">
        <v>3087</v>
      </c>
      <c r="E107" s="2" t="s">
        <v>3093</v>
      </c>
      <c r="F107" s="2" t="s">
        <v>3187</v>
      </c>
      <c r="G107" s="17">
        <v>65398742</v>
      </c>
      <c r="H107" s="96" t="s">
        <v>510</v>
      </c>
      <c r="I107" s="2" t="s">
        <v>2149</v>
      </c>
      <c r="J107" s="2"/>
      <c r="K107" s="18">
        <v>44708</v>
      </c>
      <c r="L107" s="18">
        <v>44713</v>
      </c>
      <c r="M107" s="18">
        <v>45107</v>
      </c>
      <c r="N107" s="1"/>
      <c r="O107" s="19"/>
      <c r="P107" s="18">
        <v>45107</v>
      </c>
      <c r="Q107" s="19"/>
      <c r="R107" s="772"/>
      <c r="S107" s="18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12.75" customHeight="1">
      <c r="A108" s="15">
        <v>107</v>
      </c>
      <c r="B108" s="736" t="s">
        <v>1555</v>
      </c>
      <c r="C108" s="16" t="s">
        <v>1797</v>
      </c>
      <c r="D108" s="20" t="s">
        <v>3087</v>
      </c>
      <c r="E108" s="2" t="s">
        <v>3103</v>
      </c>
      <c r="F108" s="2" t="s">
        <v>3188</v>
      </c>
      <c r="G108" s="17">
        <v>65262310</v>
      </c>
      <c r="H108" s="2" t="s">
        <v>180</v>
      </c>
      <c r="I108" s="2" t="s">
        <v>1798</v>
      </c>
      <c r="J108" s="2"/>
      <c r="K108" s="18">
        <v>44445</v>
      </c>
      <c r="L108" s="18">
        <v>44445</v>
      </c>
      <c r="M108" s="18">
        <v>44450</v>
      </c>
      <c r="N108" s="1"/>
      <c r="O108" s="19">
        <v>0</v>
      </c>
      <c r="P108" s="18">
        <v>44450</v>
      </c>
      <c r="Q108" s="19"/>
      <c r="R108" s="772"/>
      <c r="S108" s="18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12.75" customHeight="1">
      <c r="A109" s="15">
        <v>108</v>
      </c>
      <c r="B109" s="736" t="s">
        <v>1555</v>
      </c>
      <c r="C109" s="16" t="s">
        <v>2296</v>
      </c>
      <c r="D109" s="20" t="s">
        <v>3087</v>
      </c>
      <c r="E109" s="2" t="s">
        <v>3093</v>
      </c>
      <c r="F109" s="2" t="s">
        <v>3188</v>
      </c>
      <c r="G109" s="17">
        <v>65262310</v>
      </c>
      <c r="H109" s="96" t="s">
        <v>510</v>
      </c>
      <c r="I109" s="2" t="s">
        <v>2297</v>
      </c>
      <c r="J109" s="2"/>
      <c r="K109" s="18">
        <v>44799</v>
      </c>
      <c r="L109" s="18">
        <v>44799</v>
      </c>
      <c r="M109" s="18">
        <v>44895</v>
      </c>
      <c r="N109" s="1"/>
      <c r="O109" s="19"/>
      <c r="P109" s="18">
        <v>44895</v>
      </c>
      <c r="Q109" s="19"/>
      <c r="R109" s="772"/>
      <c r="S109" s="18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12.75" customHeight="1">
      <c r="A110" s="15">
        <v>109</v>
      </c>
      <c r="B110" s="736" t="s">
        <v>1555</v>
      </c>
      <c r="C110" s="16" t="s">
        <v>2931</v>
      </c>
      <c r="D110" s="20" t="s">
        <v>3087</v>
      </c>
      <c r="E110" s="2" t="s">
        <v>3093</v>
      </c>
      <c r="F110" s="2" t="s">
        <v>3188</v>
      </c>
      <c r="G110" s="17">
        <v>65262310</v>
      </c>
      <c r="H110" s="96" t="s">
        <v>510</v>
      </c>
      <c r="I110" s="2" t="s">
        <v>2932</v>
      </c>
      <c r="J110" s="2"/>
      <c r="K110" s="18">
        <v>45167</v>
      </c>
      <c r="L110" s="18">
        <v>45167</v>
      </c>
      <c r="M110" s="18">
        <v>45199</v>
      </c>
      <c r="N110" s="1"/>
      <c r="O110" s="19"/>
      <c r="P110" s="18">
        <v>45199</v>
      </c>
      <c r="Q110" s="19"/>
      <c r="R110" s="772"/>
      <c r="S110" s="18"/>
    </row>
    <row r="111" spans="1:38" ht="12.75" customHeight="1">
      <c r="A111" s="15">
        <v>110</v>
      </c>
      <c r="B111" s="736" t="s">
        <v>1555</v>
      </c>
      <c r="C111" s="16" t="s">
        <v>2298</v>
      </c>
      <c r="D111" s="20" t="s">
        <v>3087</v>
      </c>
      <c r="E111" s="2" t="s">
        <v>3093</v>
      </c>
      <c r="F111" s="2" t="s">
        <v>3189</v>
      </c>
      <c r="G111" s="17">
        <v>65248872</v>
      </c>
      <c r="H111" s="96" t="s">
        <v>510</v>
      </c>
      <c r="I111" s="2" t="s">
        <v>2299</v>
      </c>
      <c r="J111" s="2"/>
      <c r="K111" s="18">
        <v>44799</v>
      </c>
      <c r="L111" s="18">
        <v>44799</v>
      </c>
      <c r="M111" s="18">
        <v>44895</v>
      </c>
      <c r="N111" s="1"/>
      <c r="O111" s="19"/>
      <c r="P111" s="18">
        <v>44895</v>
      </c>
      <c r="Q111" s="19"/>
      <c r="R111" s="772"/>
      <c r="S111" s="18"/>
    </row>
    <row r="112" spans="1:38" ht="12.75" customHeight="1">
      <c r="A112" s="15">
        <v>111</v>
      </c>
      <c r="B112" s="737" t="s">
        <v>3086</v>
      </c>
      <c r="C112" s="71" t="s">
        <v>1003</v>
      </c>
      <c r="D112" s="75" t="s">
        <v>3116</v>
      </c>
      <c r="E112" s="75" t="s">
        <v>3166</v>
      </c>
      <c r="F112" s="75" t="s">
        <v>3190</v>
      </c>
      <c r="G112" s="76">
        <v>64949681</v>
      </c>
      <c r="H112" s="77" t="s">
        <v>258</v>
      </c>
      <c r="I112" s="77" t="s">
        <v>1004</v>
      </c>
      <c r="J112" s="2" t="s">
        <v>1005</v>
      </c>
      <c r="K112" s="18">
        <v>37970</v>
      </c>
      <c r="L112" s="18">
        <v>37970</v>
      </c>
      <c r="M112" s="18">
        <v>2958465</v>
      </c>
      <c r="N112" s="1"/>
      <c r="O112" s="19">
        <v>0</v>
      </c>
      <c r="P112" s="18">
        <v>2958465</v>
      </c>
      <c r="Q112" s="19">
        <v>0</v>
      </c>
      <c r="R112" s="773"/>
      <c r="S112" s="18"/>
      <c r="U112" s="3">
        <v>3</v>
      </c>
      <c r="V112" s="15" t="s">
        <v>4625</v>
      </c>
      <c r="W112" s="15" t="s">
        <v>4631</v>
      </c>
      <c r="X112" s="26" t="s">
        <v>3191</v>
      </c>
      <c r="Y112" s="2"/>
    </row>
    <row r="113" spans="1:38" ht="12.75" customHeight="1">
      <c r="A113" s="15">
        <v>112</v>
      </c>
      <c r="B113" s="738" t="s">
        <v>3086</v>
      </c>
      <c r="C113" s="16" t="s">
        <v>171</v>
      </c>
      <c r="D113" s="15" t="s">
        <v>3110</v>
      </c>
      <c r="E113" s="3" t="s">
        <v>3123</v>
      </c>
      <c r="F113" s="3" t="s">
        <v>3190</v>
      </c>
      <c r="G113" s="17">
        <v>64949681</v>
      </c>
      <c r="H113" s="2" t="s">
        <v>170</v>
      </c>
      <c r="I113" s="2" t="s">
        <v>172</v>
      </c>
      <c r="J113" s="2" t="s">
        <v>173</v>
      </c>
      <c r="K113" s="18">
        <v>43514</v>
      </c>
      <c r="L113" s="18">
        <v>43514</v>
      </c>
      <c r="M113" s="18">
        <v>2958465</v>
      </c>
      <c r="N113" s="1">
        <v>3</v>
      </c>
      <c r="O113" s="19">
        <v>52000</v>
      </c>
      <c r="P113" s="18">
        <v>2958465</v>
      </c>
      <c r="Q113" s="19">
        <v>38841</v>
      </c>
      <c r="R113" s="772" t="s">
        <v>174</v>
      </c>
      <c r="S113" s="18">
        <v>43514</v>
      </c>
      <c r="V113" s="3"/>
      <c r="W113" s="3"/>
      <c r="X113" s="3"/>
    </row>
    <row r="114" spans="1:38" ht="12.75" customHeight="1">
      <c r="A114" s="15">
        <v>113</v>
      </c>
      <c r="B114" s="737" t="s">
        <v>3086</v>
      </c>
      <c r="C114" s="71" t="s">
        <v>1114</v>
      </c>
      <c r="D114" s="75" t="s">
        <v>3116</v>
      </c>
      <c r="E114" s="75" t="s">
        <v>3166</v>
      </c>
      <c r="F114" s="75" t="s">
        <v>3190</v>
      </c>
      <c r="G114" s="76">
        <v>64949681</v>
      </c>
      <c r="H114" s="77" t="s">
        <v>258</v>
      </c>
      <c r="I114" s="77" t="s">
        <v>1115</v>
      </c>
      <c r="J114" s="2" t="s">
        <v>1116</v>
      </c>
      <c r="K114" s="18">
        <v>39561</v>
      </c>
      <c r="L114" s="18">
        <v>39561</v>
      </c>
      <c r="M114" s="18"/>
      <c r="N114" s="1"/>
      <c r="O114" s="19">
        <v>0</v>
      </c>
      <c r="P114" s="18"/>
      <c r="Q114" s="19">
        <v>0</v>
      </c>
      <c r="R114" s="773"/>
      <c r="S114" s="18"/>
      <c r="U114" s="3">
        <v>3</v>
      </c>
      <c r="V114" s="15" t="s">
        <v>4625</v>
      </c>
      <c r="W114" s="15" t="s">
        <v>4631</v>
      </c>
      <c r="X114" s="26" t="s">
        <v>3192</v>
      </c>
      <c r="Y114" s="2"/>
    </row>
    <row r="115" spans="1:38" ht="12.75" customHeight="1">
      <c r="A115" s="15">
        <v>114</v>
      </c>
      <c r="B115" s="737" t="s">
        <v>3086</v>
      </c>
      <c r="C115" s="71" t="s">
        <v>1138</v>
      </c>
      <c r="D115" s="75" t="s">
        <v>3116</v>
      </c>
      <c r="E115" s="75" t="s">
        <v>3166</v>
      </c>
      <c r="F115" s="75" t="s">
        <v>3190</v>
      </c>
      <c r="G115" s="76">
        <v>64949681</v>
      </c>
      <c r="H115" s="77" t="s">
        <v>258</v>
      </c>
      <c r="I115" s="77" t="s">
        <v>1139</v>
      </c>
      <c r="J115" s="2" t="s">
        <v>1139</v>
      </c>
      <c r="K115" s="18">
        <v>40073</v>
      </c>
      <c r="L115" s="18">
        <v>40073</v>
      </c>
      <c r="M115" s="18">
        <v>2958465</v>
      </c>
      <c r="N115" s="1">
        <v>1</v>
      </c>
      <c r="O115" s="19">
        <v>140000</v>
      </c>
      <c r="P115" s="18">
        <v>2958465</v>
      </c>
      <c r="Q115" s="19">
        <v>900</v>
      </c>
      <c r="R115" s="773"/>
      <c r="S115" s="18"/>
      <c r="U115" s="3">
        <v>3</v>
      </c>
      <c r="V115" s="15" t="s">
        <v>4625</v>
      </c>
      <c r="W115" s="15" t="s">
        <v>4631</v>
      </c>
      <c r="X115" s="26" t="s">
        <v>3193</v>
      </c>
      <c r="Y115" s="2"/>
    </row>
    <row r="116" spans="1:38" ht="12.75" customHeight="1">
      <c r="A116" s="15">
        <v>115</v>
      </c>
      <c r="B116" s="737" t="s">
        <v>1555</v>
      </c>
      <c r="C116" s="71" t="s">
        <v>1193</v>
      </c>
      <c r="D116" s="75" t="s">
        <v>3116</v>
      </c>
      <c r="E116" s="75" t="s">
        <v>3166</v>
      </c>
      <c r="F116" s="75" t="s">
        <v>3190</v>
      </c>
      <c r="G116" s="76">
        <v>64949681</v>
      </c>
      <c r="H116" s="77" t="s">
        <v>23</v>
      </c>
      <c r="I116" s="77" t="s">
        <v>1194</v>
      </c>
      <c r="J116" s="2" t="s">
        <v>1195</v>
      </c>
      <c r="K116" s="18">
        <v>40563</v>
      </c>
      <c r="L116" s="18">
        <v>40563</v>
      </c>
      <c r="M116" s="18">
        <v>45358</v>
      </c>
      <c r="N116" s="1"/>
      <c r="O116" s="19">
        <v>20000</v>
      </c>
      <c r="P116" s="18">
        <v>45358</v>
      </c>
      <c r="Q116" s="19"/>
      <c r="R116" s="773"/>
      <c r="S116" s="18"/>
      <c r="V116" s="3" t="s">
        <v>3091</v>
      </c>
      <c r="W116" s="3"/>
      <c r="X116" s="3"/>
    </row>
    <row r="117" spans="1:38" ht="12.75" customHeight="1">
      <c r="A117" s="15">
        <v>116</v>
      </c>
      <c r="B117" s="736" t="s">
        <v>1555</v>
      </c>
      <c r="C117" s="16" t="s">
        <v>2355</v>
      </c>
      <c r="D117" s="20" t="s">
        <v>3087</v>
      </c>
      <c r="E117" s="2" t="s">
        <v>3097</v>
      </c>
      <c r="F117" s="2" t="s">
        <v>3194</v>
      </c>
      <c r="G117" s="17">
        <v>64943160</v>
      </c>
      <c r="H117" s="96" t="s">
        <v>830</v>
      </c>
      <c r="I117" s="2" t="s">
        <v>2356</v>
      </c>
      <c r="J117" s="2"/>
      <c r="K117" s="18">
        <v>44819</v>
      </c>
      <c r="L117" s="18">
        <v>44819</v>
      </c>
      <c r="M117" s="18">
        <v>44926</v>
      </c>
      <c r="N117" s="1"/>
      <c r="O117" s="19">
        <v>3500</v>
      </c>
      <c r="P117" s="18">
        <v>44926</v>
      </c>
      <c r="Q117" s="19"/>
      <c r="R117" s="772"/>
      <c r="S117" s="18"/>
    </row>
    <row r="118" spans="1:38" ht="12.75" customHeight="1">
      <c r="A118" s="15">
        <v>117</v>
      </c>
      <c r="B118" s="736" t="s">
        <v>1555</v>
      </c>
      <c r="C118" s="16" t="s">
        <v>607</v>
      </c>
      <c r="D118" s="15" t="s">
        <v>3110</v>
      </c>
      <c r="E118" s="2" t="s">
        <v>3123</v>
      </c>
      <c r="F118" s="2" t="s">
        <v>3195</v>
      </c>
      <c r="G118" s="17">
        <v>64934691</v>
      </c>
      <c r="H118" s="2" t="s">
        <v>606</v>
      </c>
      <c r="I118" s="2" t="s">
        <v>608</v>
      </c>
      <c r="J118" s="2"/>
      <c r="K118" s="18">
        <v>44925</v>
      </c>
      <c r="L118" s="18">
        <v>44925</v>
      </c>
      <c r="M118" s="18">
        <v>45535</v>
      </c>
      <c r="N118" s="1">
        <v>1</v>
      </c>
      <c r="O118" s="19">
        <v>42000</v>
      </c>
      <c r="P118" s="18">
        <v>45535</v>
      </c>
      <c r="Q118" s="19">
        <v>42000</v>
      </c>
      <c r="R118" s="772" t="s">
        <v>609</v>
      </c>
      <c r="S118" s="18">
        <v>44942</v>
      </c>
      <c r="V118" s="15"/>
      <c r="W118" s="15"/>
      <c r="X118" s="3"/>
    </row>
    <row r="119" spans="1:38" ht="12.75" customHeight="1">
      <c r="A119" s="15">
        <v>118</v>
      </c>
      <c r="B119" s="736" t="s">
        <v>1555</v>
      </c>
      <c r="C119" s="16" t="s">
        <v>2236</v>
      </c>
      <c r="D119" s="20" t="s">
        <v>3087</v>
      </c>
      <c r="E119" s="2" t="s">
        <v>3093</v>
      </c>
      <c r="F119" s="2" t="s">
        <v>3196</v>
      </c>
      <c r="G119" s="17">
        <v>64733581</v>
      </c>
      <c r="H119" s="96" t="s">
        <v>510</v>
      </c>
      <c r="I119" s="2" t="s">
        <v>2237</v>
      </c>
      <c r="J119" s="2"/>
      <c r="K119" s="18">
        <v>44768</v>
      </c>
      <c r="L119" s="18">
        <v>44768</v>
      </c>
      <c r="M119" s="18">
        <v>44865</v>
      </c>
      <c r="N119" s="1"/>
      <c r="O119" s="19"/>
      <c r="P119" s="18">
        <v>44865</v>
      </c>
      <c r="Q119" s="19"/>
      <c r="R119" s="772"/>
      <c r="S119" s="18"/>
    </row>
    <row r="120" spans="1:38" ht="12.75" customHeight="1">
      <c r="A120" s="15">
        <v>119</v>
      </c>
      <c r="B120" s="736" t="s">
        <v>1555</v>
      </c>
      <c r="C120" s="16" t="s">
        <v>1889</v>
      </c>
      <c r="D120" s="20" t="s">
        <v>3087</v>
      </c>
      <c r="E120" s="2" t="s">
        <v>3197</v>
      </c>
      <c r="F120" s="2" t="s">
        <v>3198</v>
      </c>
      <c r="G120" s="17" t="s">
        <v>3199</v>
      </c>
      <c r="H120" s="2" t="s">
        <v>546</v>
      </c>
      <c r="I120" s="2" t="s">
        <v>1890</v>
      </c>
      <c r="J120" s="2"/>
      <c r="K120" s="18">
        <v>44530</v>
      </c>
      <c r="L120" s="18">
        <v>44530</v>
      </c>
      <c r="M120" s="18">
        <v>44561</v>
      </c>
      <c r="N120" s="1"/>
      <c r="O120" s="19">
        <v>655000</v>
      </c>
      <c r="P120" s="18">
        <v>44561</v>
      </c>
      <c r="Q120" s="19"/>
      <c r="R120" s="772"/>
      <c r="S120" s="18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12.75" customHeight="1">
      <c r="A121" s="15">
        <v>120</v>
      </c>
      <c r="B121" s="736" t="s">
        <v>1555</v>
      </c>
      <c r="C121" s="16" t="s">
        <v>2707</v>
      </c>
      <c r="D121" s="20" t="s">
        <v>3087</v>
      </c>
      <c r="E121" s="2" t="s">
        <v>3097</v>
      </c>
      <c r="F121" s="2" t="s">
        <v>3200</v>
      </c>
      <c r="G121" s="17">
        <v>64560830</v>
      </c>
      <c r="H121" s="96" t="s">
        <v>830</v>
      </c>
      <c r="I121" s="2" t="s">
        <v>2708</v>
      </c>
      <c r="J121" s="2"/>
      <c r="K121" s="18">
        <v>45020</v>
      </c>
      <c r="L121" s="18">
        <v>45020</v>
      </c>
      <c r="M121" s="18">
        <v>45076</v>
      </c>
      <c r="N121" s="1"/>
      <c r="O121" s="19">
        <v>6000</v>
      </c>
      <c r="P121" s="18">
        <v>45076</v>
      </c>
      <c r="Q121" s="19"/>
      <c r="R121" s="772"/>
      <c r="S121" s="18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12.75" customHeight="1">
      <c r="A122" s="15">
        <v>121</v>
      </c>
      <c r="B122" s="736" t="s">
        <v>1555</v>
      </c>
      <c r="C122" s="16" t="s">
        <v>2238</v>
      </c>
      <c r="D122" s="15" t="s">
        <v>3110</v>
      </c>
      <c r="E122" s="2" t="s">
        <v>3197</v>
      </c>
      <c r="F122" s="2" t="s">
        <v>3201</v>
      </c>
      <c r="G122" s="17">
        <v>64509214</v>
      </c>
      <c r="H122" s="2" t="s">
        <v>546</v>
      </c>
      <c r="I122" s="2" t="s">
        <v>2239</v>
      </c>
      <c r="J122" s="2"/>
      <c r="K122" s="18">
        <v>44782</v>
      </c>
      <c r="L122" s="18">
        <v>44782</v>
      </c>
      <c r="M122" s="18">
        <v>44904</v>
      </c>
      <c r="N122" s="1"/>
      <c r="O122" s="19">
        <v>2969219</v>
      </c>
      <c r="P122" s="18">
        <v>44904</v>
      </c>
      <c r="Q122" s="19"/>
      <c r="R122" s="772"/>
      <c r="S122" s="18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12.75" customHeight="1">
      <c r="A123" s="15">
        <v>122</v>
      </c>
      <c r="B123" s="736" t="s">
        <v>1555</v>
      </c>
      <c r="C123" s="16" t="s">
        <v>345</v>
      </c>
      <c r="D123" s="15" t="s">
        <v>3110</v>
      </c>
      <c r="E123" s="2" t="s">
        <v>3202</v>
      </c>
      <c r="F123" s="2" t="s">
        <v>3203</v>
      </c>
      <c r="G123" s="17">
        <v>64506592</v>
      </c>
      <c r="H123" s="2" t="s">
        <v>344</v>
      </c>
      <c r="I123" s="2" t="s">
        <v>346</v>
      </c>
      <c r="J123" s="2"/>
      <c r="K123" s="18">
        <v>44502</v>
      </c>
      <c r="L123" s="18">
        <v>44502</v>
      </c>
      <c r="M123" s="18">
        <v>45231</v>
      </c>
      <c r="N123" s="1"/>
      <c r="O123" s="19">
        <v>1</v>
      </c>
      <c r="P123" s="18">
        <v>45231</v>
      </c>
      <c r="Q123" s="19">
        <v>1</v>
      </c>
      <c r="R123" s="772" t="s">
        <v>347</v>
      </c>
      <c r="S123" s="18">
        <v>44502</v>
      </c>
      <c r="V123" s="3" t="s">
        <v>3091</v>
      </c>
      <c r="W123" s="3"/>
      <c r="X123" s="3"/>
    </row>
    <row r="124" spans="1:38" ht="12.75" customHeight="1">
      <c r="A124" s="15">
        <v>123</v>
      </c>
      <c r="B124" s="736" t="s">
        <v>1555</v>
      </c>
      <c r="C124" s="16" t="s">
        <v>1977</v>
      </c>
      <c r="D124" s="20" t="s">
        <v>3087</v>
      </c>
      <c r="E124" s="2" t="s">
        <v>3202</v>
      </c>
      <c r="F124" s="2" t="s">
        <v>3203</v>
      </c>
      <c r="G124" s="17">
        <v>64506592</v>
      </c>
      <c r="H124" s="2" t="s">
        <v>1976</v>
      </c>
      <c r="I124" s="2" t="s">
        <v>1978</v>
      </c>
      <c r="J124" s="2"/>
      <c r="K124" s="18">
        <v>44602</v>
      </c>
      <c r="L124" s="18">
        <v>44602</v>
      </c>
      <c r="M124" s="18">
        <v>44926</v>
      </c>
      <c r="N124" s="1"/>
      <c r="O124" s="19">
        <v>500000</v>
      </c>
      <c r="P124" s="18">
        <v>44926</v>
      </c>
      <c r="Q124" s="19"/>
      <c r="R124" s="772"/>
      <c r="S124" s="18"/>
    </row>
    <row r="125" spans="1:38" ht="12.75" customHeight="1">
      <c r="A125" s="15">
        <v>124</v>
      </c>
      <c r="B125" s="736" t="s">
        <v>1555</v>
      </c>
      <c r="C125" s="16" t="s">
        <v>1727</v>
      </c>
      <c r="D125" s="20" t="s">
        <v>3087</v>
      </c>
      <c r="E125" s="2" t="s">
        <v>3088</v>
      </c>
      <c r="F125" s="2" t="s">
        <v>3203</v>
      </c>
      <c r="G125" s="17">
        <v>64506592</v>
      </c>
      <c r="H125" s="2" t="s">
        <v>48</v>
      </c>
      <c r="I125" s="2" t="s">
        <v>1728</v>
      </c>
      <c r="J125" s="2"/>
      <c r="K125" s="18">
        <v>44370</v>
      </c>
      <c r="L125" s="18">
        <v>44371</v>
      </c>
      <c r="M125" s="18">
        <v>44742</v>
      </c>
      <c r="N125" s="1"/>
      <c r="O125" s="19">
        <v>1</v>
      </c>
      <c r="P125" s="18">
        <v>44742</v>
      </c>
      <c r="Q125" s="19"/>
      <c r="R125" s="772"/>
      <c r="S125" s="18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</row>
    <row r="126" spans="1:38" ht="12.75" customHeight="1">
      <c r="A126" s="15">
        <v>125</v>
      </c>
      <c r="B126" s="738" t="s">
        <v>3086</v>
      </c>
      <c r="C126" s="16" t="s">
        <v>1196</v>
      </c>
      <c r="D126" s="3" t="s">
        <v>3139</v>
      </c>
      <c r="E126" s="3" t="s">
        <v>3204</v>
      </c>
      <c r="F126" s="15" t="s">
        <v>3205</v>
      </c>
      <c r="G126" s="17">
        <v>63998475</v>
      </c>
      <c r="H126" s="96" t="s">
        <v>510</v>
      </c>
      <c r="I126" s="2" t="s">
        <v>1197</v>
      </c>
      <c r="J126" s="2" t="s">
        <v>3206</v>
      </c>
      <c r="K126" s="18">
        <v>40544</v>
      </c>
      <c r="L126" s="18">
        <v>40544</v>
      </c>
      <c r="M126" s="18">
        <v>2958465</v>
      </c>
      <c r="N126" s="1"/>
      <c r="O126" s="19">
        <v>0</v>
      </c>
      <c r="P126" s="18">
        <v>2958465</v>
      </c>
      <c r="Q126" s="19">
        <v>0</v>
      </c>
      <c r="R126" s="772"/>
      <c r="S126" s="18"/>
      <c r="T126" s="2"/>
      <c r="U126" s="2"/>
      <c r="V126" s="3"/>
      <c r="W126" s="3"/>
      <c r="X126" s="2"/>
      <c r="Y126" s="24" t="s">
        <v>3207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12.75" customHeight="1">
      <c r="A127" s="15">
        <v>126</v>
      </c>
      <c r="B127" s="738" t="s">
        <v>3086</v>
      </c>
      <c r="C127" s="16" t="s">
        <v>1241</v>
      </c>
      <c r="D127" s="20" t="s">
        <v>3110</v>
      </c>
      <c r="E127" s="3" t="s">
        <v>3132</v>
      </c>
      <c r="F127" s="15" t="s">
        <v>3208</v>
      </c>
      <c r="G127" s="17">
        <v>63992353</v>
      </c>
      <c r="H127" s="2" t="s">
        <v>48</v>
      </c>
      <c r="I127" s="2" t="s">
        <v>1242</v>
      </c>
      <c r="J127" s="2" t="s">
        <v>1243</v>
      </c>
      <c r="K127" s="18">
        <v>41004</v>
      </c>
      <c r="L127" s="18">
        <v>41004</v>
      </c>
      <c r="M127" s="18">
        <v>2958465</v>
      </c>
      <c r="N127" s="1"/>
      <c r="O127" s="19">
        <v>0</v>
      </c>
      <c r="P127" s="18">
        <v>2958465</v>
      </c>
      <c r="Q127" s="19">
        <v>0</v>
      </c>
      <c r="R127" s="773"/>
      <c r="S127" s="18"/>
      <c r="V127" s="3"/>
      <c r="W127" s="3"/>
      <c r="X127" s="2"/>
      <c r="Y127" s="24" t="s">
        <v>3209</v>
      </c>
      <c r="Z127" t="s">
        <v>4726</v>
      </c>
    </row>
    <row r="128" spans="1:38" ht="12.75" customHeight="1">
      <c r="A128" s="15">
        <v>127</v>
      </c>
      <c r="B128" s="736" t="s">
        <v>1555</v>
      </c>
      <c r="C128" s="16" t="s">
        <v>1974</v>
      </c>
      <c r="D128" s="20" t="s">
        <v>3087</v>
      </c>
      <c r="E128" s="2" t="s">
        <v>3202</v>
      </c>
      <c r="F128" s="2" t="s">
        <v>3210</v>
      </c>
      <c r="G128" s="17">
        <v>63886731</v>
      </c>
      <c r="H128" s="2" t="s">
        <v>1973</v>
      </c>
      <c r="I128" s="2" t="s">
        <v>1975</v>
      </c>
      <c r="J128" s="2"/>
      <c r="K128" s="18">
        <v>44602</v>
      </c>
      <c r="L128" s="18">
        <v>44602</v>
      </c>
      <c r="M128" s="18">
        <v>44926</v>
      </c>
      <c r="N128" s="1"/>
      <c r="O128" s="19">
        <v>500000</v>
      </c>
      <c r="P128" s="18">
        <v>44926</v>
      </c>
      <c r="Q128" s="19"/>
      <c r="R128" s="772"/>
      <c r="S128" s="18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12.75" customHeight="1">
      <c r="A129" s="15">
        <v>128</v>
      </c>
      <c r="B129" s="736" t="s">
        <v>1555</v>
      </c>
      <c r="C129" s="16" t="s">
        <v>2153</v>
      </c>
      <c r="D129" s="20" t="s">
        <v>3087</v>
      </c>
      <c r="E129" s="2" t="s">
        <v>3197</v>
      </c>
      <c r="F129" s="2" t="s">
        <v>3210</v>
      </c>
      <c r="G129" s="17">
        <v>63886731</v>
      </c>
      <c r="H129" s="2" t="s">
        <v>546</v>
      </c>
      <c r="I129" s="2" t="s">
        <v>2154</v>
      </c>
      <c r="J129" s="2"/>
      <c r="K129" s="18">
        <v>44719</v>
      </c>
      <c r="L129" s="18">
        <v>44719</v>
      </c>
      <c r="M129" s="18"/>
      <c r="N129" s="1"/>
      <c r="O129" s="19">
        <v>3882648</v>
      </c>
      <c r="P129" s="18">
        <v>44926</v>
      </c>
      <c r="Q129" s="19"/>
      <c r="R129" s="772"/>
      <c r="S129" s="18"/>
      <c r="X129" s="2"/>
    </row>
    <row r="130" spans="1:38" ht="12.75" customHeight="1">
      <c r="A130" s="15">
        <v>129</v>
      </c>
      <c r="B130" s="736" t="s">
        <v>1555</v>
      </c>
      <c r="C130" s="16" t="s">
        <v>2118</v>
      </c>
      <c r="D130" s="20" t="s">
        <v>3087</v>
      </c>
      <c r="E130" s="2" t="s">
        <v>3093</v>
      </c>
      <c r="F130" s="2" t="s">
        <v>3211</v>
      </c>
      <c r="G130" s="17">
        <v>63837846</v>
      </c>
      <c r="H130" s="96" t="s">
        <v>510</v>
      </c>
      <c r="I130" s="2" t="s">
        <v>2119</v>
      </c>
      <c r="J130" s="2"/>
      <c r="K130" s="18">
        <v>44691</v>
      </c>
      <c r="L130" s="18">
        <v>44691</v>
      </c>
      <c r="M130" s="18">
        <v>44773</v>
      </c>
      <c r="N130" s="1"/>
      <c r="O130" s="19"/>
      <c r="P130" s="18">
        <v>44773</v>
      </c>
      <c r="Q130" s="19"/>
      <c r="R130" s="772"/>
      <c r="S130" s="18"/>
      <c r="X130" s="2"/>
    </row>
    <row r="131" spans="1:38" ht="12.75" customHeight="1">
      <c r="A131" s="15">
        <v>130</v>
      </c>
      <c r="B131" s="736" t="s">
        <v>1555</v>
      </c>
      <c r="C131" s="16" t="s">
        <v>2259</v>
      </c>
      <c r="D131" s="20" t="s">
        <v>3110</v>
      </c>
      <c r="E131" s="2" t="s">
        <v>3092</v>
      </c>
      <c r="F131" s="2" t="s">
        <v>3212</v>
      </c>
      <c r="G131" s="17">
        <v>63835355</v>
      </c>
      <c r="H131" s="2" t="s">
        <v>684</v>
      </c>
      <c r="I131" s="2" t="s">
        <v>2260</v>
      </c>
      <c r="J131" s="2"/>
      <c r="K131" s="18">
        <v>44833</v>
      </c>
      <c r="L131" s="18">
        <v>44833</v>
      </c>
      <c r="M131" s="18">
        <v>44926</v>
      </c>
      <c r="N131" s="1"/>
      <c r="O131" s="19">
        <v>1457</v>
      </c>
      <c r="P131" s="18">
        <v>44926</v>
      </c>
      <c r="Q131" s="19"/>
      <c r="R131" s="772"/>
      <c r="S131" s="18"/>
      <c r="T131" s="2"/>
      <c r="U131" s="2"/>
      <c r="V131" s="3" t="s">
        <v>3091</v>
      </c>
      <c r="W131" s="3" t="s">
        <v>3091</v>
      </c>
      <c r="X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12.75" customHeight="1">
      <c r="A132" s="15">
        <v>131</v>
      </c>
      <c r="B132" s="736" t="s">
        <v>1555</v>
      </c>
      <c r="C132" s="16" t="s">
        <v>2341</v>
      </c>
      <c r="D132" s="20" t="s">
        <v>3087</v>
      </c>
      <c r="E132" s="2" t="s">
        <v>3093</v>
      </c>
      <c r="F132" s="2" t="s">
        <v>3213</v>
      </c>
      <c r="G132" s="17">
        <v>63826909</v>
      </c>
      <c r="H132" s="96" t="s">
        <v>510</v>
      </c>
      <c r="I132" s="2" t="s">
        <v>2342</v>
      </c>
      <c r="J132" s="2"/>
      <c r="K132" s="18">
        <v>44818</v>
      </c>
      <c r="L132" s="18">
        <v>44818</v>
      </c>
      <c r="M132" s="18">
        <v>44895</v>
      </c>
      <c r="N132" s="1"/>
      <c r="O132" s="19"/>
      <c r="P132" s="18">
        <v>44895</v>
      </c>
      <c r="Q132" s="19"/>
      <c r="R132" s="772"/>
      <c r="S132" s="18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12.75" customHeight="1">
      <c r="A133" s="15">
        <v>132</v>
      </c>
      <c r="B133" s="738" t="s">
        <v>3086</v>
      </c>
      <c r="C133" s="16" t="s">
        <v>195</v>
      </c>
      <c r="D133" s="15" t="s">
        <v>3116</v>
      </c>
      <c r="E133" s="3" t="s">
        <v>3083</v>
      </c>
      <c r="F133" s="15" t="s">
        <v>3214</v>
      </c>
      <c r="G133" s="17">
        <v>63495295</v>
      </c>
      <c r="H133" s="2" t="s">
        <v>194</v>
      </c>
      <c r="I133" s="2" t="s">
        <v>196</v>
      </c>
      <c r="J133" s="2" t="s">
        <v>197</v>
      </c>
      <c r="K133" s="18">
        <v>43644</v>
      </c>
      <c r="L133" s="18">
        <v>43644</v>
      </c>
      <c r="M133" s="18">
        <v>2958465</v>
      </c>
      <c r="N133" s="1"/>
      <c r="O133" s="19">
        <v>1322314</v>
      </c>
      <c r="P133" s="18">
        <v>2958465</v>
      </c>
      <c r="Q133" s="19" t="s">
        <v>3215</v>
      </c>
      <c r="R133" s="772" t="s">
        <v>198</v>
      </c>
      <c r="S133" s="18">
        <v>43644</v>
      </c>
      <c r="T133" s="2"/>
      <c r="U133" s="3">
        <v>3</v>
      </c>
      <c r="V133" s="3" t="s">
        <v>4625</v>
      </c>
      <c r="W133" s="3" t="s">
        <v>4625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12.75" customHeight="1">
      <c r="A134" s="15">
        <v>133</v>
      </c>
      <c r="B134" s="736" t="s">
        <v>1555</v>
      </c>
      <c r="C134" s="16" t="s">
        <v>1815</v>
      </c>
      <c r="D134" s="20" t="s">
        <v>3087</v>
      </c>
      <c r="E134" s="2" t="s">
        <v>3202</v>
      </c>
      <c r="F134" s="2" t="s">
        <v>3216</v>
      </c>
      <c r="G134" s="17">
        <v>63073081</v>
      </c>
      <c r="H134" s="2" t="s">
        <v>361</v>
      </c>
      <c r="I134" s="2" t="s">
        <v>1816</v>
      </c>
      <c r="J134" s="2"/>
      <c r="K134" s="18">
        <v>44456</v>
      </c>
      <c r="L134" s="18">
        <v>44456</v>
      </c>
      <c r="M134" s="18">
        <v>45185</v>
      </c>
      <c r="N134" s="1"/>
      <c r="O134" s="19">
        <v>1000000</v>
      </c>
      <c r="P134" s="18">
        <v>45185</v>
      </c>
      <c r="Q134" s="19"/>
      <c r="R134" s="772"/>
      <c r="S134" s="18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12.75" customHeight="1">
      <c r="A135" s="15">
        <v>134</v>
      </c>
      <c r="B135" s="736" t="s">
        <v>1555</v>
      </c>
      <c r="C135" s="16" t="s">
        <v>2889</v>
      </c>
      <c r="D135" s="20" t="s">
        <v>3087</v>
      </c>
      <c r="E135" s="2" t="s">
        <v>3093</v>
      </c>
      <c r="F135" s="15" t="s">
        <v>3217</v>
      </c>
      <c r="G135" s="17" t="s">
        <v>3218</v>
      </c>
      <c r="H135" s="96" t="s">
        <v>510</v>
      </c>
      <c r="I135" s="2" t="s">
        <v>2890</v>
      </c>
      <c r="J135" s="2"/>
      <c r="K135" s="18">
        <v>45124</v>
      </c>
      <c r="L135" s="18">
        <v>45124</v>
      </c>
      <c r="M135" s="18">
        <v>45230</v>
      </c>
      <c r="N135" s="1"/>
      <c r="O135" s="19"/>
      <c r="P135" s="18">
        <v>45230</v>
      </c>
      <c r="Q135" s="19"/>
      <c r="R135" s="772"/>
      <c r="S135" s="18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12.75" customHeight="1">
      <c r="A136" s="15">
        <v>135</v>
      </c>
      <c r="B136" s="742" t="s">
        <v>1555</v>
      </c>
      <c r="C136" s="71" t="s">
        <v>1609</v>
      </c>
      <c r="D136" s="20" t="s">
        <v>3110</v>
      </c>
      <c r="E136" s="2" t="s">
        <v>3202</v>
      </c>
      <c r="F136" s="77" t="s">
        <v>3219</v>
      </c>
      <c r="G136" s="76">
        <v>62959093</v>
      </c>
      <c r="H136" s="77" t="s">
        <v>1608</v>
      </c>
      <c r="I136" s="77" t="s">
        <v>1610</v>
      </c>
      <c r="J136" s="2"/>
      <c r="K136" s="18">
        <v>44300</v>
      </c>
      <c r="L136" s="18">
        <v>44300</v>
      </c>
      <c r="M136" s="18">
        <v>44664</v>
      </c>
      <c r="N136" s="1"/>
      <c r="O136" s="19">
        <v>900000</v>
      </c>
      <c r="P136" s="18">
        <v>44664</v>
      </c>
      <c r="Q136" s="19"/>
      <c r="R136" s="772"/>
      <c r="S136" s="18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12.75" customHeight="1">
      <c r="A137" s="15">
        <v>136</v>
      </c>
      <c r="B137" s="738" t="s">
        <v>3086</v>
      </c>
      <c r="C137" s="16" t="s">
        <v>1011</v>
      </c>
      <c r="D137" s="15" t="s">
        <v>3110</v>
      </c>
      <c r="E137" s="3" t="s">
        <v>3141</v>
      </c>
      <c r="F137" s="3" t="s">
        <v>3220</v>
      </c>
      <c r="G137" s="17">
        <v>62957872</v>
      </c>
      <c r="H137" s="2" t="s">
        <v>1012</v>
      </c>
      <c r="I137" s="2" t="s">
        <v>1013</v>
      </c>
      <c r="J137" s="2" t="s">
        <v>1014</v>
      </c>
      <c r="K137" s="18">
        <v>37987</v>
      </c>
      <c r="L137" s="18">
        <v>37987</v>
      </c>
      <c r="M137" s="18">
        <v>2958465</v>
      </c>
      <c r="N137" s="1"/>
      <c r="O137" s="19">
        <v>0</v>
      </c>
      <c r="P137" s="18">
        <v>2958465</v>
      </c>
      <c r="Q137" s="19">
        <v>0</v>
      </c>
      <c r="R137" s="772"/>
      <c r="S137" s="18"/>
      <c r="T137" s="2"/>
      <c r="U137" s="2">
        <v>3</v>
      </c>
      <c r="V137" s="3" t="s">
        <v>4625</v>
      </c>
      <c r="W137" s="3" t="s">
        <v>4625</v>
      </c>
      <c r="X137" s="2"/>
      <c r="Y137" s="25" t="s">
        <v>4782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12.75" customHeight="1">
      <c r="A138" s="15">
        <v>137</v>
      </c>
      <c r="B138" s="736" t="s">
        <v>1555</v>
      </c>
      <c r="C138" s="16" t="s">
        <v>783</v>
      </c>
      <c r="D138" s="20" t="s">
        <v>3087</v>
      </c>
      <c r="E138" s="2" t="s">
        <v>3197</v>
      </c>
      <c r="F138" s="2" t="s">
        <v>3221</v>
      </c>
      <c r="G138" s="17">
        <v>62578928</v>
      </c>
      <c r="H138" s="2" t="s">
        <v>546</v>
      </c>
      <c r="I138" s="2" t="s">
        <v>784</v>
      </c>
      <c r="J138" s="2"/>
      <c r="K138" s="18">
        <v>45243</v>
      </c>
      <c r="L138" s="18">
        <v>45243</v>
      </c>
      <c r="M138" s="18">
        <v>45399</v>
      </c>
      <c r="N138" s="1">
        <v>7</v>
      </c>
      <c r="O138" s="19">
        <v>3932500</v>
      </c>
      <c r="P138" s="18">
        <v>45399</v>
      </c>
      <c r="Q138" s="19">
        <v>3932500</v>
      </c>
      <c r="R138" s="772" t="s">
        <v>785</v>
      </c>
      <c r="S138" s="18">
        <v>45244</v>
      </c>
      <c r="T138" s="2"/>
      <c r="U138" s="2"/>
      <c r="V138" s="15" t="s">
        <v>4625</v>
      </c>
      <c r="W138" s="15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12.75" customHeight="1">
      <c r="A139" s="15">
        <v>138</v>
      </c>
      <c r="B139" s="742" t="s">
        <v>1555</v>
      </c>
      <c r="C139" s="71" t="s">
        <v>1745</v>
      </c>
      <c r="D139" s="20" t="s">
        <v>3110</v>
      </c>
      <c r="E139" s="2" t="s">
        <v>3202</v>
      </c>
      <c r="F139" s="77" t="s">
        <v>3222</v>
      </c>
      <c r="G139" s="76">
        <v>62502034</v>
      </c>
      <c r="H139" s="2" t="s">
        <v>361</v>
      </c>
      <c r="I139" s="77" t="s">
        <v>1746</v>
      </c>
      <c r="J139" s="2"/>
      <c r="K139" s="18">
        <v>44400</v>
      </c>
      <c r="L139" s="18">
        <v>44403</v>
      </c>
      <c r="M139" s="18">
        <v>45107</v>
      </c>
      <c r="N139" s="1"/>
      <c r="O139" s="19">
        <v>661157</v>
      </c>
      <c r="P139" s="18">
        <v>45107</v>
      </c>
      <c r="Q139" s="19"/>
      <c r="R139" s="772"/>
      <c r="S139" s="18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12.75" customHeight="1">
      <c r="A140" s="15">
        <v>139</v>
      </c>
      <c r="B140" s="736" t="s">
        <v>1555</v>
      </c>
      <c r="C140" s="16" t="s">
        <v>2821</v>
      </c>
      <c r="D140" s="20" t="s">
        <v>3087</v>
      </c>
      <c r="E140" s="2" t="s">
        <v>3093</v>
      </c>
      <c r="F140" s="2" t="s">
        <v>3223</v>
      </c>
      <c r="G140" s="17">
        <v>62453491</v>
      </c>
      <c r="H140" s="96" t="s">
        <v>510</v>
      </c>
      <c r="I140" s="2" t="s">
        <v>2822</v>
      </c>
      <c r="J140" s="2"/>
      <c r="K140" s="18">
        <v>45086</v>
      </c>
      <c r="L140" s="18">
        <v>45086</v>
      </c>
      <c r="M140" s="18">
        <v>45107</v>
      </c>
      <c r="N140" s="1"/>
      <c r="O140" s="19"/>
      <c r="P140" s="18">
        <v>45107</v>
      </c>
      <c r="Q140" s="19"/>
      <c r="R140" s="772"/>
      <c r="S140" s="18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12.75" customHeight="1">
      <c r="A141" s="15">
        <v>140</v>
      </c>
      <c r="B141" s="738" t="s">
        <v>3086</v>
      </c>
      <c r="C141" s="16" t="s">
        <v>93</v>
      </c>
      <c r="D141" s="15" t="s">
        <v>3116</v>
      </c>
      <c r="E141" s="3" t="s">
        <v>3166</v>
      </c>
      <c r="F141" s="3" t="s">
        <v>3224</v>
      </c>
      <c r="G141" s="17">
        <v>62448064</v>
      </c>
      <c r="H141" s="2" t="s">
        <v>23</v>
      </c>
      <c r="I141" s="2" t="s">
        <v>94</v>
      </c>
      <c r="J141" s="2"/>
      <c r="K141" s="18">
        <v>43175</v>
      </c>
      <c r="L141" s="18">
        <v>43175</v>
      </c>
      <c r="M141" s="18">
        <v>2958465</v>
      </c>
      <c r="N141" s="1"/>
      <c r="O141" s="19">
        <v>1</v>
      </c>
      <c r="P141" s="18">
        <v>2958465</v>
      </c>
      <c r="Q141" s="19"/>
      <c r="R141" s="772"/>
      <c r="S141" s="18"/>
      <c r="T141" s="2"/>
      <c r="U141" s="3">
        <v>3</v>
      </c>
      <c r="V141" s="3" t="s">
        <v>4625</v>
      </c>
      <c r="W141" s="3" t="s">
        <v>4625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12.75" customHeight="1">
      <c r="A142" s="15">
        <v>141</v>
      </c>
      <c r="B142" s="738" t="s">
        <v>3086</v>
      </c>
      <c r="C142" s="16" t="s">
        <v>95</v>
      </c>
      <c r="D142" s="15" t="s">
        <v>3116</v>
      </c>
      <c r="E142" s="3" t="s">
        <v>3166</v>
      </c>
      <c r="F142" s="3" t="s">
        <v>3224</v>
      </c>
      <c r="G142" s="17">
        <v>62448064</v>
      </c>
      <c r="H142" s="2" t="s">
        <v>23</v>
      </c>
      <c r="I142" s="2" t="s">
        <v>96</v>
      </c>
      <c r="K142" s="18">
        <v>43175</v>
      </c>
      <c r="L142" s="18">
        <v>43175</v>
      </c>
      <c r="M142" s="18">
        <v>2958465</v>
      </c>
      <c r="N142" s="1"/>
      <c r="O142" s="19">
        <v>349</v>
      </c>
      <c r="P142" s="18">
        <v>2958465</v>
      </c>
      <c r="Q142" s="19"/>
      <c r="R142" s="773"/>
      <c r="S142" s="18"/>
      <c r="U142" s="3">
        <v>3</v>
      </c>
      <c r="V142" s="3" t="s">
        <v>4625</v>
      </c>
      <c r="W142" s="3" t="s">
        <v>4625</v>
      </c>
      <c r="X142" s="2"/>
    </row>
    <row r="143" spans="1:38" ht="12.75" customHeight="1">
      <c r="A143" s="15">
        <v>142</v>
      </c>
      <c r="B143" s="736" t="s">
        <v>1555</v>
      </c>
      <c r="C143" s="16" t="s">
        <v>1926</v>
      </c>
      <c r="D143" s="20" t="s">
        <v>3110</v>
      </c>
      <c r="E143" s="2" t="s">
        <v>3225</v>
      </c>
      <c r="F143" s="2" t="s">
        <v>1927</v>
      </c>
      <c r="G143" s="17">
        <v>61945251</v>
      </c>
      <c r="H143" s="2" t="s">
        <v>482</v>
      </c>
      <c r="I143" s="2" t="s">
        <v>1928</v>
      </c>
      <c r="J143" s="2"/>
      <c r="K143" s="18">
        <v>44559</v>
      </c>
      <c r="L143" s="18">
        <v>44559</v>
      </c>
      <c r="M143" s="18">
        <v>44620</v>
      </c>
      <c r="N143" s="1"/>
      <c r="O143" s="19">
        <v>3083000</v>
      </c>
      <c r="P143" s="18">
        <v>44620</v>
      </c>
      <c r="Q143" s="19"/>
      <c r="R143" s="772"/>
      <c r="S143" s="18"/>
      <c r="X143" s="2"/>
    </row>
    <row r="144" spans="1:38" ht="12.75" customHeight="1">
      <c r="A144" s="15">
        <v>143</v>
      </c>
      <c r="B144" s="736" t="s">
        <v>1555</v>
      </c>
      <c r="C144" s="16" t="s">
        <v>2062</v>
      </c>
      <c r="D144" s="20" t="s">
        <v>3087</v>
      </c>
      <c r="E144" s="2" t="s">
        <v>3093</v>
      </c>
      <c r="F144" s="3" t="s">
        <v>3226</v>
      </c>
      <c r="G144" s="17">
        <v>61884642</v>
      </c>
      <c r="H144" s="96" t="s">
        <v>510</v>
      </c>
      <c r="I144" s="2" t="s">
        <v>2063</v>
      </c>
      <c r="J144" s="2"/>
      <c r="K144" s="18">
        <v>44656</v>
      </c>
      <c r="L144" s="18">
        <v>44656</v>
      </c>
      <c r="M144" s="18">
        <v>44742</v>
      </c>
      <c r="N144" s="1"/>
      <c r="O144" s="19"/>
      <c r="P144" s="18">
        <v>44742</v>
      </c>
      <c r="Q144" s="19"/>
      <c r="R144" s="772"/>
      <c r="S144" s="18"/>
      <c r="X144" s="2"/>
    </row>
    <row r="145" spans="1:38" ht="12.75" customHeight="1">
      <c r="A145" s="15">
        <v>144</v>
      </c>
      <c r="B145" s="736" t="s">
        <v>1555</v>
      </c>
      <c r="C145" s="16" t="s">
        <v>2300</v>
      </c>
      <c r="D145" s="20" t="s">
        <v>3087</v>
      </c>
      <c r="E145" s="2" t="s">
        <v>3093</v>
      </c>
      <c r="F145" s="2" t="s">
        <v>3227</v>
      </c>
      <c r="G145" s="17">
        <v>61883182</v>
      </c>
      <c r="H145" s="96" t="s">
        <v>510</v>
      </c>
      <c r="I145" s="2" t="s">
        <v>2301</v>
      </c>
      <c r="J145" s="2"/>
      <c r="K145" s="18">
        <v>44804</v>
      </c>
      <c r="L145" s="18">
        <v>44804</v>
      </c>
      <c r="M145" s="18">
        <v>44895</v>
      </c>
      <c r="N145" s="1"/>
      <c r="O145" s="19"/>
      <c r="P145" s="18">
        <v>44895</v>
      </c>
      <c r="Q145" s="19"/>
      <c r="R145" s="772"/>
      <c r="S145" s="18"/>
      <c r="X145" s="2"/>
    </row>
    <row r="146" spans="1:38" ht="12.75" customHeight="1">
      <c r="A146" s="15">
        <v>145</v>
      </c>
      <c r="B146" s="736" t="s">
        <v>1555</v>
      </c>
      <c r="C146" s="16" t="s">
        <v>2916</v>
      </c>
      <c r="D146" s="20" t="s">
        <v>3087</v>
      </c>
      <c r="E146" s="2" t="s">
        <v>3093</v>
      </c>
      <c r="F146" s="2" t="s">
        <v>3227</v>
      </c>
      <c r="G146" s="17">
        <v>61883182</v>
      </c>
      <c r="H146" s="96" t="s">
        <v>510</v>
      </c>
      <c r="I146" s="2" t="s">
        <v>2917</v>
      </c>
      <c r="J146" s="2"/>
      <c r="K146" s="18">
        <v>45177</v>
      </c>
      <c r="L146" s="18">
        <v>45177</v>
      </c>
      <c r="M146" s="18">
        <v>45199</v>
      </c>
      <c r="N146" s="1"/>
      <c r="O146" s="19"/>
      <c r="P146" s="18">
        <v>45199</v>
      </c>
      <c r="Q146" s="19"/>
      <c r="R146" s="772"/>
      <c r="S146" s="18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12.75" customHeight="1">
      <c r="A147" s="15">
        <v>146</v>
      </c>
      <c r="B147" s="738" t="s">
        <v>3086</v>
      </c>
      <c r="C147" s="16" t="s">
        <v>1524</v>
      </c>
      <c r="D147" s="15" t="s">
        <v>3110</v>
      </c>
      <c r="E147" s="3" t="s">
        <v>3228</v>
      </c>
      <c r="F147" s="3" t="s">
        <v>3229</v>
      </c>
      <c r="G147" s="17">
        <v>61778516</v>
      </c>
      <c r="H147" s="2" t="s">
        <v>64</v>
      </c>
      <c r="I147" s="2" t="s">
        <v>1525</v>
      </c>
      <c r="J147" s="2" t="s">
        <v>1526</v>
      </c>
      <c r="K147" s="18">
        <v>42562</v>
      </c>
      <c r="L147" s="18">
        <v>42562</v>
      </c>
      <c r="M147" s="18">
        <v>45838</v>
      </c>
      <c r="N147" s="1"/>
      <c r="O147" s="19">
        <v>5000</v>
      </c>
      <c r="P147" s="18">
        <v>45838</v>
      </c>
      <c r="Q147" s="19">
        <v>0</v>
      </c>
      <c r="R147" s="772"/>
      <c r="S147" s="18"/>
      <c r="T147" s="2"/>
      <c r="U147" s="2"/>
      <c r="V147" s="15"/>
      <c r="W147" s="15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12.75" customHeight="1">
      <c r="A148" s="15">
        <v>147</v>
      </c>
      <c r="B148" s="736" t="s">
        <v>1555</v>
      </c>
      <c r="C148" s="16" t="s">
        <v>604</v>
      </c>
      <c r="D148" s="15" t="s">
        <v>3110</v>
      </c>
      <c r="E148" s="2" t="s">
        <v>3117</v>
      </c>
      <c r="F148" s="2" t="s">
        <v>3230</v>
      </c>
      <c r="G148" s="17">
        <v>61677744</v>
      </c>
      <c r="H148" s="2" t="s">
        <v>603</v>
      </c>
      <c r="I148" s="2" t="s">
        <v>605</v>
      </c>
      <c r="J148" s="2"/>
      <c r="K148" s="18">
        <v>44929</v>
      </c>
      <c r="L148" s="18">
        <v>44929</v>
      </c>
      <c r="M148" s="18">
        <v>45673</v>
      </c>
      <c r="N148" s="1"/>
      <c r="O148" s="19">
        <v>18000</v>
      </c>
      <c r="P148" s="18">
        <v>45673</v>
      </c>
      <c r="Q148" s="19"/>
      <c r="R148" s="772"/>
      <c r="S148" s="18"/>
      <c r="T148" s="2"/>
      <c r="U148" s="2"/>
      <c r="V148" s="15"/>
      <c r="W148" s="15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12.75" customHeight="1">
      <c r="A149" s="15">
        <v>148</v>
      </c>
      <c r="B149" s="736" t="s">
        <v>1555</v>
      </c>
      <c r="C149" s="16" t="s">
        <v>1559</v>
      </c>
      <c r="D149" s="20" t="s">
        <v>3110</v>
      </c>
      <c r="E149" s="2" t="s">
        <v>3117</v>
      </c>
      <c r="F149" s="2" t="s">
        <v>3230</v>
      </c>
      <c r="G149" s="17">
        <v>61677744</v>
      </c>
      <c r="H149" s="2" t="s">
        <v>1558</v>
      </c>
      <c r="I149" s="2" t="s">
        <v>1560</v>
      </c>
      <c r="J149" s="2"/>
      <c r="K149" s="18">
        <v>44210</v>
      </c>
      <c r="L149" s="18">
        <v>44210</v>
      </c>
      <c r="M149" s="18">
        <v>44942</v>
      </c>
      <c r="N149" s="1"/>
      <c r="O149" s="19">
        <v>750</v>
      </c>
      <c r="P149" s="18">
        <v>44942</v>
      </c>
      <c r="Q149" s="19"/>
      <c r="R149" s="772"/>
      <c r="S149" s="18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12.75" customHeight="1">
      <c r="A150" s="15">
        <v>149</v>
      </c>
      <c r="B150" s="736" t="s">
        <v>1555</v>
      </c>
      <c r="C150" s="16" t="s">
        <v>2204</v>
      </c>
      <c r="D150" s="20" t="s">
        <v>3087</v>
      </c>
      <c r="E150" s="2" t="s">
        <v>3093</v>
      </c>
      <c r="F150" s="2" t="s">
        <v>3231</v>
      </c>
      <c r="G150" s="17">
        <v>61632376</v>
      </c>
      <c r="H150" s="96" t="s">
        <v>510</v>
      </c>
      <c r="I150" s="2" t="s">
        <v>2205</v>
      </c>
      <c r="J150" s="2"/>
      <c r="K150" s="18">
        <v>44762</v>
      </c>
      <c r="L150" s="18">
        <v>44762</v>
      </c>
      <c r="M150" s="18">
        <v>44834</v>
      </c>
      <c r="N150" s="1"/>
      <c r="O150" s="19"/>
      <c r="P150" s="18">
        <v>44834</v>
      </c>
      <c r="Q150" s="19"/>
      <c r="R150" s="772"/>
      <c r="S150" s="18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12.75" customHeight="1">
      <c r="A151" s="15">
        <v>150</v>
      </c>
      <c r="B151" s="736" t="s">
        <v>1555</v>
      </c>
      <c r="C151" s="16" t="s">
        <v>2865</v>
      </c>
      <c r="D151" s="20" t="s">
        <v>3087</v>
      </c>
      <c r="E151" s="2" t="s">
        <v>3093</v>
      </c>
      <c r="F151" s="2" t="s">
        <v>3231</v>
      </c>
      <c r="G151" s="17">
        <v>61632376</v>
      </c>
      <c r="H151" s="96" t="s">
        <v>510</v>
      </c>
      <c r="I151" s="2" t="s">
        <v>2866</v>
      </c>
      <c r="J151" s="2"/>
      <c r="K151" s="18">
        <v>45106</v>
      </c>
      <c r="L151" s="18">
        <v>45106</v>
      </c>
      <c r="M151" s="18">
        <v>45138</v>
      </c>
      <c r="N151" s="1"/>
      <c r="O151" s="19"/>
      <c r="P151" s="18">
        <v>45138</v>
      </c>
      <c r="Q151" s="19"/>
      <c r="R151" s="772"/>
      <c r="S151" s="18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12.75" customHeight="1">
      <c r="A152" s="15">
        <v>151</v>
      </c>
      <c r="B152" s="736" t="s">
        <v>1555</v>
      </c>
      <c r="C152" s="16" t="s">
        <v>2613</v>
      </c>
      <c r="D152" s="20" t="s">
        <v>3087</v>
      </c>
      <c r="E152" s="2" t="s">
        <v>3197</v>
      </c>
      <c r="F152" s="3" t="s">
        <v>3232</v>
      </c>
      <c r="G152" s="17">
        <v>61416185</v>
      </c>
      <c r="H152" s="2" t="s">
        <v>546</v>
      </c>
      <c r="I152" s="2" t="s">
        <v>2614</v>
      </c>
      <c r="J152" s="2"/>
      <c r="K152" s="18">
        <v>44985</v>
      </c>
      <c r="L152" s="18">
        <v>44985</v>
      </c>
      <c r="M152" s="18">
        <v>45014</v>
      </c>
      <c r="N152" s="1"/>
      <c r="O152" s="19">
        <v>592597.5</v>
      </c>
      <c r="P152" s="18">
        <v>45014</v>
      </c>
      <c r="Q152" s="19"/>
      <c r="R152" s="772"/>
      <c r="S152" s="18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12.75" customHeight="1">
      <c r="A153" s="15">
        <v>152</v>
      </c>
      <c r="B153" s="738" t="s">
        <v>3086</v>
      </c>
      <c r="C153" s="16" t="s">
        <v>251</v>
      </c>
      <c r="D153" s="2" t="s">
        <v>3110</v>
      </c>
      <c r="E153" s="3" t="s">
        <v>3233</v>
      </c>
      <c r="F153" s="3" t="s">
        <v>3234</v>
      </c>
      <c r="G153" s="17">
        <v>61388947</v>
      </c>
      <c r="H153" s="2" t="s">
        <v>250</v>
      </c>
      <c r="I153" s="2" t="s">
        <v>252</v>
      </c>
      <c r="J153" s="2" t="s">
        <v>253</v>
      </c>
      <c r="K153" s="18">
        <v>44007</v>
      </c>
      <c r="L153" s="18">
        <v>43983</v>
      </c>
      <c r="M153" s="18">
        <v>45168</v>
      </c>
      <c r="N153" s="1"/>
      <c r="O153" s="19">
        <v>181200</v>
      </c>
      <c r="P153" s="18">
        <v>45168</v>
      </c>
      <c r="Q153" s="19">
        <v>181200</v>
      </c>
      <c r="R153" s="772" t="s">
        <v>254</v>
      </c>
      <c r="S153" s="18">
        <v>44007</v>
      </c>
      <c r="T153" s="2"/>
      <c r="U153" s="2"/>
      <c r="V153" s="2"/>
      <c r="W153" s="2"/>
      <c r="X153" s="25" t="s">
        <v>3235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12.75" customHeight="1">
      <c r="A154" s="15">
        <v>153</v>
      </c>
      <c r="B154" s="736" t="s">
        <v>1555</v>
      </c>
      <c r="C154" s="16" t="s">
        <v>2157</v>
      </c>
      <c r="D154" s="20" t="s">
        <v>3087</v>
      </c>
      <c r="E154" s="2" t="s">
        <v>3093</v>
      </c>
      <c r="F154" s="2" t="s">
        <v>3236</v>
      </c>
      <c r="G154" s="17">
        <v>61387444</v>
      </c>
      <c r="H154" s="96" t="s">
        <v>510</v>
      </c>
      <c r="I154" s="2" t="s">
        <v>2158</v>
      </c>
      <c r="J154" s="2"/>
      <c r="K154" s="18">
        <v>44715</v>
      </c>
      <c r="L154" s="18">
        <v>44715</v>
      </c>
      <c r="M154" s="18">
        <v>44804</v>
      </c>
      <c r="N154" s="1"/>
      <c r="O154" s="19">
        <v>22000</v>
      </c>
      <c r="P154" s="18">
        <v>44804</v>
      </c>
      <c r="Q154" s="19"/>
      <c r="R154" s="772"/>
      <c r="S154" s="18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12.75" customHeight="1">
      <c r="A155" s="15">
        <v>154</v>
      </c>
      <c r="B155" s="736" t="s">
        <v>1555</v>
      </c>
      <c r="C155" s="16" t="s">
        <v>2552</v>
      </c>
      <c r="D155" s="20" t="s">
        <v>3087</v>
      </c>
      <c r="E155" s="2" t="s">
        <v>3097</v>
      </c>
      <c r="F155" s="2" t="s">
        <v>3237</v>
      </c>
      <c r="G155" s="17">
        <v>61383082</v>
      </c>
      <c r="H155" s="96" t="s">
        <v>830</v>
      </c>
      <c r="I155" s="2" t="s">
        <v>2553</v>
      </c>
      <c r="J155" s="2"/>
      <c r="K155" s="18">
        <v>44924</v>
      </c>
      <c r="L155" s="18">
        <v>44924</v>
      </c>
      <c r="M155" s="18">
        <v>45016</v>
      </c>
      <c r="N155" s="1"/>
      <c r="O155" s="19">
        <v>6000</v>
      </c>
      <c r="P155" s="18">
        <v>45016</v>
      </c>
      <c r="Q155" s="19"/>
      <c r="R155" s="772"/>
      <c r="S155" s="18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12.75" customHeight="1">
      <c r="A156" s="15">
        <v>155</v>
      </c>
      <c r="B156" s="736" t="s">
        <v>1555</v>
      </c>
      <c r="C156" s="16" t="s">
        <v>2607</v>
      </c>
      <c r="D156" s="20" t="s">
        <v>3087</v>
      </c>
      <c r="E156" s="2" t="s">
        <v>3097</v>
      </c>
      <c r="F156" s="2" t="s">
        <v>3237</v>
      </c>
      <c r="G156" s="17">
        <v>61383082</v>
      </c>
      <c r="H156" s="96" t="s">
        <v>830</v>
      </c>
      <c r="I156" s="2" t="s">
        <v>2608</v>
      </c>
      <c r="J156" s="2"/>
      <c r="K156" s="18">
        <v>44951</v>
      </c>
      <c r="L156" s="18">
        <v>44951</v>
      </c>
      <c r="M156" s="18">
        <v>45076</v>
      </c>
      <c r="N156" s="1"/>
      <c r="O156" s="19">
        <v>12000</v>
      </c>
      <c r="P156" s="18">
        <v>45076</v>
      </c>
      <c r="Q156" s="19"/>
      <c r="R156" s="772"/>
      <c r="S156" s="18"/>
    </row>
    <row r="157" spans="1:38" ht="12.75" customHeight="1">
      <c r="A157" s="15">
        <v>156</v>
      </c>
      <c r="B157" s="736" t="s">
        <v>1555</v>
      </c>
      <c r="C157" s="16" t="s">
        <v>1669</v>
      </c>
      <c r="D157" s="20" t="s">
        <v>3087</v>
      </c>
      <c r="E157" s="2" t="s">
        <v>3097</v>
      </c>
      <c r="F157" s="2" t="s">
        <v>3237</v>
      </c>
      <c r="G157" s="17">
        <v>61383082</v>
      </c>
      <c r="H157" s="96" t="s">
        <v>830</v>
      </c>
      <c r="I157" s="2" t="s">
        <v>1670</v>
      </c>
      <c r="J157" s="2"/>
      <c r="K157" s="18">
        <v>44363</v>
      </c>
      <c r="L157" s="18">
        <v>44378</v>
      </c>
      <c r="M157" s="18">
        <v>44393</v>
      </c>
      <c r="N157" s="1"/>
      <c r="O157" s="19">
        <v>3500</v>
      </c>
      <c r="P157" s="18">
        <v>44393</v>
      </c>
      <c r="Q157" s="19"/>
      <c r="R157" s="772"/>
      <c r="S157" s="18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12.75" customHeight="1">
      <c r="A158" s="15">
        <v>157</v>
      </c>
      <c r="B158" s="736" t="s">
        <v>1555</v>
      </c>
      <c r="C158" s="16" t="s">
        <v>2196</v>
      </c>
      <c r="D158" s="20" t="s">
        <v>3087</v>
      </c>
      <c r="E158" s="2" t="s">
        <v>3097</v>
      </c>
      <c r="F158" s="2" t="s">
        <v>3237</v>
      </c>
      <c r="G158" s="17">
        <v>61383082</v>
      </c>
      <c r="H158" s="96" t="s">
        <v>830</v>
      </c>
      <c r="I158" s="2" t="s">
        <v>2197</v>
      </c>
      <c r="J158" s="2"/>
      <c r="K158" s="18">
        <v>44736</v>
      </c>
      <c r="L158" s="18">
        <v>44736</v>
      </c>
      <c r="M158" s="18">
        <v>44834</v>
      </c>
      <c r="N158" s="1"/>
      <c r="O158" s="19">
        <v>3600</v>
      </c>
      <c r="P158" s="18">
        <v>44834</v>
      </c>
      <c r="Q158" s="19"/>
      <c r="R158" s="772"/>
      <c r="S158" s="18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12.75" customHeight="1">
      <c r="A159" s="15">
        <v>158</v>
      </c>
      <c r="B159" s="736" t="s">
        <v>1555</v>
      </c>
      <c r="C159" s="16" t="s">
        <v>1868</v>
      </c>
      <c r="D159" s="20" t="s">
        <v>3087</v>
      </c>
      <c r="E159" s="2" t="s">
        <v>3162</v>
      </c>
      <c r="F159" s="2" t="s">
        <v>3237</v>
      </c>
      <c r="G159" s="17">
        <v>61383082</v>
      </c>
      <c r="H159" s="96" t="s">
        <v>830</v>
      </c>
      <c r="I159" s="2" t="s">
        <v>1869</v>
      </c>
      <c r="J159" s="2"/>
      <c r="K159" s="18">
        <v>44502</v>
      </c>
      <c r="L159" s="18">
        <v>44502</v>
      </c>
      <c r="M159" s="18">
        <v>44530</v>
      </c>
      <c r="N159" s="1"/>
      <c r="O159" s="19">
        <v>3500</v>
      </c>
      <c r="P159" s="18">
        <v>44530</v>
      </c>
      <c r="Q159" s="19"/>
      <c r="R159" s="772"/>
      <c r="S159" s="18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12.75" customHeight="1">
      <c r="A160" s="15">
        <v>159</v>
      </c>
      <c r="B160" s="736" t="s">
        <v>1555</v>
      </c>
      <c r="C160" s="16" t="s">
        <v>1908</v>
      </c>
      <c r="D160" s="20" t="s">
        <v>3087</v>
      </c>
      <c r="E160" s="2" t="s">
        <v>3162</v>
      </c>
      <c r="F160" s="2" t="s">
        <v>3237</v>
      </c>
      <c r="G160" s="17">
        <v>61383082</v>
      </c>
      <c r="H160" s="96" t="s">
        <v>830</v>
      </c>
      <c r="I160" s="2" t="s">
        <v>1909</v>
      </c>
      <c r="J160" s="2"/>
      <c r="K160" s="18">
        <v>44544</v>
      </c>
      <c r="L160" s="18">
        <v>44562</v>
      </c>
      <c r="M160" s="18">
        <v>44926</v>
      </c>
      <c r="N160" s="1"/>
      <c r="O160" s="19"/>
      <c r="P160" s="18">
        <v>44926</v>
      </c>
      <c r="Q160" s="19"/>
      <c r="R160" s="772"/>
      <c r="S160" s="18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2.75" customHeight="1">
      <c r="A161" s="15">
        <v>160</v>
      </c>
      <c r="B161" s="736" t="s">
        <v>1555</v>
      </c>
      <c r="C161" s="16" t="s">
        <v>3033</v>
      </c>
      <c r="D161" s="20" t="s">
        <v>3087</v>
      </c>
      <c r="E161" s="2" t="s">
        <v>3097</v>
      </c>
      <c r="F161" s="2" t="s">
        <v>3237</v>
      </c>
      <c r="G161" s="17">
        <v>61383082</v>
      </c>
      <c r="H161" s="96" t="s">
        <v>830</v>
      </c>
      <c r="I161" s="2" t="s">
        <v>3034</v>
      </c>
      <c r="J161" s="2"/>
      <c r="K161" s="18">
        <v>45236</v>
      </c>
      <c r="L161" s="18">
        <v>45236</v>
      </c>
      <c r="M161" s="18">
        <v>45247</v>
      </c>
      <c r="N161" s="1"/>
      <c r="O161" s="19">
        <v>4300</v>
      </c>
      <c r="P161" s="18">
        <v>45247</v>
      </c>
      <c r="Q161" s="19"/>
      <c r="R161" s="772"/>
      <c r="S161" s="18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2.75" customHeight="1">
      <c r="A162" s="15">
        <v>161</v>
      </c>
      <c r="B162" s="738" t="s">
        <v>1555</v>
      </c>
      <c r="C162" s="16" t="s">
        <v>216</v>
      </c>
      <c r="D162" s="15" t="s">
        <v>3110</v>
      </c>
      <c r="E162" s="3" t="s">
        <v>3144</v>
      </c>
      <c r="F162" s="3" t="s">
        <v>3238</v>
      </c>
      <c r="G162" s="17">
        <v>61328464</v>
      </c>
      <c r="H162" s="2" t="s">
        <v>215</v>
      </c>
      <c r="I162" s="2" t="s">
        <v>217</v>
      </c>
      <c r="K162" s="18">
        <v>43818</v>
      </c>
      <c r="L162" s="18">
        <v>43831</v>
      </c>
      <c r="M162" s="18">
        <v>45291</v>
      </c>
      <c r="N162" s="1"/>
      <c r="O162" s="19">
        <v>99711600</v>
      </c>
      <c r="P162" s="18">
        <v>45291</v>
      </c>
      <c r="Q162" s="1727" t="s">
        <v>3239</v>
      </c>
      <c r="R162" s="1728"/>
      <c r="S162" s="1728"/>
      <c r="T162" s="2"/>
      <c r="U162" s="2"/>
      <c r="V162" s="2" t="s">
        <v>3091</v>
      </c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2.75" customHeight="1">
      <c r="A163" s="15">
        <v>162</v>
      </c>
      <c r="B163" s="736" t="s">
        <v>1555</v>
      </c>
      <c r="C163" s="16" t="s">
        <v>2991</v>
      </c>
      <c r="D163" s="20" t="s">
        <v>3087</v>
      </c>
      <c r="E163" s="2" t="s">
        <v>3093</v>
      </c>
      <c r="F163" s="2" t="s">
        <v>3240</v>
      </c>
      <c r="G163" s="17">
        <v>61100277</v>
      </c>
      <c r="H163" s="2" t="s">
        <v>180</v>
      </c>
      <c r="I163" s="2" t="s">
        <v>2992</v>
      </c>
      <c r="J163" s="2"/>
      <c r="K163" s="18">
        <v>45208</v>
      </c>
      <c r="L163" s="18">
        <v>45212</v>
      </c>
      <c r="M163" s="18">
        <v>45212</v>
      </c>
      <c r="N163" s="1"/>
      <c r="O163" s="19">
        <v>0</v>
      </c>
      <c r="P163" s="18">
        <v>45212</v>
      </c>
      <c r="Q163" s="19"/>
      <c r="R163" s="772"/>
      <c r="S163" s="18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12.75" customHeight="1">
      <c r="A164" s="15">
        <v>163</v>
      </c>
      <c r="B164" s="736" t="s">
        <v>1555</v>
      </c>
      <c r="C164" s="16" t="s">
        <v>2010</v>
      </c>
      <c r="D164" s="2"/>
      <c r="E164" s="96" t="s">
        <v>5143</v>
      </c>
      <c r="F164" s="2" t="s">
        <v>3241</v>
      </c>
      <c r="G164" s="17">
        <v>61063037</v>
      </c>
      <c r="H164" s="2" t="s">
        <v>1729</v>
      </c>
      <c r="I164" s="2" t="s">
        <v>2011</v>
      </c>
      <c r="J164" s="2"/>
      <c r="K164" s="18">
        <v>44634</v>
      </c>
      <c r="L164" s="18">
        <v>44634</v>
      </c>
      <c r="M164" s="18">
        <v>44651</v>
      </c>
      <c r="N164" s="1"/>
      <c r="O164" s="19">
        <v>1493850</v>
      </c>
      <c r="P164" s="18">
        <v>44651</v>
      </c>
      <c r="Q164" s="19"/>
      <c r="R164" s="772"/>
      <c r="S164" s="18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12.75" customHeight="1">
      <c r="A165" s="15">
        <v>164</v>
      </c>
      <c r="B165" s="738" t="s">
        <v>1555</v>
      </c>
      <c r="C165" s="16" t="s">
        <v>1364</v>
      </c>
      <c r="D165" s="15" t="s">
        <v>3110</v>
      </c>
      <c r="E165" s="2" t="s">
        <v>3202</v>
      </c>
      <c r="F165" s="3" t="s">
        <v>3242</v>
      </c>
      <c r="G165" s="17">
        <v>61056758</v>
      </c>
      <c r="H165" s="2" t="s">
        <v>422</v>
      </c>
      <c r="I165" s="2" t="s">
        <v>1365</v>
      </c>
      <c r="J165" s="2" t="s">
        <v>1366</v>
      </c>
      <c r="K165" s="18">
        <v>42038</v>
      </c>
      <c r="L165" s="18">
        <v>42038</v>
      </c>
      <c r="M165" s="18">
        <v>44255</v>
      </c>
      <c r="N165" s="1"/>
      <c r="O165" s="19">
        <v>37813</v>
      </c>
      <c r="P165" s="18">
        <v>44255</v>
      </c>
      <c r="Q165" s="19"/>
      <c r="R165" s="773"/>
      <c r="S165" s="18"/>
      <c r="T165" s="2"/>
      <c r="U165" s="2"/>
      <c r="V165" s="2" t="s">
        <v>3091</v>
      </c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12.75" customHeight="1">
      <c r="A166" s="15">
        <v>165</v>
      </c>
      <c r="B166" s="738" t="s">
        <v>3086</v>
      </c>
      <c r="C166" s="16" t="s">
        <v>1385</v>
      </c>
      <c r="D166" s="15" t="s">
        <v>3110</v>
      </c>
      <c r="E166" s="2" t="s">
        <v>3202</v>
      </c>
      <c r="F166" s="3" t="s">
        <v>3242</v>
      </c>
      <c r="G166" s="17">
        <v>61056758</v>
      </c>
      <c r="H166" s="2" t="s">
        <v>422</v>
      </c>
      <c r="I166" s="2" t="s">
        <v>1386</v>
      </c>
      <c r="J166" s="2" t="s">
        <v>1387</v>
      </c>
      <c r="K166" s="18">
        <v>42038</v>
      </c>
      <c r="L166" s="18">
        <v>42038</v>
      </c>
      <c r="M166" s="18">
        <v>2958465</v>
      </c>
      <c r="N166" s="1"/>
      <c r="O166" s="19">
        <v>37813</v>
      </c>
      <c r="P166" s="18">
        <v>2958465</v>
      </c>
      <c r="Q166" s="19"/>
      <c r="R166" s="773"/>
      <c r="S166" s="18"/>
      <c r="T166" s="2"/>
      <c r="U166" s="2"/>
      <c r="V166" s="2"/>
      <c r="W166" s="2"/>
      <c r="X166" s="25" t="s">
        <v>3243</v>
      </c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12.75" customHeight="1">
      <c r="A167" s="15">
        <v>166</v>
      </c>
      <c r="B167" s="738" t="s">
        <v>1555</v>
      </c>
      <c r="C167" s="16" t="s">
        <v>141</v>
      </c>
      <c r="D167" s="15" t="s">
        <v>3110</v>
      </c>
      <c r="E167" s="3" t="s">
        <v>3141</v>
      </c>
      <c r="F167" s="3" t="s">
        <v>3242</v>
      </c>
      <c r="G167" s="17">
        <v>61056758</v>
      </c>
      <c r="H167" s="2" t="s">
        <v>140</v>
      </c>
      <c r="I167" s="2" t="s">
        <v>142</v>
      </c>
      <c r="K167" s="18">
        <v>43392</v>
      </c>
      <c r="L167" s="18">
        <v>43392</v>
      </c>
      <c r="M167" s="18">
        <v>44255</v>
      </c>
      <c r="N167" s="1"/>
      <c r="O167" s="19">
        <v>0</v>
      </c>
      <c r="P167" s="18">
        <v>44255</v>
      </c>
      <c r="Q167" s="19"/>
      <c r="R167" s="773"/>
      <c r="S167" s="18"/>
      <c r="T167" s="2"/>
      <c r="U167" s="2"/>
      <c r="V167" t="s">
        <v>4625</v>
      </c>
      <c r="W167" t="s">
        <v>4625</v>
      </c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12.75" customHeight="1">
      <c r="A168" s="15">
        <v>167</v>
      </c>
      <c r="B168" s="736" t="s">
        <v>3086</v>
      </c>
      <c r="C168" s="16" t="s">
        <v>411</v>
      </c>
      <c r="D168" s="2" t="s">
        <v>3139</v>
      </c>
      <c r="E168" s="2" t="s">
        <v>3117</v>
      </c>
      <c r="F168" s="2" t="s">
        <v>3244</v>
      </c>
      <c r="G168" s="17">
        <v>60724269</v>
      </c>
      <c r="H168" s="2" t="s">
        <v>410</v>
      </c>
      <c r="I168" s="2" t="s">
        <v>412</v>
      </c>
      <c r="J168" s="2"/>
      <c r="K168" s="18">
        <v>44635</v>
      </c>
      <c r="L168" s="18">
        <v>44635</v>
      </c>
      <c r="M168" s="18">
        <v>46843</v>
      </c>
      <c r="N168" s="1"/>
      <c r="O168" s="19">
        <v>580800</v>
      </c>
      <c r="P168" s="18">
        <v>46843</v>
      </c>
      <c r="Q168" s="19" t="s">
        <v>3245</v>
      </c>
      <c r="R168" s="772" t="s">
        <v>413</v>
      </c>
      <c r="S168" s="18">
        <v>44635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12.75" customHeight="1">
      <c r="A169" s="15">
        <v>168</v>
      </c>
      <c r="B169" s="736" t="s">
        <v>3086</v>
      </c>
      <c r="C169" s="16" t="s">
        <v>496</v>
      </c>
      <c r="D169" s="2" t="s">
        <v>3139</v>
      </c>
      <c r="E169" s="2" t="s">
        <v>3117</v>
      </c>
      <c r="F169" s="2" t="s">
        <v>3244</v>
      </c>
      <c r="G169" s="17">
        <v>60724269</v>
      </c>
      <c r="H169" s="2" t="s">
        <v>495</v>
      </c>
      <c r="I169" s="2" t="s">
        <v>497</v>
      </c>
      <c r="J169" s="2"/>
      <c r="K169" s="18">
        <v>44791</v>
      </c>
      <c r="L169" s="18">
        <v>44791</v>
      </c>
      <c r="M169" s="18">
        <v>47848</v>
      </c>
      <c r="N169" s="1">
        <v>5</v>
      </c>
      <c r="O169" s="19">
        <v>347270</v>
      </c>
      <c r="P169" s="18">
        <v>47848</v>
      </c>
      <c r="Q169" s="19">
        <v>347270</v>
      </c>
      <c r="R169" s="772" t="s">
        <v>498</v>
      </c>
      <c r="S169" s="18">
        <v>44792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12.75" customHeight="1">
      <c r="A170" s="15">
        <v>169</v>
      </c>
      <c r="B170" s="736" t="s">
        <v>1555</v>
      </c>
      <c r="C170" s="16" t="s">
        <v>2280</v>
      </c>
      <c r="D170" s="15" t="s">
        <v>3116</v>
      </c>
      <c r="E170" s="2" t="s">
        <v>3197</v>
      </c>
      <c r="F170" s="3" t="s">
        <v>3246</v>
      </c>
      <c r="G170" s="17">
        <v>60487283</v>
      </c>
      <c r="H170" s="2" t="s">
        <v>546</v>
      </c>
      <c r="I170" s="2" t="s">
        <v>2281</v>
      </c>
      <c r="J170" s="2"/>
      <c r="K170" s="18">
        <v>44796</v>
      </c>
      <c r="L170" s="18">
        <v>44796</v>
      </c>
      <c r="M170" s="18">
        <v>44873</v>
      </c>
      <c r="N170" s="1"/>
      <c r="O170" s="19">
        <v>392948</v>
      </c>
      <c r="P170" s="18">
        <v>44873</v>
      </c>
      <c r="Q170" s="19"/>
      <c r="R170" s="772"/>
      <c r="S170" s="18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12.75" customHeight="1">
      <c r="A171" s="15">
        <v>170</v>
      </c>
      <c r="B171" s="736" t="s">
        <v>1555</v>
      </c>
      <c r="C171" s="16" t="s">
        <v>748</v>
      </c>
      <c r="D171" s="15" t="s">
        <v>3110</v>
      </c>
      <c r="E171" s="2" t="s">
        <v>3247</v>
      </c>
      <c r="F171" s="2" t="s">
        <v>3248</v>
      </c>
      <c r="G171" s="17">
        <v>60193492</v>
      </c>
      <c r="H171" s="2" t="s">
        <v>747</v>
      </c>
      <c r="I171" s="2" t="s">
        <v>749</v>
      </c>
      <c r="J171" s="2"/>
      <c r="K171" s="18">
        <v>45292</v>
      </c>
      <c r="L171" s="18">
        <v>45292</v>
      </c>
      <c r="M171" s="18">
        <v>45657</v>
      </c>
      <c r="N171" s="1"/>
      <c r="O171" s="19"/>
      <c r="P171" s="18">
        <v>45657</v>
      </c>
      <c r="Q171" s="19"/>
      <c r="R171" s="772"/>
      <c r="S171" s="18"/>
      <c r="T171" s="2"/>
      <c r="U171" s="2"/>
      <c r="V171" s="2"/>
      <c r="W171" s="2"/>
      <c r="X171" s="2"/>
      <c r="Y171" s="2"/>
      <c r="Z171" s="2" t="s">
        <v>4727</v>
      </c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12.75" customHeight="1">
      <c r="A172" s="15">
        <v>171</v>
      </c>
      <c r="B172" s="736" t="s">
        <v>1555</v>
      </c>
      <c r="C172" s="16" t="s">
        <v>1901</v>
      </c>
      <c r="D172" s="20" t="s">
        <v>3110</v>
      </c>
      <c r="E172" s="2" t="s">
        <v>3247</v>
      </c>
      <c r="F172" s="2" t="s">
        <v>3248</v>
      </c>
      <c r="G172" s="17">
        <v>60193492</v>
      </c>
      <c r="H172" s="2" t="s">
        <v>557</v>
      </c>
      <c r="I172" s="2" t="s">
        <v>1902</v>
      </c>
      <c r="J172" s="2"/>
      <c r="K172" s="18">
        <v>44562</v>
      </c>
      <c r="L172" s="18">
        <v>44562</v>
      </c>
      <c r="M172" s="18">
        <v>44926</v>
      </c>
      <c r="N172" s="1"/>
      <c r="O172" s="19"/>
      <c r="P172" s="18">
        <v>44926</v>
      </c>
      <c r="Q172" s="19"/>
      <c r="R172" s="772"/>
      <c r="S172" s="18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12.75" customHeight="1">
      <c r="A173" s="15">
        <v>172</v>
      </c>
      <c r="B173" s="737" t="s">
        <v>3086</v>
      </c>
      <c r="C173" s="71" t="s">
        <v>106</v>
      </c>
      <c r="D173" s="15" t="s">
        <v>3116</v>
      </c>
      <c r="E173" s="75" t="s">
        <v>3166</v>
      </c>
      <c r="F173" s="75" t="s">
        <v>3249</v>
      </c>
      <c r="G173" s="76">
        <v>60193336</v>
      </c>
      <c r="H173" s="77" t="s">
        <v>105</v>
      </c>
      <c r="I173" s="77" t="s">
        <v>107</v>
      </c>
      <c r="J173" s="77" t="s">
        <v>108</v>
      </c>
      <c r="K173" s="707">
        <v>43255</v>
      </c>
      <c r="L173" s="707">
        <v>43255</v>
      </c>
      <c r="M173" s="707">
        <v>2958465</v>
      </c>
      <c r="N173" s="708"/>
      <c r="O173" s="709">
        <v>363000</v>
      </c>
      <c r="P173" s="707">
        <v>2958465</v>
      </c>
      <c r="Q173" s="709">
        <v>363000</v>
      </c>
      <c r="R173" s="774" t="s">
        <v>109</v>
      </c>
      <c r="S173" s="707">
        <v>43257</v>
      </c>
      <c r="T173" s="77"/>
      <c r="U173" s="3">
        <v>3</v>
      </c>
      <c r="V173" s="77" t="s">
        <v>4625</v>
      </c>
      <c r="W173" s="77" t="s">
        <v>4625</v>
      </c>
      <c r="X173" s="77"/>
      <c r="Y173" s="77" t="s">
        <v>4710</v>
      </c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</row>
    <row r="174" spans="1:38" ht="12.75" customHeight="1">
      <c r="A174" s="15">
        <v>173</v>
      </c>
      <c r="B174" s="737" t="s">
        <v>1555</v>
      </c>
      <c r="C174" s="71" t="s">
        <v>551</v>
      </c>
      <c r="D174" s="739" t="s">
        <v>3116</v>
      </c>
      <c r="E174" s="75" t="s">
        <v>3166</v>
      </c>
      <c r="F174" s="75" t="s">
        <v>3249</v>
      </c>
      <c r="G174" s="76">
        <v>60193336</v>
      </c>
      <c r="H174" s="77" t="s">
        <v>550</v>
      </c>
      <c r="I174" s="77" t="s">
        <v>552</v>
      </c>
      <c r="J174" s="75"/>
      <c r="K174" s="707">
        <v>41599</v>
      </c>
      <c r="L174" s="707">
        <v>41599</v>
      </c>
      <c r="M174" s="707">
        <v>45250</v>
      </c>
      <c r="N174" s="708"/>
      <c r="O174" s="709">
        <v>960000</v>
      </c>
      <c r="P174" s="707">
        <v>45250</v>
      </c>
      <c r="Q174" s="709"/>
      <c r="R174" s="774"/>
      <c r="S174" s="707"/>
      <c r="T174" s="77"/>
      <c r="U174" s="77"/>
      <c r="V174" s="77" t="s">
        <v>3091</v>
      </c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</row>
    <row r="175" spans="1:38" ht="12.75" customHeight="1">
      <c r="A175" s="15">
        <v>174</v>
      </c>
      <c r="B175" s="736" t="s">
        <v>1555</v>
      </c>
      <c r="C175" s="16" t="s">
        <v>906</v>
      </c>
      <c r="D175" s="15" t="s">
        <v>3087</v>
      </c>
      <c r="E175" s="3" t="s">
        <v>3162</v>
      </c>
      <c r="F175" s="3" t="s">
        <v>3250</v>
      </c>
      <c r="G175" s="17">
        <v>60162694</v>
      </c>
      <c r="H175" s="96" t="s">
        <v>830</v>
      </c>
      <c r="I175" s="2" t="s">
        <v>907</v>
      </c>
      <c r="J175" s="2"/>
      <c r="K175" s="18">
        <v>45299</v>
      </c>
      <c r="L175" s="18">
        <v>45299</v>
      </c>
      <c r="M175" s="18">
        <v>45657</v>
      </c>
      <c r="N175" s="1">
        <v>6</v>
      </c>
      <c r="O175" s="19">
        <v>0</v>
      </c>
      <c r="P175" s="18">
        <v>45657</v>
      </c>
      <c r="Q175" s="19"/>
      <c r="R175" s="772"/>
      <c r="S175" s="18"/>
      <c r="T175" s="2"/>
      <c r="U175" s="2"/>
      <c r="V175" s="2"/>
      <c r="W175" s="2" t="s">
        <v>4625</v>
      </c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12.75" customHeight="1">
      <c r="A176" s="15">
        <v>175</v>
      </c>
      <c r="B176" s="736" t="s">
        <v>1555</v>
      </c>
      <c r="C176" s="16" t="s">
        <v>918</v>
      </c>
      <c r="D176" s="21" t="s">
        <v>3087</v>
      </c>
      <c r="E176" s="3" t="s">
        <v>3162</v>
      </c>
      <c r="F176" s="3" t="s">
        <v>3250</v>
      </c>
      <c r="G176" s="17">
        <v>60162694</v>
      </c>
      <c r="H176" s="96" t="s">
        <v>830</v>
      </c>
      <c r="I176" s="2" t="s">
        <v>919</v>
      </c>
      <c r="J176" s="2"/>
      <c r="K176" s="18">
        <v>45302</v>
      </c>
      <c r="L176" s="18">
        <v>45308</v>
      </c>
      <c r="M176" s="18">
        <v>45310</v>
      </c>
      <c r="N176" s="1">
        <v>7</v>
      </c>
      <c r="O176" s="19">
        <v>1500</v>
      </c>
      <c r="P176" s="18">
        <v>45310</v>
      </c>
      <c r="Q176" s="19"/>
      <c r="R176" s="772"/>
      <c r="S176" s="18"/>
      <c r="T176" s="2"/>
      <c r="U176" s="2"/>
      <c r="V176" s="2" t="s">
        <v>3091</v>
      </c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12.75" customHeight="1">
      <c r="A177" s="15">
        <v>176</v>
      </c>
      <c r="B177" s="736" t="s">
        <v>1555</v>
      </c>
      <c r="C177" s="16" t="s">
        <v>939</v>
      </c>
      <c r="D177" s="15" t="s">
        <v>3087</v>
      </c>
      <c r="E177" s="3" t="s">
        <v>3162</v>
      </c>
      <c r="F177" s="3" t="s">
        <v>3250</v>
      </c>
      <c r="G177" s="17">
        <v>60162694</v>
      </c>
      <c r="H177" s="96" t="s">
        <v>830</v>
      </c>
      <c r="I177" s="2" t="s">
        <v>940</v>
      </c>
      <c r="J177" s="2"/>
      <c r="K177" s="18">
        <v>45313</v>
      </c>
      <c r="L177" s="18">
        <v>45313</v>
      </c>
      <c r="M177" s="18">
        <v>45657</v>
      </c>
      <c r="N177" s="1"/>
      <c r="O177" s="19">
        <v>0</v>
      </c>
      <c r="P177" s="18">
        <v>45657</v>
      </c>
      <c r="Q177" s="19"/>
      <c r="R177" s="772"/>
      <c r="S177" s="18"/>
      <c r="T177" s="2"/>
      <c r="U177" s="2"/>
      <c r="V177" s="2"/>
      <c r="W177" s="2" t="s">
        <v>4625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12.75" customHeight="1">
      <c r="A178" s="15">
        <v>177</v>
      </c>
      <c r="B178" s="736" t="s">
        <v>1555</v>
      </c>
      <c r="C178" s="16" t="s">
        <v>2546</v>
      </c>
      <c r="D178" s="15" t="s">
        <v>3087</v>
      </c>
      <c r="E178" s="2" t="s">
        <v>3097</v>
      </c>
      <c r="F178" s="3" t="s">
        <v>3250</v>
      </c>
      <c r="G178" s="17">
        <v>60162694</v>
      </c>
      <c r="H178" s="96" t="s">
        <v>830</v>
      </c>
      <c r="I178" s="2" t="s">
        <v>2547</v>
      </c>
      <c r="J178" s="2"/>
      <c r="K178" s="18">
        <v>44925</v>
      </c>
      <c r="L178" s="18">
        <v>44925</v>
      </c>
      <c r="M178" s="18">
        <v>44957</v>
      </c>
      <c r="N178" s="1"/>
      <c r="O178" s="19"/>
      <c r="P178" s="18">
        <v>44957</v>
      </c>
      <c r="Q178" s="19"/>
      <c r="R178" s="772"/>
      <c r="S178" s="18"/>
    </row>
    <row r="179" spans="1:38" ht="12.75" customHeight="1">
      <c r="A179" s="15">
        <v>178</v>
      </c>
      <c r="B179" s="736" t="s">
        <v>1555</v>
      </c>
      <c r="C179" s="16" t="s">
        <v>2580</v>
      </c>
      <c r="D179" s="15" t="s">
        <v>3087</v>
      </c>
      <c r="E179" s="2" t="s">
        <v>3097</v>
      </c>
      <c r="F179" s="3" t="s">
        <v>3250</v>
      </c>
      <c r="G179" s="17">
        <v>60162694</v>
      </c>
      <c r="H179" s="96" t="s">
        <v>830</v>
      </c>
      <c r="I179" s="2" t="s">
        <v>2581</v>
      </c>
      <c r="J179" s="2"/>
      <c r="K179" s="18">
        <v>44932</v>
      </c>
      <c r="L179" s="18">
        <v>44932</v>
      </c>
      <c r="M179" s="18">
        <v>45291</v>
      </c>
      <c r="N179" s="1"/>
      <c r="O179" s="19"/>
      <c r="P179" s="18">
        <v>45291</v>
      </c>
      <c r="Q179" s="19"/>
      <c r="R179" s="772"/>
      <c r="S179" s="18"/>
    </row>
    <row r="180" spans="1:38" ht="12.75" customHeight="1">
      <c r="A180" s="15">
        <v>179</v>
      </c>
      <c r="B180" s="736" t="s">
        <v>1555</v>
      </c>
      <c r="C180" s="16" t="s">
        <v>2588</v>
      </c>
      <c r="D180" s="15" t="s">
        <v>3087</v>
      </c>
      <c r="E180" s="2" t="s">
        <v>3097</v>
      </c>
      <c r="F180" s="3" t="s">
        <v>3250</v>
      </c>
      <c r="G180" s="17">
        <v>60162694</v>
      </c>
      <c r="H180" s="96" t="s">
        <v>830</v>
      </c>
      <c r="I180" s="2" t="s">
        <v>2589</v>
      </c>
      <c r="J180" s="2"/>
      <c r="K180" s="18">
        <v>44935</v>
      </c>
      <c r="L180" s="18">
        <v>44935</v>
      </c>
      <c r="M180" s="18">
        <v>45291</v>
      </c>
      <c r="N180" s="1"/>
      <c r="O180" s="19"/>
      <c r="P180" s="18">
        <v>45291</v>
      </c>
      <c r="Q180" s="19"/>
      <c r="R180" s="772"/>
      <c r="S180" s="18"/>
    </row>
    <row r="181" spans="1:38" ht="12.75" customHeight="1">
      <c r="A181" s="15">
        <v>180</v>
      </c>
      <c r="B181" s="736" t="s">
        <v>1555</v>
      </c>
      <c r="C181" s="16" t="s">
        <v>2727</v>
      </c>
      <c r="D181" s="15" t="s">
        <v>3087</v>
      </c>
      <c r="E181" s="2" t="s">
        <v>3093</v>
      </c>
      <c r="F181" s="3" t="s">
        <v>3250</v>
      </c>
      <c r="G181" s="17">
        <v>60162694</v>
      </c>
      <c r="H181" s="96" t="s">
        <v>510</v>
      </c>
      <c r="I181" s="2" t="s">
        <v>2728</v>
      </c>
      <c r="J181" s="2"/>
      <c r="K181" s="18">
        <v>45036</v>
      </c>
      <c r="L181" s="18">
        <v>45036</v>
      </c>
      <c r="M181" s="18">
        <v>45050</v>
      </c>
      <c r="N181" s="1"/>
      <c r="O181" s="19"/>
      <c r="P181" s="18">
        <v>45050</v>
      </c>
      <c r="Q181" s="19"/>
      <c r="R181" s="772"/>
      <c r="S181" s="18"/>
    </row>
    <row r="182" spans="1:38" ht="12.75" customHeight="1">
      <c r="A182" s="15">
        <v>181</v>
      </c>
      <c r="B182" s="736" t="s">
        <v>1555</v>
      </c>
      <c r="C182" s="16" t="s">
        <v>2161</v>
      </c>
      <c r="D182" s="20" t="s">
        <v>3087</v>
      </c>
      <c r="E182" s="2" t="s">
        <v>3097</v>
      </c>
      <c r="F182" s="3" t="s">
        <v>3250</v>
      </c>
      <c r="G182" s="17">
        <v>60162694</v>
      </c>
      <c r="H182" s="96" t="s">
        <v>830</v>
      </c>
      <c r="I182" s="2" t="s">
        <v>2162</v>
      </c>
      <c r="J182" s="2"/>
      <c r="K182" s="18">
        <v>44712</v>
      </c>
      <c r="L182" s="18">
        <v>44712</v>
      </c>
      <c r="M182" s="18">
        <v>44963</v>
      </c>
      <c r="N182" s="1"/>
      <c r="O182" s="19">
        <v>3500</v>
      </c>
      <c r="P182" s="18">
        <v>44963</v>
      </c>
      <c r="Q182" s="19"/>
      <c r="R182" s="772"/>
      <c r="S182" s="18"/>
    </row>
    <row r="183" spans="1:38" ht="12.75" customHeight="1">
      <c r="A183" s="15">
        <v>182</v>
      </c>
      <c r="B183" s="736" t="s">
        <v>1555</v>
      </c>
      <c r="C183" s="16" t="s">
        <v>2190</v>
      </c>
      <c r="D183" s="20" t="s">
        <v>3087</v>
      </c>
      <c r="E183" s="2" t="s">
        <v>3097</v>
      </c>
      <c r="F183" s="3" t="s">
        <v>3250</v>
      </c>
      <c r="G183" s="17">
        <v>60162694</v>
      </c>
      <c r="H183" s="96" t="s">
        <v>830</v>
      </c>
      <c r="I183" s="2" t="s">
        <v>2191</v>
      </c>
      <c r="J183" s="2"/>
      <c r="K183" s="18">
        <v>44740</v>
      </c>
      <c r="L183" s="18">
        <v>44740</v>
      </c>
      <c r="M183" s="18">
        <v>44963</v>
      </c>
      <c r="N183" s="1"/>
      <c r="O183" s="19"/>
      <c r="P183" s="18">
        <v>44963</v>
      </c>
      <c r="Q183" s="19"/>
      <c r="R183" s="772"/>
      <c r="S183" s="18"/>
    </row>
    <row r="184" spans="1:38" ht="12.75" customHeight="1">
      <c r="A184" s="15">
        <v>183</v>
      </c>
      <c r="B184" s="736" t="s">
        <v>1555</v>
      </c>
      <c r="C184" s="16" t="s">
        <v>3001</v>
      </c>
      <c r="D184" s="15" t="s">
        <v>3087</v>
      </c>
      <c r="E184" s="2" t="s">
        <v>3097</v>
      </c>
      <c r="F184" s="3" t="s">
        <v>3250</v>
      </c>
      <c r="G184" s="17">
        <v>60162694</v>
      </c>
      <c r="H184" s="96" t="s">
        <v>830</v>
      </c>
      <c r="I184" s="2" t="s">
        <v>3002</v>
      </c>
      <c r="J184" s="2"/>
      <c r="K184" s="18">
        <v>45219</v>
      </c>
      <c r="L184" s="18">
        <v>45261</v>
      </c>
      <c r="M184" s="18">
        <v>45291</v>
      </c>
      <c r="N184" s="1"/>
      <c r="O184" s="19">
        <v>3500</v>
      </c>
      <c r="P184" s="18">
        <v>45291</v>
      </c>
      <c r="Q184" s="19"/>
      <c r="R184" s="772"/>
      <c r="S184" s="18"/>
    </row>
    <row r="185" spans="1:38" ht="12.75" customHeight="1">
      <c r="A185" s="15">
        <v>184</v>
      </c>
      <c r="B185" s="736" t="s">
        <v>1555</v>
      </c>
      <c r="C185" s="16" t="s">
        <v>349</v>
      </c>
      <c r="D185" s="20" t="s">
        <v>3087</v>
      </c>
      <c r="E185" s="2" t="s">
        <v>3202</v>
      </c>
      <c r="F185" s="2" t="s">
        <v>3251</v>
      </c>
      <c r="G185" s="17">
        <v>51026414</v>
      </c>
      <c r="H185" s="2" t="s">
        <v>348</v>
      </c>
      <c r="I185" s="2" t="s">
        <v>350</v>
      </c>
      <c r="J185" s="2"/>
      <c r="K185" s="18">
        <v>44532</v>
      </c>
      <c r="L185" s="18">
        <v>44532</v>
      </c>
      <c r="M185" s="18">
        <v>45495</v>
      </c>
      <c r="N185" s="1">
        <v>6</v>
      </c>
      <c r="O185" s="19">
        <v>21057960</v>
      </c>
      <c r="P185" s="18">
        <v>45495</v>
      </c>
      <c r="Q185" s="19"/>
      <c r="R185" s="772"/>
      <c r="S185" s="18"/>
      <c r="V185" s="15" t="s">
        <v>3091</v>
      </c>
      <c r="W185" s="15"/>
    </row>
    <row r="186" spans="1:38" ht="12.75" customHeight="1">
      <c r="A186" s="15">
        <v>185</v>
      </c>
      <c r="B186" s="737" t="s">
        <v>3086</v>
      </c>
      <c r="C186" s="71" t="s">
        <v>243</v>
      </c>
      <c r="D186" s="740" t="s">
        <v>3087</v>
      </c>
      <c r="E186" s="75" t="s">
        <v>3093</v>
      </c>
      <c r="F186" s="75" t="s">
        <v>3252</v>
      </c>
      <c r="G186" s="76">
        <v>49688804</v>
      </c>
      <c r="H186" s="96" t="s">
        <v>510</v>
      </c>
      <c r="I186" s="77" t="s">
        <v>244</v>
      </c>
      <c r="J186" s="75"/>
      <c r="K186" s="707">
        <v>43986</v>
      </c>
      <c r="L186" s="707">
        <v>43986</v>
      </c>
      <c r="M186" s="707"/>
      <c r="N186" s="708"/>
      <c r="O186" s="709">
        <v>1790</v>
      </c>
      <c r="P186" s="707"/>
      <c r="Q186" s="709"/>
      <c r="R186" s="774"/>
      <c r="S186" s="707"/>
      <c r="T186" s="75"/>
      <c r="U186" s="75"/>
      <c r="V186" s="75"/>
      <c r="W186" s="75"/>
      <c r="X186" s="741" t="s">
        <v>3253</v>
      </c>
      <c r="Y186" s="75" t="s">
        <v>4728</v>
      </c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</row>
    <row r="187" spans="1:38" ht="12.75" customHeight="1">
      <c r="A187" s="15">
        <v>186</v>
      </c>
      <c r="B187" s="738" t="s">
        <v>3086</v>
      </c>
      <c r="C187" s="16" t="s">
        <v>65</v>
      </c>
      <c r="D187" s="15" t="s">
        <v>3110</v>
      </c>
      <c r="E187" s="3" t="s">
        <v>3228</v>
      </c>
      <c r="F187" s="3" t="s">
        <v>3254</v>
      </c>
      <c r="G187" s="17">
        <v>49623877</v>
      </c>
      <c r="H187" s="2" t="s">
        <v>64</v>
      </c>
      <c r="I187" s="2" t="s">
        <v>66</v>
      </c>
      <c r="K187" s="18">
        <v>42948</v>
      </c>
      <c r="L187" s="18">
        <v>42948</v>
      </c>
      <c r="M187" s="18">
        <v>2958465</v>
      </c>
      <c r="N187" s="1"/>
      <c r="O187" s="19">
        <v>4020</v>
      </c>
      <c r="P187" s="18">
        <v>2958465</v>
      </c>
      <c r="Q187" s="19"/>
      <c r="R187" s="772"/>
      <c r="S187" s="18"/>
      <c r="T187" s="3"/>
      <c r="U187" s="3"/>
      <c r="V187" s="3"/>
      <c r="W187" s="3"/>
    </row>
    <row r="188" spans="1:38" ht="12.75" customHeight="1">
      <c r="A188" s="15">
        <v>187</v>
      </c>
      <c r="B188" s="736" t="s">
        <v>1555</v>
      </c>
      <c r="C188" s="16" t="s">
        <v>576</v>
      </c>
      <c r="D188" s="15" t="s">
        <v>3094</v>
      </c>
      <c r="E188" s="2" t="s">
        <v>3202</v>
      </c>
      <c r="F188" s="2" t="s">
        <v>3255</v>
      </c>
      <c r="G188" s="17">
        <v>49621173</v>
      </c>
      <c r="H188" s="2" t="s">
        <v>361</v>
      </c>
      <c r="I188" s="2" t="s">
        <v>577</v>
      </c>
      <c r="J188" s="2"/>
      <c r="K188" s="18">
        <v>44907</v>
      </c>
      <c r="L188" s="18">
        <v>44907</v>
      </c>
      <c r="M188" s="18">
        <v>45271</v>
      </c>
      <c r="N188" s="1">
        <v>6</v>
      </c>
      <c r="O188" s="19">
        <v>1721130.4</v>
      </c>
      <c r="P188" s="18">
        <v>45271</v>
      </c>
      <c r="Q188" s="19">
        <v>1721130.4</v>
      </c>
      <c r="R188" s="772" t="s">
        <v>578</v>
      </c>
      <c r="S188" s="18">
        <v>44907</v>
      </c>
      <c r="T188" s="2"/>
      <c r="U188" s="105"/>
      <c r="V188" s="2" t="s">
        <v>4625</v>
      </c>
      <c r="W188" s="2"/>
      <c r="X188" s="25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12.75" customHeight="1">
      <c r="A189" s="15">
        <v>188</v>
      </c>
      <c r="B189" s="736" t="s">
        <v>1555</v>
      </c>
      <c r="C189" s="16" t="s">
        <v>1864</v>
      </c>
      <c r="D189" s="15" t="s">
        <v>5902</v>
      </c>
      <c r="E189" s="2" t="s">
        <v>3202</v>
      </c>
      <c r="F189" s="2" t="s">
        <v>3255</v>
      </c>
      <c r="G189" s="17">
        <v>49621173</v>
      </c>
      <c r="H189" s="2" t="s">
        <v>361</v>
      </c>
      <c r="I189" s="2" t="s">
        <v>1865</v>
      </c>
      <c r="J189" s="2"/>
      <c r="K189" s="18">
        <v>44518</v>
      </c>
      <c r="L189" s="18">
        <v>44518</v>
      </c>
      <c r="M189" s="18">
        <v>44882</v>
      </c>
      <c r="N189" s="1"/>
      <c r="O189" s="19">
        <v>1953571.45</v>
      </c>
      <c r="P189" s="18">
        <v>44882</v>
      </c>
      <c r="Q189" s="19"/>
      <c r="R189" s="772"/>
      <c r="S189" s="18"/>
      <c r="T189" s="2"/>
      <c r="U189" s="2"/>
      <c r="V189" s="2"/>
      <c r="W189" s="2"/>
      <c r="X189" s="2"/>
      <c r="Y189" s="2" t="s">
        <v>4689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12.75" customHeight="1">
      <c r="A190" s="15">
        <v>189</v>
      </c>
      <c r="B190" s="736" t="s">
        <v>1555</v>
      </c>
      <c r="C190" s="16" t="s">
        <v>463</v>
      </c>
      <c r="D190" s="20" t="s">
        <v>3110</v>
      </c>
      <c r="E190" s="2" t="s">
        <v>3228</v>
      </c>
      <c r="F190" s="3" t="s">
        <v>3256</v>
      </c>
      <c r="G190" s="17">
        <v>49550144</v>
      </c>
      <c r="H190" s="2" t="s">
        <v>462</v>
      </c>
      <c r="I190" s="2" t="s">
        <v>464</v>
      </c>
      <c r="J190" s="2"/>
      <c r="K190" s="18">
        <v>44713</v>
      </c>
      <c r="L190" s="18">
        <v>44713</v>
      </c>
      <c r="M190" s="18">
        <v>45443</v>
      </c>
      <c r="N190" s="1"/>
      <c r="O190" s="19">
        <v>25000</v>
      </c>
      <c r="P190" s="18">
        <v>45443</v>
      </c>
      <c r="Q190" s="19"/>
      <c r="R190" s="772"/>
      <c r="S190" s="18"/>
      <c r="T190" s="2"/>
      <c r="U190" s="2"/>
      <c r="V190" s="2" t="s">
        <v>3091</v>
      </c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12.75" customHeight="1">
      <c r="A191" s="15">
        <v>190</v>
      </c>
      <c r="B191" s="736" t="s">
        <v>1555</v>
      </c>
      <c r="C191" s="16" t="s">
        <v>465</v>
      </c>
      <c r="D191" s="20" t="s">
        <v>3110</v>
      </c>
      <c r="E191" s="2" t="s">
        <v>3228</v>
      </c>
      <c r="F191" s="3" t="s">
        <v>3256</v>
      </c>
      <c r="G191" s="17">
        <v>49550144</v>
      </c>
      <c r="H191" s="2" t="s">
        <v>462</v>
      </c>
      <c r="I191" s="2" t="s">
        <v>466</v>
      </c>
      <c r="J191" s="2"/>
      <c r="K191" s="18">
        <v>44713</v>
      </c>
      <c r="L191" s="18">
        <v>44713</v>
      </c>
      <c r="M191" s="18">
        <v>45443</v>
      </c>
      <c r="N191" s="1"/>
      <c r="O191" s="19">
        <v>2500</v>
      </c>
      <c r="P191" s="18">
        <v>45443</v>
      </c>
      <c r="Q191" s="19"/>
      <c r="R191" s="772"/>
      <c r="S191" s="18"/>
      <c r="T191" s="2"/>
      <c r="U191" s="2"/>
      <c r="V191" s="2" t="s">
        <v>3091</v>
      </c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12.75" customHeight="1">
      <c r="A192" s="15">
        <v>191</v>
      </c>
      <c r="B192" s="736" t="s">
        <v>1555</v>
      </c>
      <c r="C192" s="16" t="s">
        <v>2837</v>
      </c>
      <c r="D192" s="20" t="s">
        <v>3110</v>
      </c>
      <c r="E192" s="2" t="s">
        <v>3092</v>
      </c>
      <c r="F192" s="3" t="s">
        <v>3258</v>
      </c>
      <c r="G192" s="17">
        <v>49534971</v>
      </c>
      <c r="H192" s="2" t="s">
        <v>592</v>
      </c>
      <c r="I192" s="2" t="s">
        <v>2838</v>
      </c>
      <c r="J192" s="2"/>
      <c r="K192" s="18">
        <v>45100</v>
      </c>
      <c r="L192" s="18">
        <v>45100</v>
      </c>
      <c r="M192" s="18">
        <v>45122</v>
      </c>
      <c r="N192" s="1"/>
      <c r="O192" s="19">
        <v>65000</v>
      </c>
      <c r="P192" s="18">
        <v>45122</v>
      </c>
      <c r="Q192" s="19"/>
      <c r="R192" s="772"/>
      <c r="S192" s="18"/>
      <c r="T192" s="2"/>
      <c r="U192" s="2"/>
      <c r="V192" s="3" t="s">
        <v>3091</v>
      </c>
      <c r="W192" s="3" t="s">
        <v>3091</v>
      </c>
      <c r="X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12.75" customHeight="1">
      <c r="A193" s="15">
        <v>192</v>
      </c>
      <c r="B193" s="736" t="s">
        <v>1555</v>
      </c>
      <c r="C193" s="16" t="s">
        <v>788</v>
      </c>
      <c r="D193" s="20" t="s">
        <v>3110</v>
      </c>
      <c r="E193" s="2" t="s">
        <v>3197</v>
      </c>
      <c r="F193" s="2" t="s">
        <v>3259</v>
      </c>
      <c r="G193" s="17">
        <v>49530381</v>
      </c>
      <c r="H193" s="2" t="s">
        <v>546</v>
      </c>
      <c r="I193" s="2" t="s">
        <v>789</v>
      </c>
      <c r="J193" s="2"/>
      <c r="K193" s="18">
        <v>45271</v>
      </c>
      <c r="L193" s="18">
        <v>45271</v>
      </c>
      <c r="M193" s="18">
        <v>45402</v>
      </c>
      <c r="N193" s="1"/>
      <c r="O193" s="19">
        <v>55000</v>
      </c>
      <c r="P193" s="18">
        <v>45402</v>
      </c>
      <c r="Q193" s="19">
        <v>55000</v>
      </c>
      <c r="R193" s="772" t="s">
        <v>790</v>
      </c>
      <c r="S193" s="18">
        <v>45295</v>
      </c>
      <c r="T193" s="2"/>
      <c r="U193" s="2"/>
      <c r="V193" s="2" t="s">
        <v>4625</v>
      </c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12.75" customHeight="1">
      <c r="A194" s="15">
        <v>193</v>
      </c>
      <c r="B194" s="738" t="s">
        <v>3086</v>
      </c>
      <c r="C194" s="16" t="s">
        <v>1145</v>
      </c>
      <c r="D194" s="15" t="s">
        <v>3087</v>
      </c>
      <c r="E194" s="3" t="s">
        <v>3142</v>
      </c>
      <c r="F194" s="3" t="s">
        <v>3260</v>
      </c>
      <c r="G194" s="17">
        <v>49516736</v>
      </c>
      <c r="H194" s="2" t="s">
        <v>118</v>
      </c>
      <c r="I194" s="2" t="s">
        <v>1146</v>
      </c>
      <c r="J194" s="2" t="s">
        <v>1147</v>
      </c>
      <c r="K194" s="18">
        <v>40192</v>
      </c>
      <c r="L194" s="18">
        <v>40192</v>
      </c>
      <c r="M194" s="18">
        <v>2958465</v>
      </c>
      <c r="N194" s="1"/>
      <c r="O194" s="19">
        <v>0</v>
      </c>
      <c r="P194" s="18">
        <v>2958465</v>
      </c>
      <c r="Q194" s="19"/>
      <c r="R194" s="772"/>
      <c r="S194" s="18"/>
      <c r="T194" s="2"/>
      <c r="U194" s="2">
        <v>6</v>
      </c>
      <c r="V194" s="2"/>
      <c r="W194" s="2"/>
      <c r="X194" s="25" t="s">
        <v>3209</v>
      </c>
      <c r="Y194" s="2"/>
      <c r="Z194" s="2" t="s">
        <v>4729</v>
      </c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12.75" customHeight="1">
      <c r="A195" s="15">
        <v>194</v>
      </c>
      <c r="B195" s="737" t="s">
        <v>3086</v>
      </c>
      <c r="C195" s="71" t="s">
        <v>1166</v>
      </c>
      <c r="D195" s="739" t="s">
        <v>3087</v>
      </c>
      <c r="E195" s="75" t="s">
        <v>3261</v>
      </c>
      <c r="F195" s="75" t="s">
        <v>3260</v>
      </c>
      <c r="G195" s="76">
        <v>49516736</v>
      </c>
      <c r="H195" s="77" t="s">
        <v>986</v>
      </c>
      <c r="I195" s="77" t="s">
        <v>1167</v>
      </c>
      <c r="J195" s="2" t="s">
        <v>1168</v>
      </c>
      <c r="K195" s="18">
        <v>40389</v>
      </c>
      <c r="L195" s="18">
        <v>40389</v>
      </c>
      <c r="M195" s="27" t="s">
        <v>3262</v>
      </c>
      <c r="N195" s="1"/>
      <c r="O195" s="19">
        <v>640800</v>
      </c>
      <c r="P195" s="27" t="s">
        <v>3262</v>
      </c>
      <c r="Q195" s="19"/>
      <c r="R195" s="772"/>
      <c r="S195" s="18"/>
      <c r="T195" s="3"/>
      <c r="U195" s="3"/>
      <c r="V195" s="3"/>
      <c r="W195" s="3"/>
      <c r="X195" s="24" t="s">
        <v>3263</v>
      </c>
      <c r="Z195" t="s">
        <v>4730</v>
      </c>
    </row>
    <row r="196" spans="1:38" ht="12.75" customHeight="1">
      <c r="A196" s="15">
        <v>195</v>
      </c>
      <c r="B196" s="736" t="s">
        <v>3086</v>
      </c>
      <c r="C196" s="16" t="s">
        <v>303</v>
      </c>
      <c r="D196" s="15" t="s">
        <v>4667</v>
      </c>
      <c r="E196" s="2" t="s">
        <v>3088</v>
      </c>
      <c r="F196" s="3" t="s">
        <v>3260</v>
      </c>
      <c r="G196" s="17">
        <v>49516736</v>
      </c>
      <c r="H196" s="2" t="s">
        <v>48</v>
      </c>
      <c r="I196" s="2" t="s">
        <v>304</v>
      </c>
      <c r="J196" s="2"/>
      <c r="K196" s="18">
        <v>44253</v>
      </c>
      <c r="L196" s="18">
        <v>44253</v>
      </c>
      <c r="M196" s="18">
        <v>46078</v>
      </c>
      <c r="N196" s="1"/>
      <c r="O196" s="19">
        <v>0</v>
      </c>
      <c r="P196" s="18">
        <v>46078</v>
      </c>
      <c r="Q196" s="19"/>
      <c r="R196" s="772"/>
      <c r="S196" s="18"/>
      <c r="T196" s="3"/>
      <c r="U196" s="3"/>
      <c r="V196" s="3"/>
      <c r="W196" s="3"/>
      <c r="X196" s="24" t="s">
        <v>3264</v>
      </c>
    </row>
    <row r="197" spans="1:38" ht="12.75" customHeight="1">
      <c r="A197" s="15">
        <v>196</v>
      </c>
      <c r="B197" s="736" t="s">
        <v>1555</v>
      </c>
      <c r="C197" s="16" t="s">
        <v>2424</v>
      </c>
      <c r="D197" s="20" t="s">
        <v>3110</v>
      </c>
      <c r="E197" s="2" t="s">
        <v>3958</v>
      </c>
      <c r="F197" s="3" t="s">
        <v>3260</v>
      </c>
      <c r="G197" s="17">
        <v>49516736</v>
      </c>
      <c r="H197" s="2" t="s">
        <v>1905</v>
      </c>
      <c r="I197" s="2" t="s">
        <v>2425</v>
      </c>
      <c r="J197" s="2"/>
      <c r="K197" s="18">
        <v>44837</v>
      </c>
      <c r="L197" s="18">
        <v>44837</v>
      </c>
      <c r="M197" s="18"/>
      <c r="N197" s="1"/>
      <c r="O197" s="19"/>
      <c r="P197" s="18">
        <v>44926</v>
      </c>
      <c r="Q197" s="19"/>
      <c r="R197" s="772"/>
      <c r="S197" s="18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12.75" customHeight="1">
      <c r="A198" s="15">
        <v>197</v>
      </c>
      <c r="B198" s="736" t="s">
        <v>1555</v>
      </c>
      <c r="C198" s="16" t="s">
        <v>2484</v>
      </c>
      <c r="D198" s="20" t="s">
        <v>3110</v>
      </c>
      <c r="E198" s="2" t="s">
        <v>3958</v>
      </c>
      <c r="F198" s="3" t="s">
        <v>3260</v>
      </c>
      <c r="G198" s="17">
        <v>49516736</v>
      </c>
      <c r="H198" s="2" t="s">
        <v>1905</v>
      </c>
      <c r="I198" s="2" t="s">
        <v>2485</v>
      </c>
      <c r="J198" s="2"/>
      <c r="K198" s="18">
        <v>44894</v>
      </c>
      <c r="L198" s="18">
        <v>44894</v>
      </c>
      <c r="M198" s="18">
        <v>44895</v>
      </c>
      <c r="N198" s="1"/>
      <c r="O198" s="19"/>
      <c r="P198" s="18">
        <v>44895</v>
      </c>
      <c r="Q198" s="19"/>
      <c r="R198" s="772"/>
      <c r="S198" s="18"/>
    </row>
    <row r="199" spans="1:38" ht="12.75" customHeight="1">
      <c r="A199" s="15">
        <v>198</v>
      </c>
      <c r="B199" s="736" t="s">
        <v>1555</v>
      </c>
      <c r="C199" s="16" t="s">
        <v>2963</v>
      </c>
      <c r="D199" s="15" t="s">
        <v>3087</v>
      </c>
      <c r="E199" s="2" t="s">
        <v>3093</v>
      </c>
      <c r="F199" s="3" t="s">
        <v>3265</v>
      </c>
      <c r="G199" s="17">
        <v>49366076</v>
      </c>
      <c r="H199" s="96" t="s">
        <v>510</v>
      </c>
      <c r="I199" s="2" t="s">
        <v>2964</v>
      </c>
      <c r="J199" s="2"/>
      <c r="K199" s="18">
        <v>45182</v>
      </c>
      <c r="L199" s="18">
        <v>45182</v>
      </c>
      <c r="M199" s="18">
        <v>45230</v>
      </c>
      <c r="N199" s="1"/>
      <c r="O199" s="19">
        <v>17160</v>
      </c>
      <c r="P199" s="18">
        <v>45230</v>
      </c>
      <c r="Q199" s="19"/>
      <c r="R199" s="772"/>
      <c r="S199" s="18"/>
    </row>
    <row r="200" spans="1:38" ht="15" customHeight="1">
      <c r="A200" s="15">
        <v>199</v>
      </c>
      <c r="B200" s="736" t="s">
        <v>1555</v>
      </c>
      <c r="C200" s="16" t="s">
        <v>2515</v>
      </c>
      <c r="D200" s="20" t="s">
        <v>3087</v>
      </c>
      <c r="E200" s="2" t="s">
        <v>3093</v>
      </c>
      <c r="F200" s="3" t="s">
        <v>3265</v>
      </c>
      <c r="G200" s="17">
        <v>49366076</v>
      </c>
      <c r="H200" s="96" t="s">
        <v>510</v>
      </c>
      <c r="I200" s="2" t="s">
        <v>2516</v>
      </c>
      <c r="J200" s="2"/>
      <c r="K200" s="18">
        <v>44903</v>
      </c>
      <c r="L200" s="18">
        <v>44903</v>
      </c>
      <c r="M200" s="18">
        <v>44985</v>
      </c>
      <c r="N200" s="1"/>
      <c r="O200" s="19">
        <v>48480</v>
      </c>
      <c r="P200" s="18">
        <v>44985</v>
      </c>
      <c r="Q200" s="19"/>
      <c r="R200" s="772"/>
      <c r="S200" s="18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12.75" customHeight="1">
      <c r="A201" s="15">
        <v>200</v>
      </c>
      <c r="B201" s="738" t="s">
        <v>3086</v>
      </c>
      <c r="C201" s="16" t="s">
        <v>1103</v>
      </c>
      <c r="D201" s="15" t="s">
        <v>3110</v>
      </c>
      <c r="E201" s="3" t="s">
        <v>3228</v>
      </c>
      <c r="F201" s="3" t="s">
        <v>3266</v>
      </c>
      <c r="G201" s="17">
        <v>49356089</v>
      </c>
      <c r="H201" s="2" t="s">
        <v>1104</v>
      </c>
      <c r="I201" s="2" t="s">
        <v>1105</v>
      </c>
      <c r="J201" s="2" t="s">
        <v>1106</v>
      </c>
      <c r="K201" s="18">
        <v>39482</v>
      </c>
      <c r="L201" s="18">
        <v>39482</v>
      </c>
      <c r="M201" s="18">
        <v>2958465</v>
      </c>
      <c r="N201" s="1">
        <v>4</v>
      </c>
      <c r="O201" s="19">
        <v>0</v>
      </c>
      <c r="P201" s="18">
        <v>2958465</v>
      </c>
      <c r="Q201" s="19">
        <v>0</v>
      </c>
      <c r="R201" s="772"/>
      <c r="S201" s="18"/>
      <c r="T201" s="2"/>
      <c r="U201" s="2"/>
      <c r="V201" s="2"/>
      <c r="W201" s="2"/>
      <c r="X201" s="25" t="s">
        <v>3267</v>
      </c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12.75" customHeight="1">
      <c r="A202" s="15">
        <v>201</v>
      </c>
      <c r="B202" s="738" t="s">
        <v>3086</v>
      </c>
      <c r="C202" s="16" t="s">
        <v>182</v>
      </c>
      <c r="D202" s="15" t="s">
        <v>3110</v>
      </c>
      <c r="E202" s="3" t="s">
        <v>3228</v>
      </c>
      <c r="F202" s="3" t="s">
        <v>3266</v>
      </c>
      <c r="G202" s="17">
        <v>49356089</v>
      </c>
      <c r="H202" s="2" t="s">
        <v>64</v>
      </c>
      <c r="I202" s="2" t="s">
        <v>183</v>
      </c>
      <c r="K202" s="18">
        <v>43552</v>
      </c>
      <c r="L202" s="18">
        <v>43552</v>
      </c>
      <c r="M202" s="18">
        <v>2958465</v>
      </c>
      <c r="N202" s="1">
        <v>1</v>
      </c>
      <c r="O202" s="19"/>
      <c r="P202" s="18">
        <v>2958465</v>
      </c>
      <c r="Q202" s="19"/>
      <c r="R202" s="772"/>
      <c r="S202" s="18"/>
      <c r="T202" s="2"/>
      <c r="U202" s="2"/>
      <c r="V202" s="2"/>
      <c r="W202" s="2"/>
      <c r="X202" s="25" t="s">
        <v>3268</v>
      </c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12.75" customHeight="1">
      <c r="A203" s="15">
        <v>202</v>
      </c>
      <c r="B203" s="738" t="s">
        <v>3086</v>
      </c>
      <c r="C203" s="16" t="s">
        <v>1260</v>
      </c>
      <c r="D203" s="15" t="s">
        <v>3110</v>
      </c>
      <c r="E203" s="3" t="s">
        <v>3228</v>
      </c>
      <c r="F203" s="3" t="s">
        <v>3266</v>
      </c>
      <c r="G203" s="17">
        <v>49356089</v>
      </c>
      <c r="H203" s="2" t="s">
        <v>64</v>
      </c>
      <c r="I203" s="2" t="s">
        <v>1261</v>
      </c>
      <c r="J203" s="2" t="s">
        <v>1262</v>
      </c>
      <c r="K203" s="18">
        <v>41306</v>
      </c>
      <c r="L203" s="18">
        <v>41306</v>
      </c>
      <c r="M203" s="18">
        <v>2958465</v>
      </c>
      <c r="N203" s="1"/>
      <c r="O203" s="19">
        <v>60000</v>
      </c>
      <c r="P203" s="18">
        <v>2958465</v>
      </c>
      <c r="Q203" s="19">
        <v>0</v>
      </c>
      <c r="R203" s="772"/>
      <c r="S203" s="18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12.75" customHeight="1">
      <c r="A204" s="15">
        <v>203</v>
      </c>
      <c r="B204" s="738" t="s">
        <v>1555</v>
      </c>
      <c r="C204" s="16" t="s">
        <v>1466</v>
      </c>
      <c r="D204" s="15" t="s">
        <v>3110</v>
      </c>
      <c r="E204" s="3" t="s">
        <v>3228</v>
      </c>
      <c r="F204" s="3" t="s">
        <v>3266</v>
      </c>
      <c r="G204" s="17">
        <v>49356089</v>
      </c>
      <c r="H204" s="2" t="s">
        <v>64</v>
      </c>
      <c r="I204" s="2" t="s">
        <v>1467</v>
      </c>
      <c r="J204" s="2" t="s">
        <v>1468</v>
      </c>
      <c r="K204" s="18">
        <v>42389</v>
      </c>
      <c r="L204" s="18">
        <v>42389</v>
      </c>
      <c r="M204" s="18">
        <v>45291</v>
      </c>
      <c r="N204" s="1">
        <v>2</v>
      </c>
      <c r="O204" s="19">
        <v>0</v>
      </c>
      <c r="P204" s="18">
        <v>45291</v>
      </c>
      <c r="Q204" s="19">
        <v>0</v>
      </c>
      <c r="R204" s="772"/>
      <c r="S204" s="18"/>
      <c r="T204" s="2"/>
      <c r="U204" s="2"/>
      <c r="V204" s="2" t="s">
        <v>3091</v>
      </c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12.75" customHeight="1">
      <c r="A205" s="15">
        <v>204</v>
      </c>
      <c r="B205" s="738" t="s">
        <v>3086</v>
      </c>
      <c r="C205" s="16" t="s">
        <v>293</v>
      </c>
      <c r="D205" s="15" t="s">
        <v>3110</v>
      </c>
      <c r="E205" s="3" t="s">
        <v>3228</v>
      </c>
      <c r="F205" s="3" t="s">
        <v>3266</v>
      </c>
      <c r="G205" s="17">
        <v>49356089</v>
      </c>
      <c r="H205" s="2" t="s">
        <v>64</v>
      </c>
      <c r="I205" s="2" t="s">
        <v>294</v>
      </c>
      <c r="J205" s="2" t="s">
        <v>294</v>
      </c>
      <c r="K205" s="18">
        <v>44196</v>
      </c>
      <c r="L205" s="18">
        <v>44197</v>
      </c>
      <c r="M205" s="18">
        <v>2958465</v>
      </c>
      <c r="N205" s="1">
        <v>2</v>
      </c>
      <c r="O205" s="19">
        <v>66500</v>
      </c>
      <c r="P205" s="18">
        <v>2958465</v>
      </c>
      <c r="Q205" s="19">
        <v>40000</v>
      </c>
      <c r="R205" s="772" t="s">
        <v>295</v>
      </c>
      <c r="S205" s="18">
        <v>44215</v>
      </c>
      <c r="T205" s="3"/>
      <c r="U205" s="3"/>
      <c r="V205" s="3"/>
      <c r="W205" s="3"/>
    </row>
    <row r="206" spans="1:38" ht="12.75" customHeight="1">
      <c r="A206" s="15">
        <v>205</v>
      </c>
      <c r="B206" s="736" t="s">
        <v>3086</v>
      </c>
      <c r="C206" s="16" t="s">
        <v>301</v>
      </c>
      <c r="D206" s="15" t="s">
        <v>3110</v>
      </c>
      <c r="E206" s="2" t="s">
        <v>3228</v>
      </c>
      <c r="F206" s="3" t="s">
        <v>3266</v>
      </c>
      <c r="G206" s="17">
        <v>49356089</v>
      </c>
      <c r="H206" s="2" t="s">
        <v>64</v>
      </c>
      <c r="I206" s="2" t="s">
        <v>302</v>
      </c>
      <c r="J206" s="2"/>
      <c r="K206" s="18">
        <v>44228</v>
      </c>
      <c r="L206" s="18">
        <v>44228</v>
      </c>
      <c r="M206" s="18">
        <v>2958465</v>
      </c>
      <c r="N206" s="1">
        <v>2</v>
      </c>
      <c r="O206" s="19">
        <v>25000</v>
      </c>
      <c r="P206" s="18">
        <v>2958465</v>
      </c>
      <c r="Q206" s="19">
        <v>50000</v>
      </c>
      <c r="R206" s="772" t="s">
        <v>3269</v>
      </c>
      <c r="S206" s="18" t="s">
        <v>3270</v>
      </c>
      <c r="T206" s="3"/>
      <c r="U206" s="3"/>
      <c r="V206" s="3"/>
      <c r="W206" s="3"/>
    </row>
    <row r="207" spans="1:38" ht="12.75" customHeight="1">
      <c r="A207" s="15">
        <v>206</v>
      </c>
      <c r="B207" s="736" t="s">
        <v>3086</v>
      </c>
      <c r="C207" s="16" t="s">
        <v>404</v>
      </c>
      <c r="D207" s="15" t="s">
        <v>3110</v>
      </c>
      <c r="E207" s="2" t="s">
        <v>3228</v>
      </c>
      <c r="F207" s="3" t="s">
        <v>3266</v>
      </c>
      <c r="G207" s="17">
        <v>49356089</v>
      </c>
      <c r="H207" s="2" t="s">
        <v>403</v>
      </c>
      <c r="I207" s="2" t="s">
        <v>405</v>
      </c>
      <c r="J207" s="2"/>
      <c r="K207" s="18">
        <v>44603</v>
      </c>
      <c r="L207" s="18">
        <v>44603</v>
      </c>
      <c r="M207" s="18">
        <v>2958465</v>
      </c>
      <c r="N207" s="1">
        <v>1</v>
      </c>
      <c r="O207" s="19">
        <v>60000</v>
      </c>
      <c r="P207" s="18">
        <v>2958465</v>
      </c>
      <c r="Q207" s="19">
        <v>60000</v>
      </c>
      <c r="R207" s="772" t="s">
        <v>5570</v>
      </c>
      <c r="S207" s="18" t="s">
        <v>5571</v>
      </c>
      <c r="T207" s="3"/>
      <c r="U207" s="3"/>
      <c r="V207" s="3"/>
      <c r="W207" s="3"/>
    </row>
    <row r="208" spans="1:38" ht="12.75" customHeight="1">
      <c r="A208" s="15">
        <v>207</v>
      </c>
      <c r="B208" s="736" t="s">
        <v>3086</v>
      </c>
      <c r="C208" s="16" t="s">
        <v>313</v>
      </c>
      <c r="D208" s="15" t="s">
        <v>3110</v>
      </c>
      <c r="E208" s="2" t="s">
        <v>3228</v>
      </c>
      <c r="F208" s="3" t="s">
        <v>3266</v>
      </c>
      <c r="G208" s="17">
        <v>49356089</v>
      </c>
      <c r="H208" s="2" t="s">
        <v>312</v>
      </c>
      <c r="I208" s="2" t="s">
        <v>314</v>
      </c>
      <c r="J208" s="2"/>
      <c r="K208" s="18">
        <v>44300</v>
      </c>
      <c r="L208" s="18">
        <v>45396</v>
      </c>
      <c r="M208" s="18">
        <v>2958465</v>
      </c>
      <c r="N208" s="1">
        <v>4</v>
      </c>
      <c r="O208" s="19">
        <v>10000</v>
      </c>
      <c r="P208" s="18">
        <v>2958465</v>
      </c>
      <c r="Q208" s="19"/>
      <c r="R208" s="772"/>
      <c r="S208" s="18"/>
      <c r="T208" s="3"/>
      <c r="U208" s="3"/>
      <c r="V208" s="3"/>
      <c r="W208" s="3"/>
    </row>
    <row r="209" spans="1:38" ht="12.75" customHeight="1">
      <c r="A209" s="15">
        <v>208</v>
      </c>
      <c r="B209" s="736" t="s">
        <v>3086</v>
      </c>
      <c r="C209" s="16" t="s">
        <v>334</v>
      </c>
      <c r="D209" s="20" t="s">
        <v>3110</v>
      </c>
      <c r="E209" s="2" t="s">
        <v>3228</v>
      </c>
      <c r="F209" s="3" t="s">
        <v>3266</v>
      </c>
      <c r="G209" s="17">
        <v>49356089</v>
      </c>
      <c r="H209" s="2" t="s">
        <v>245</v>
      </c>
      <c r="I209" s="2" t="s">
        <v>335</v>
      </c>
      <c r="J209" s="2"/>
      <c r="K209" s="18">
        <v>44363</v>
      </c>
      <c r="L209" s="18">
        <v>44363</v>
      </c>
      <c r="M209" s="18">
        <v>2958465</v>
      </c>
      <c r="N209" s="1">
        <v>1</v>
      </c>
      <c r="O209" s="19">
        <v>47000</v>
      </c>
      <c r="P209" s="18">
        <v>2958465</v>
      </c>
      <c r="Q209" s="19">
        <v>47000</v>
      </c>
      <c r="R209" s="772" t="s">
        <v>3271</v>
      </c>
      <c r="S209" s="18" t="s">
        <v>3272</v>
      </c>
      <c r="T209" s="3"/>
      <c r="U209" s="3"/>
      <c r="V209" s="3"/>
      <c r="W209" s="3"/>
    </row>
    <row r="210" spans="1:38" ht="12.75" customHeight="1">
      <c r="A210" s="15">
        <v>209</v>
      </c>
      <c r="B210" s="738" t="s">
        <v>3086</v>
      </c>
      <c r="C210" s="16" t="s">
        <v>248</v>
      </c>
      <c r="D210" s="20" t="s">
        <v>3110</v>
      </c>
      <c r="E210" s="3" t="s">
        <v>3228</v>
      </c>
      <c r="F210" s="3" t="s">
        <v>3266</v>
      </c>
      <c r="G210" s="17">
        <v>49356089</v>
      </c>
      <c r="H210" s="2" t="s">
        <v>245</v>
      </c>
      <c r="I210" s="2" t="s">
        <v>249</v>
      </c>
      <c r="K210" s="18">
        <v>44005</v>
      </c>
      <c r="L210" s="18">
        <v>43983</v>
      </c>
      <c r="M210" s="18">
        <v>2958465</v>
      </c>
      <c r="N210" s="1">
        <v>2</v>
      </c>
      <c r="O210" s="19"/>
      <c r="P210" s="18">
        <v>2958465</v>
      </c>
      <c r="Q210" s="19"/>
      <c r="R210" s="772"/>
      <c r="S210" s="18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12.75" customHeight="1">
      <c r="A211" s="15">
        <v>210</v>
      </c>
      <c r="B211" s="736" t="s">
        <v>1555</v>
      </c>
      <c r="C211" s="16" t="s">
        <v>452</v>
      </c>
      <c r="D211" s="20" t="s">
        <v>3110</v>
      </c>
      <c r="E211" s="2" t="s">
        <v>3228</v>
      </c>
      <c r="F211" s="3" t="s">
        <v>3266</v>
      </c>
      <c r="G211" s="17">
        <v>49356089</v>
      </c>
      <c r="H211" s="2" t="s">
        <v>64</v>
      </c>
      <c r="I211" s="2" t="s">
        <v>453</v>
      </c>
      <c r="J211" s="2"/>
      <c r="K211" s="18">
        <v>44729</v>
      </c>
      <c r="L211" s="18">
        <v>44729</v>
      </c>
      <c r="M211" s="18">
        <v>45443</v>
      </c>
      <c r="N211" s="1"/>
      <c r="O211" s="19">
        <v>135000</v>
      </c>
      <c r="P211" s="18">
        <v>45443</v>
      </c>
      <c r="Q211" s="19">
        <v>135000</v>
      </c>
      <c r="R211" s="772" t="s">
        <v>454</v>
      </c>
      <c r="S211" s="18">
        <v>44729</v>
      </c>
      <c r="V211" s="3" t="s">
        <v>3091</v>
      </c>
      <c r="W211" s="3"/>
      <c r="X211" s="3"/>
    </row>
    <row r="212" spans="1:38" ht="12.75" customHeight="1">
      <c r="A212" s="15">
        <v>211</v>
      </c>
      <c r="B212" s="736" t="s">
        <v>3086</v>
      </c>
      <c r="C212" s="16" t="s">
        <v>474</v>
      </c>
      <c r="D212" s="20" t="s">
        <v>3110</v>
      </c>
      <c r="E212" s="2" t="s">
        <v>3228</v>
      </c>
      <c r="F212" s="3" t="s">
        <v>3266</v>
      </c>
      <c r="G212" s="17">
        <v>49356089</v>
      </c>
      <c r="H212" s="2" t="s">
        <v>245</v>
      </c>
      <c r="I212" s="2" t="s">
        <v>475</v>
      </c>
      <c r="J212" s="2"/>
      <c r="K212" s="18">
        <v>44743</v>
      </c>
      <c r="L212" s="18">
        <v>44743</v>
      </c>
      <c r="M212" s="18">
        <v>2958465</v>
      </c>
      <c r="N212" s="1">
        <v>1</v>
      </c>
      <c r="O212" s="19">
        <v>115000</v>
      </c>
      <c r="P212" s="18">
        <v>2958465</v>
      </c>
      <c r="Q212" s="19">
        <v>115000</v>
      </c>
      <c r="R212" s="772">
        <v>19541735.312358499</v>
      </c>
      <c r="S212" s="18" t="s">
        <v>5701</v>
      </c>
      <c r="T212" s="3"/>
      <c r="U212" s="3"/>
      <c r="V212" s="3"/>
      <c r="W212" s="3"/>
    </row>
    <row r="213" spans="1:38" ht="12.75" customHeight="1">
      <c r="A213" s="15">
        <v>212</v>
      </c>
      <c r="B213" s="736" t="s">
        <v>1555</v>
      </c>
      <c r="C213" s="16" t="s">
        <v>1653</v>
      </c>
      <c r="D213" s="20" t="s">
        <v>3110</v>
      </c>
      <c r="E213" s="2" t="s">
        <v>3228</v>
      </c>
      <c r="F213" s="3" t="s">
        <v>3266</v>
      </c>
      <c r="G213" s="17">
        <v>49356089</v>
      </c>
      <c r="H213" s="2" t="s">
        <v>245</v>
      </c>
      <c r="I213" s="2" t="s">
        <v>1654</v>
      </c>
      <c r="J213" s="2"/>
      <c r="K213" s="18">
        <v>44351</v>
      </c>
      <c r="L213" s="18">
        <v>44351</v>
      </c>
      <c r="M213" s="18">
        <v>44927</v>
      </c>
      <c r="N213" s="1"/>
      <c r="O213" s="19">
        <v>32000</v>
      </c>
      <c r="P213" s="18">
        <v>44927</v>
      </c>
      <c r="Q213" s="19"/>
      <c r="R213" s="772"/>
      <c r="S213" s="18"/>
    </row>
    <row r="214" spans="1:38" ht="12.75" customHeight="1">
      <c r="A214" s="15">
        <v>213</v>
      </c>
      <c r="B214" s="736" t="s">
        <v>1555</v>
      </c>
      <c r="C214" s="16" t="s">
        <v>1655</v>
      </c>
      <c r="D214" s="20" t="s">
        <v>3110</v>
      </c>
      <c r="E214" s="2" t="s">
        <v>3228</v>
      </c>
      <c r="F214" s="3" t="s">
        <v>3266</v>
      </c>
      <c r="G214" s="17">
        <v>49356089</v>
      </c>
      <c r="H214" s="2" t="s">
        <v>245</v>
      </c>
      <c r="I214" s="2" t="s">
        <v>1656</v>
      </c>
      <c r="J214" s="2"/>
      <c r="K214" s="18">
        <v>44351</v>
      </c>
      <c r="L214" s="18">
        <v>44351</v>
      </c>
      <c r="M214" s="18">
        <v>44927</v>
      </c>
      <c r="N214" s="1"/>
      <c r="O214" s="19">
        <v>10000</v>
      </c>
      <c r="P214" s="18">
        <v>44927</v>
      </c>
      <c r="Q214" s="19"/>
      <c r="R214" s="772"/>
      <c r="S214" s="18"/>
    </row>
    <row r="215" spans="1:38" ht="12.75" customHeight="1">
      <c r="A215" s="15">
        <v>214</v>
      </c>
      <c r="B215" s="736" t="s">
        <v>1555</v>
      </c>
      <c r="C215" s="16" t="s">
        <v>1671</v>
      </c>
      <c r="D215" s="20" t="s">
        <v>3110</v>
      </c>
      <c r="E215" s="2" t="s">
        <v>3228</v>
      </c>
      <c r="F215" s="3" t="s">
        <v>3266</v>
      </c>
      <c r="G215" s="17">
        <v>49356089</v>
      </c>
      <c r="H215" s="2" t="s">
        <v>245</v>
      </c>
      <c r="I215" s="2" t="s">
        <v>1672</v>
      </c>
      <c r="J215" s="2"/>
      <c r="K215" s="18">
        <v>44363</v>
      </c>
      <c r="L215" s="18">
        <v>44363</v>
      </c>
      <c r="M215" s="18">
        <v>44927</v>
      </c>
      <c r="N215" s="1"/>
      <c r="O215" s="19">
        <v>4000</v>
      </c>
      <c r="P215" s="18">
        <v>44927</v>
      </c>
      <c r="Q215" s="19"/>
      <c r="R215" s="772"/>
      <c r="S215" s="18"/>
    </row>
    <row r="216" spans="1:38" ht="15" customHeight="1">
      <c r="A216" s="15">
        <v>215</v>
      </c>
      <c r="B216" s="738" t="s">
        <v>3086</v>
      </c>
      <c r="C216" s="16" t="s">
        <v>1045</v>
      </c>
      <c r="D216" s="15" t="s">
        <v>3116</v>
      </c>
      <c r="E216" s="3" t="s">
        <v>3273</v>
      </c>
      <c r="F216" s="28" t="s">
        <v>3274</v>
      </c>
      <c r="G216" s="17">
        <v>48907804</v>
      </c>
      <c r="H216" s="2" t="s">
        <v>271</v>
      </c>
      <c r="I216" s="2" t="s">
        <v>1046</v>
      </c>
      <c r="J216" s="2" t="s">
        <v>1046</v>
      </c>
      <c r="K216" s="18">
        <v>38422</v>
      </c>
      <c r="L216" s="18">
        <v>38422</v>
      </c>
      <c r="M216" s="18">
        <v>2958465</v>
      </c>
      <c r="N216" s="1">
        <v>5</v>
      </c>
      <c r="O216" s="19">
        <v>0</v>
      </c>
      <c r="P216" s="18">
        <v>2958465</v>
      </c>
      <c r="Q216" s="19"/>
      <c r="R216" s="772"/>
      <c r="S216" s="18"/>
      <c r="T216" s="2"/>
      <c r="U216" s="3">
        <v>3</v>
      </c>
      <c r="V216" s="2" t="s">
        <v>4625</v>
      </c>
      <c r="W216" s="2" t="s">
        <v>4631</v>
      </c>
      <c r="X216" s="2"/>
      <c r="Y216" s="109" t="s">
        <v>4711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12.75" customHeight="1">
      <c r="A217" s="15">
        <v>216</v>
      </c>
      <c r="B217" s="738" t="s">
        <v>3086</v>
      </c>
      <c r="C217" s="16" t="s">
        <v>1033</v>
      </c>
      <c r="D217" s="15" t="s">
        <v>3110</v>
      </c>
      <c r="E217" s="3" t="s">
        <v>3123</v>
      </c>
      <c r="F217" s="3" t="s">
        <v>3275</v>
      </c>
      <c r="G217" s="17">
        <v>48707996</v>
      </c>
      <c r="H217" s="2" t="s">
        <v>1034</v>
      </c>
      <c r="I217" s="2" t="s">
        <v>1035</v>
      </c>
      <c r="J217" s="2" t="s">
        <v>1036</v>
      </c>
      <c r="K217" s="18">
        <v>38362</v>
      </c>
      <c r="L217" s="18">
        <v>38362</v>
      </c>
      <c r="M217" s="18">
        <v>2958465</v>
      </c>
      <c r="N217" s="1">
        <v>3</v>
      </c>
      <c r="O217" s="19">
        <v>13200</v>
      </c>
      <c r="P217" s="18">
        <v>2958465</v>
      </c>
      <c r="Q217" s="19"/>
      <c r="R217" s="772"/>
      <c r="S217" s="18"/>
      <c r="T217" s="3"/>
      <c r="U217" s="3"/>
      <c r="V217" s="3"/>
      <c r="W217" s="3"/>
      <c r="X217" s="24" t="s">
        <v>3276</v>
      </c>
    </row>
    <row r="218" spans="1:38" ht="12.75" customHeight="1">
      <c r="A218" s="15">
        <v>217</v>
      </c>
      <c r="B218" s="736" t="s">
        <v>1555</v>
      </c>
      <c r="C218" s="16" t="s">
        <v>2082</v>
      </c>
      <c r="D218" s="20" t="s">
        <v>3087</v>
      </c>
      <c r="E218" s="2" t="s">
        <v>3097</v>
      </c>
      <c r="F218" s="3" t="s">
        <v>3277</v>
      </c>
      <c r="G218" s="17">
        <v>48663905</v>
      </c>
      <c r="H218" s="96" t="s">
        <v>830</v>
      </c>
      <c r="I218" s="2" t="s">
        <v>2083</v>
      </c>
      <c r="J218" s="2"/>
      <c r="K218" s="18">
        <v>44672</v>
      </c>
      <c r="L218" s="18">
        <v>44672</v>
      </c>
      <c r="M218" s="18">
        <v>44773</v>
      </c>
      <c r="N218" s="1"/>
      <c r="O218" s="19">
        <v>3500</v>
      </c>
      <c r="P218" s="18">
        <v>44773</v>
      </c>
      <c r="Q218" s="19"/>
      <c r="R218" s="772"/>
      <c r="S218" s="18"/>
    </row>
    <row r="219" spans="1:38" ht="12.75" customHeight="1">
      <c r="A219" s="15">
        <v>218</v>
      </c>
      <c r="B219" s="736" t="s">
        <v>1555</v>
      </c>
      <c r="C219" s="16" t="s">
        <v>1585</v>
      </c>
      <c r="D219" s="20" t="s">
        <v>3087</v>
      </c>
      <c r="E219" s="2" t="s">
        <v>3197</v>
      </c>
      <c r="F219" s="3" t="s">
        <v>3278</v>
      </c>
      <c r="G219" s="17">
        <v>48586285</v>
      </c>
      <c r="H219" s="2" t="s">
        <v>546</v>
      </c>
      <c r="I219" s="2" t="s">
        <v>1586</v>
      </c>
      <c r="J219" s="2"/>
      <c r="K219" s="18">
        <v>44273</v>
      </c>
      <c r="L219" s="18">
        <v>44273</v>
      </c>
      <c r="M219" s="18">
        <v>44348</v>
      </c>
      <c r="N219" s="1"/>
      <c r="O219" s="19">
        <v>289327</v>
      </c>
      <c r="P219" s="18">
        <v>44348</v>
      </c>
      <c r="Q219" s="19"/>
      <c r="R219" s="772"/>
      <c r="S219" s="18"/>
    </row>
    <row r="220" spans="1:38" ht="12.75" customHeight="1">
      <c r="A220" s="15">
        <v>219</v>
      </c>
      <c r="B220" s="736" t="s">
        <v>1555</v>
      </c>
      <c r="C220" s="16" t="s">
        <v>1971</v>
      </c>
      <c r="D220" s="20" t="s">
        <v>3087</v>
      </c>
      <c r="E220" s="2" t="s">
        <v>3202</v>
      </c>
      <c r="F220" s="2" t="s">
        <v>3278</v>
      </c>
      <c r="G220" s="17">
        <v>48586285</v>
      </c>
      <c r="H220" s="2" t="s">
        <v>1970</v>
      </c>
      <c r="I220" s="2" t="s">
        <v>1972</v>
      </c>
      <c r="J220" s="2"/>
      <c r="K220" s="18">
        <v>44602</v>
      </c>
      <c r="L220" s="18">
        <v>44602</v>
      </c>
      <c r="M220" s="18">
        <v>44926</v>
      </c>
      <c r="N220" s="1"/>
      <c r="O220" s="19">
        <v>500000</v>
      </c>
      <c r="P220" s="18">
        <v>44926</v>
      </c>
      <c r="Q220" s="19"/>
      <c r="R220" s="772"/>
      <c r="S220" s="18"/>
    </row>
    <row r="221" spans="1:38" ht="12.75" customHeight="1">
      <c r="A221" s="15">
        <v>220</v>
      </c>
      <c r="B221" s="738" t="s">
        <v>3086</v>
      </c>
      <c r="C221" s="16" t="s">
        <v>89</v>
      </c>
      <c r="D221" s="15" t="s">
        <v>3087</v>
      </c>
      <c r="E221" s="3" t="s">
        <v>3132</v>
      </c>
      <c r="F221" s="3" t="s">
        <v>3279</v>
      </c>
      <c r="G221" s="17">
        <v>48134821</v>
      </c>
      <c r="H221" s="2" t="s">
        <v>48</v>
      </c>
      <c r="I221" s="2" t="s">
        <v>90</v>
      </c>
      <c r="J221" s="2" t="s">
        <v>91</v>
      </c>
      <c r="K221" s="18">
        <v>43175</v>
      </c>
      <c r="L221" s="18">
        <v>43175</v>
      </c>
      <c r="M221" s="18">
        <v>46461</v>
      </c>
      <c r="N221" s="1"/>
      <c r="O221" s="19">
        <v>1</v>
      </c>
      <c r="P221" s="18">
        <v>46461</v>
      </c>
      <c r="Q221" s="19">
        <v>1</v>
      </c>
      <c r="R221" s="772" t="s">
        <v>92</v>
      </c>
      <c r="S221" s="18">
        <v>43178</v>
      </c>
      <c r="T221" s="3"/>
      <c r="U221" s="3">
        <v>3</v>
      </c>
      <c r="V221" s="3"/>
      <c r="W221" s="3"/>
      <c r="Y221" t="s">
        <v>4731</v>
      </c>
    </row>
    <row r="222" spans="1:38" ht="12.75" customHeight="1">
      <c r="A222" s="3">
        <v>221</v>
      </c>
      <c r="B222" s="737" t="s">
        <v>3086</v>
      </c>
      <c r="C222" s="16" t="s">
        <v>1163</v>
      </c>
      <c r="D222" s="21" t="s">
        <v>3087</v>
      </c>
      <c r="E222" s="3" t="s">
        <v>3261</v>
      </c>
      <c r="F222" s="3" t="s">
        <v>3279</v>
      </c>
      <c r="G222" s="17">
        <v>48134821</v>
      </c>
      <c r="H222" s="2" t="s">
        <v>986</v>
      </c>
      <c r="I222" s="2" t="s">
        <v>1164</v>
      </c>
      <c r="J222" s="2" t="s">
        <v>1165</v>
      </c>
      <c r="K222" s="18">
        <v>40389</v>
      </c>
      <c r="L222" s="18">
        <v>40389</v>
      </c>
      <c r="M222" s="18" t="s">
        <v>3280</v>
      </c>
      <c r="N222" s="1"/>
      <c r="O222" s="19">
        <v>602500</v>
      </c>
      <c r="P222" s="18">
        <v>2958465</v>
      </c>
      <c r="Q222" s="19">
        <v>36150000</v>
      </c>
      <c r="R222" s="772">
        <v>32180033</v>
      </c>
      <c r="S222" s="18">
        <v>45873</v>
      </c>
      <c r="T222" s="2"/>
      <c r="U222" s="2">
        <v>3</v>
      </c>
      <c r="V222" s="2"/>
      <c r="W222" s="2"/>
      <c r="X222" s="2"/>
      <c r="Y222" t="s">
        <v>4731</v>
      </c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12.75" customHeight="1">
      <c r="A223" s="15">
        <v>222</v>
      </c>
      <c r="B223" s="738" t="s">
        <v>3086</v>
      </c>
      <c r="C223" s="16" t="s">
        <v>46</v>
      </c>
      <c r="D223" s="15" t="s">
        <v>3087</v>
      </c>
      <c r="E223" s="3" t="s">
        <v>3132</v>
      </c>
      <c r="F223" s="3" t="s">
        <v>3279</v>
      </c>
      <c r="G223" s="17">
        <v>48134821</v>
      </c>
      <c r="H223" s="2" t="s">
        <v>48</v>
      </c>
      <c r="I223" s="2" t="s">
        <v>47</v>
      </c>
      <c r="J223" s="2" t="s">
        <v>48</v>
      </c>
      <c r="K223" s="18">
        <v>42884</v>
      </c>
      <c r="L223" s="18">
        <v>42884</v>
      </c>
      <c r="M223" s="18">
        <v>46535</v>
      </c>
      <c r="N223" s="1"/>
      <c r="O223" s="19"/>
      <c r="P223" s="18">
        <v>46535</v>
      </c>
      <c r="Q223" s="19">
        <v>0</v>
      </c>
      <c r="R223" s="772" t="s">
        <v>49</v>
      </c>
      <c r="S223" s="18">
        <v>42884</v>
      </c>
      <c r="T223" s="3"/>
      <c r="U223" s="3">
        <v>3</v>
      </c>
      <c r="V223" s="3"/>
      <c r="W223" s="3"/>
      <c r="Y223" t="s">
        <v>4731</v>
      </c>
    </row>
    <row r="224" spans="1:38" ht="12.75" customHeight="1">
      <c r="A224" s="15">
        <v>223</v>
      </c>
      <c r="B224" s="738" t="s">
        <v>3086</v>
      </c>
      <c r="C224" s="16" t="s">
        <v>1222</v>
      </c>
      <c r="D224" s="2" t="s">
        <v>3110</v>
      </c>
      <c r="E224" s="3" t="s">
        <v>3132</v>
      </c>
      <c r="F224" s="3" t="s">
        <v>3279</v>
      </c>
      <c r="G224" s="17">
        <v>48134821</v>
      </c>
      <c r="H224" s="2" t="s">
        <v>48</v>
      </c>
      <c r="I224" s="2" t="s">
        <v>1223</v>
      </c>
      <c r="J224" s="2" t="s">
        <v>1224</v>
      </c>
      <c r="K224" s="18">
        <v>40812</v>
      </c>
      <c r="L224" s="18">
        <v>40812</v>
      </c>
      <c r="M224" s="18">
        <v>2958465</v>
      </c>
      <c r="N224" s="1"/>
      <c r="O224" s="19">
        <v>259718.5</v>
      </c>
      <c r="P224" s="18">
        <v>2958455</v>
      </c>
      <c r="Q224" s="19">
        <v>0</v>
      </c>
      <c r="R224" s="772"/>
      <c r="S224" s="18"/>
      <c r="T224" s="3"/>
      <c r="U224" s="3"/>
      <c r="X224" s="24" t="s">
        <v>3281</v>
      </c>
    </row>
    <row r="225" spans="1:38" ht="12.75" customHeight="1">
      <c r="A225" s="15">
        <v>224</v>
      </c>
      <c r="B225" s="738" t="s">
        <v>3086</v>
      </c>
      <c r="C225" s="16" t="s">
        <v>233</v>
      </c>
      <c r="D225" s="15" t="s">
        <v>3087</v>
      </c>
      <c r="E225" s="2" t="s">
        <v>3093</v>
      </c>
      <c r="F225" s="3" t="s">
        <v>3279</v>
      </c>
      <c r="G225" s="17">
        <v>48134821</v>
      </c>
      <c r="H225" s="2" t="s">
        <v>232</v>
      </c>
      <c r="I225" s="2" t="s">
        <v>234</v>
      </c>
      <c r="K225" s="18">
        <v>43888</v>
      </c>
      <c r="L225" s="18">
        <v>43891</v>
      </c>
      <c r="M225" s="18">
        <v>46022</v>
      </c>
      <c r="N225" s="1"/>
      <c r="O225" s="19">
        <v>0</v>
      </c>
      <c r="P225" s="18">
        <v>46022</v>
      </c>
      <c r="Q225" s="19"/>
      <c r="R225" s="772"/>
      <c r="S225" s="18"/>
      <c r="T225" s="3"/>
      <c r="U225" s="3"/>
      <c r="V225" s="3"/>
      <c r="W225" s="3"/>
      <c r="Y225" t="s">
        <v>4732</v>
      </c>
    </row>
    <row r="226" spans="1:38" ht="13.2">
      <c r="A226" s="15">
        <v>225</v>
      </c>
      <c r="B226" s="736" t="s">
        <v>1555</v>
      </c>
      <c r="C226" s="16" t="s">
        <v>354</v>
      </c>
      <c r="D226" s="15" t="s">
        <v>4667</v>
      </c>
      <c r="E226" s="2" t="s">
        <v>3088</v>
      </c>
      <c r="F226" s="3" t="s">
        <v>3279</v>
      </c>
      <c r="G226" s="17">
        <v>48134821</v>
      </c>
      <c r="H226" s="2" t="s">
        <v>48</v>
      </c>
      <c r="I226" s="2" t="s">
        <v>355</v>
      </c>
      <c r="J226" s="2"/>
      <c r="K226" s="18">
        <v>44511</v>
      </c>
      <c r="L226" s="18">
        <v>44511</v>
      </c>
      <c r="M226" s="18">
        <v>45554</v>
      </c>
      <c r="N226" s="1"/>
      <c r="O226" s="19"/>
      <c r="P226" s="18">
        <v>45554</v>
      </c>
      <c r="Q226" s="19"/>
      <c r="R226" s="772"/>
      <c r="S226" s="18"/>
      <c r="T226" s="2"/>
      <c r="U226" s="2"/>
      <c r="X226" s="25" t="s">
        <v>3282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12.75" customHeight="1">
      <c r="A227" s="15">
        <v>226</v>
      </c>
      <c r="B227" s="736" t="s">
        <v>1555</v>
      </c>
      <c r="C227" s="16" t="s">
        <v>1723</v>
      </c>
      <c r="D227" s="20" t="s">
        <v>3087</v>
      </c>
      <c r="E227" s="2" t="s">
        <v>3093</v>
      </c>
      <c r="F227" s="3" t="s">
        <v>3279</v>
      </c>
      <c r="G227" s="17">
        <v>48134821</v>
      </c>
      <c r="H227" s="96" t="s">
        <v>510</v>
      </c>
      <c r="I227" s="2" t="s">
        <v>1724</v>
      </c>
      <c r="J227" s="2"/>
      <c r="K227" s="18">
        <v>44378</v>
      </c>
      <c r="L227" s="18">
        <v>44378</v>
      </c>
      <c r="M227" s="18">
        <v>44439</v>
      </c>
      <c r="N227" s="1"/>
      <c r="O227" s="19"/>
      <c r="P227" s="18">
        <v>44439</v>
      </c>
      <c r="Q227" s="19"/>
      <c r="R227" s="772"/>
      <c r="S227" s="18"/>
    </row>
    <row r="228" spans="1:38" ht="12.75" customHeight="1">
      <c r="A228" s="15">
        <v>227</v>
      </c>
      <c r="B228" s="736" t="s">
        <v>1555</v>
      </c>
      <c r="C228" s="16" t="s">
        <v>2741</v>
      </c>
      <c r="D228" s="15" t="s">
        <v>3087</v>
      </c>
      <c r="E228" s="2" t="s">
        <v>3093</v>
      </c>
      <c r="F228" s="3" t="s">
        <v>3279</v>
      </c>
      <c r="G228" s="17">
        <v>48134821</v>
      </c>
      <c r="H228" s="2" t="s">
        <v>467</v>
      </c>
      <c r="I228" s="2" t="s">
        <v>2742</v>
      </c>
      <c r="J228" s="2"/>
      <c r="K228" s="18">
        <v>45079</v>
      </c>
      <c r="L228" s="18">
        <v>45079</v>
      </c>
      <c r="M228" s="18">
        <v>45169</v>
      </c>
      <c r="N228" s="1"/>
      <c r="O228" s="19">
        <v>50000</v>
      </c>
      <c r="P228" s="18">
        <v>45169</v>
      </c>
      <c r="Q228" s="19"/>
      <c r="R228" s="772"/>
      <c r="S228" s="18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12.75" customHeight="1">
      <c r="A229" s="15">
        <v>228</v>
      </c>
      <c r="B229" s="736" t="s">
        <v>1555</v>
      </c>
      <c r="C229" s="16" t="s">
        <v>2216</v>
      </c>
      <c r="D229" s="20" t="s">
        <v>3087</v>
      </c>
      <c r="E229" s="2" t="s">
        <v>3093</v>
      </c>
      <c r="F229" s="3" t="s">
        <v>3279</v>
      </c>
      <c r="G229" s="17">
        <v>48134821</v>
      </c>
      <c r="H229" s="2" t="s">
        <v>467</v>
      </c>
      <c r="I229" s="2" t="s">
        <v>2217</v>
      </c>
      <c r="J229" s="2"/>
      <c r="K229" s="18">
        <v>44770</v>
      </c>
      <c r="L229" s="18">
        <v>44770</v>
      </c>
      <c r="M229" s="18">
        <v>44804</v>
      </c>
      <c r="N229" s="1"/>
      <c r="O229" s="19">
        <v>50000</v>
      </c>
      <c r="P229" s="18">
        <v>44804</v>
      </c>
      <c r="Q229" s="19"/>
      <c r="R229" s="772"/>
      <c r="S229" s="18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12.75" customHeight="1">
      <c r="A230" s="15">
        <v>229</v>
      </c>
      <c r="B230" s="736" t="s">
        <v>1555</v>
      </c>
      <c r="C230" s="16" t="s">
        <v>1591</v>
      </c>
      <c r="D230" s="20" t="s">
        <v>3110</v>
      </c>
      <c r="E230" s="2" t="s">
        <v>3225</v>
      </c>
      <c r="F230" s="3" t="s">
        <v>3283</v>
      </c>
      <c r="G230" s="17">
        <v>48033758</v>
      </c>
      <c r="H230" s="2" t="s">
        <v>482</v>
      </c>
      <c r="I230" s="2" t="s">
        <v>1592</v>
      </c>
      <c r="J230" s="2"/>
      <c r="K230" s="18">
        <v>44273</v>
      </c>
      <c r="L230" s="18">
        <v>44273</v>
      </c>
      <c r="M230" s="18">
        <v>44306</v>
      </c>
      <c r="N230" s="1"/>
      <c r="O230" s="19">
        <v>138843</v>
      </c>
      <c r="P230" s="18">
        <v>44306</v>
      </c>
      <c r="Q230" s="19"/>
      <c r="R230" s="772"/>
      <c r="S230" s="18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12.75" customHeight="1">
      <c r="A231" s="15">
        <v>230</v>
      </c>
      <c r="B231" s="736" t="s">
        <v>1555</v>
      </c>
      <c r="C231" s="16" t="s">
        <v>1601</v>
      </c>
      <c r="D231" s="20" t="s">
        <v>3110</v>
      </c>
      <c r="E231" s="2" t="s">
        <v>3225</v>
      </c>
      <c r="F231" s="3" t="s">
        <v>3283</v>
      </c>
      <c r="G231" s="17">
        <v>48033758</v>
      </c>
      <c r="H231" s="2" t="s">
        <v>482</v>
      </c>
      <c r="I231" s="2" t="s">
        <v>1602</v>
      </c>
      <c r="J231" s="2"/>
      <c r="K231" s="18">
        <v>44287</v>
      </c>
      <c r="L231" s="18">
        <v>44287</v>
      </c>
      <c r="M231" s="18">
        <v>44306</v>
      </c>
      <c r="N231" s="1"/>
      <c r="O231" s="19">
        <v>148760</v>
      </c>
      <c r="P231" s="18">
        <v>44306</v>
      </c>
      <c r="Q231" s="19"/>
      <c r="R231" s="772"/>
      <c r="S231" s="18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12.75" customHeight="1">
      <c r="A232" s="15">
        <v>231</v>
      </c>
      <c r="B232" s="736" t="s">
        <v>1555</v>
      </c>
      <c r="C232" s="16" t="s">
        <v>1634</v>
      </c>
      <c r="D232" s="20" t="s">
        <v>3110</v>
      </c>
      <c r="E232" s="2" t="s">
        <v>3225</v>
      </c>
      <c r="F232" s="3" t="s">
        <v>3283</v>
      </c>
      <c r="G232" s="17">
        <v>48033758</v>
      </c>
      <c r="H232" s="2" t="s">
        <v>1633</v>
      </c>
      <c r="I232" s="2" t="s">
        <v>1635</v>
      </c>
      <c r="J232" s="2"/>
      <c r="K232" s="18">
        <v>44337</v>
      </c>
      <c r="L232" s="18">
        <v>44337</v>
      </c>
      <c r="M232" s="18">
        <v>44348</v>
      </c>
      <c r="N232" s="1"/>
      <c r="O232" s="19">
        <v>117355</v>
      </c>
      <c r="P232" s="18">
        <v>44348</v>
      </c>
      <c r="Q232" s="19"/>
      <c r="R232" s="772"/>
      <c r="S232" s="18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12.75" customHeight="1">
      <c r="A233" s="15">
        <v>232</v>
      </c>
      <c r="B233" s="736" t="s">
        <v>1555</v>
      </c>
      <c r="C233" s="16" t="s">
        <v>2609</v>
      </c>
      <c r="D233" s="15" t="s">
        <v>3110</v>
      </c>
      <c r="E233" s="2" t="s">
        <v>3197</v>
      </c>
      <c r="F233" s="3" t="s">
        <v>3283</v>
      </c>
      <c r="G233" s="17">
        <v>48033758</v>
      </c>
      <c r="H233" s="2" t="s">
        <v>546</v>
      </c>
      <c r="I233" s="2" t="s">
        <v>2610</v>
      </c>
      <c r="J233" s="2"/>
      <c r="K233" s="18">
        <v>44971</v>
      </c>
      <c r="L233" s="18">
        <v>44971</v>
      </c>
      <c r="M233" s="18">
        <v>45047</v>
      </c>
      <c r="N233" s="1"/>
      <c r="O233" s="19">
        <v>138198</v>
      </c>
      <c r="P233" s="18">
        <v>45047</v>
      </c>
      <c r="Q233" s="19"/>
      <c r="R233" s="772"/>
      <c r="S233" s="18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12.75" customHeight="1">
      <c r="A234" s="15">
        <v>233</v>
      </c>
      <c r="B234" s="736" t="s">
        <v>1555</v>
      </c>
      <c r="C234" s="16" t="s">
        <v>2621</v>
      </c>
      <c r="D234" s="15" t="s">
        <v>3110</v>
      </c>
      <c r="E234" s="2" t="s">
        <v>3197</v>
      </c>
      <c r="F234" s="3" t="s">
        <v>3283</v>
      </c>
      <c r="G234" s="17">
        <v>48033758</v>
      </c>
      <c r="H234" s="2" t="s">
        <v>546</v>
      </c>
      <c r="I234" s="2" t="s">
        <v>2622</v>
      </c>
      <c r="J234" s="2"/>
      <c r="K234" s="18">
        <v>44987</v>
      </c>
      <c r="L234" s="18">
        <v>44987</v>
      </c>
      <c r="M234" s="18">
        <v>45050</v>
      </c>
      <c r="N234" s="1"/>
      <c r="O234" s="19">
        <v>317952.90999999997</v>
      </c>
      <c r="P234" s="18">
        <v>45050</v>
      </c>
      <c r="Q234" s="19"/>
      <c r="R234" s="772"/>
      <c r="S234" s="18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12.75" customHeight="1">
      <c r="A235" s="15">
        <v>234</v>
      </c>
      <c r="B235" s="736" t="s">
        <v>1555</v>
      </c>
      <c r="C235" s="16" t="s">
        <v>2053</v>
      </c>
      <c r="D235" s="20" t="s">
        <v>3110</v>
      </c>
      <c r="E235" s="2" t="s">
        <v>3197</v>
      </c>
      <c r="F235" s="3" t="s">
        <v>3283</v>
      </c>
      <c r="G235" s="17">
        <v>48033758</v>
      </c>
      <c r="H235" s="2" t="s">
        <v>677</v>
      </c>
      <c r="I235" s="2" t="s">
        <v>2054</v>
      </c>
      <c r="J235" s="2"/>
      <c r="K235" s="18">
        <v>44671</v>
      </c>
      <c r="L235" s="18">
        <v>44671</v>
      </c>
      <c r="M235" s="18">
        <v>44833</v>
      </c>
      <c r="N235" s="1"/>
      <c r="O235" s="19">
        <v>296686.59999999998</v>
      </c>
      <c r="P235" s="18">
        <v>44833</v>
      </c>
      <c r="Q235" s="19"/>
      <c r="R235" s="772"/>
      <c r="S235" s="18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12.75" customHeight="1">
      <c r="A236" s="15">
        <v>235</v>
      </c>
      <c r="B236" s="736" t="s">
        <v>1555</v>
      </c>
      <c r="C236" s="16" t="s">
        <v>2055</v>
      </c>
      <c r="D236" s="20" t="s">
        <v>3110</v>
      </c>
      <c r="E236" s="2" t="s">
        <v>3225</v>
      </c>
      <c r="F236" s="3" t="s">
        <v>3283</v>
      </c>
      <c r="G236" s="17">
        <v>48033758</v>
      </c>
      <c r="H236" s="2" t="s">
        <v>482</v>
      </c>
      <c r="I236" s="2" t="s">
        <v>2056</v>
      </c>
      <c r="J236" s="2"/>
      <c r="K236" s="18">
        <v>44672</v>
      </c>
      <c r="L236" s="18">
        <v>44672</v>
      </c>
      <c r="M236" s="18">
        <v>44855</v>
      </c>
      <c r="N236" s="1"/>
      <c r="O236" s="19">
        <v>553000</v>
      </c>
      <c r="P236" s="18">
        <v>44855</v>
      </c>
      <c r="Q236" s="19"/>
      <c r="R236" s="772"/>
      <c r="S236" s="18"/>
    </row>
    <row r="237" spans="1:38" ht="12.75" customHeight="1">
      <c r="A237" s="15">
        <v>236</v>
      </c>
      <c r="B237" s="736" t="s">
        <v>1555</v>
      </c>
      <c r="C237" s="16" t="s">
        <v>2673</v>
      </c>
      <c r="D237" s="15" t="s">
        <v>3110</v>
      </c>
      <c r="E237" s="2" t="s">
        <v>3197</v>
      </c>
      <c r="F237" s="3" t="s">
        <v>3283</v>
      </c>
      <c r="G237" s="17">
        <v>48033758</v>
      </c>
      <c r="H237" s="2" t="s">
        <v>546</v>
      </c>
      <c r="I237" s="2" t="s">
        <v>2674</v>
      </c>
      <c r="J237" s="2"/>
      <c r="K237" s="18">
        <v>45006</v>
      </c>
      <c r="L237" s="18">
        <v>45006</v>
      </c>
      <c r="M237" s="18">
        <v>45050</v>
      </c>
      <c r="N237" s="1"/>
      <c r="O237" s="19">
        <v>139392</v>
      </c>
      <c r="P237" s="18">
        <v>45050</v>
      </c>
      <c r="Q237" s="19"/>
      <c r="R237" s="772"/>
      <c r="S237" s="18"/>
    </row>
    <row r="238" spans="1:38" ht="12.75" customHeight="1">
      <c r="A238" s="15">
        <v>237</v>
      </c>
      <c r="B238" s="736" t="s">
        <v>1555</v>
      </c>
      <c r="C238" s="16" t="s">
        <v>2675</v>
      </c>
      <c r="D238" s="15" t="s">
        <v>3110</v>
      </c>
      <c r="E238" s="2" t="s">
        <v>3197</v>
      </c>
      <c r="F238" s="3" t="s">
        <v>3283</v>
      </c>
      <c r="G238" s="17">
        <v>48033758</v>
      </c>
      <c r="H238" s="2" t="s">
        <v>546</v>
      </c>
      <c r="I238" s="2" t="s">
        <v>2676</v>
      </c>
      <c r="J238" s="2"/>
      <c r="K238" s="18">
        <v>45006</v>
      </c>
      <c r="L238" s="18">
        <v>45006</v>
      </c>
      <c r="M238" s="18">
        <v>45056</v>
      </c>
      <c r="N238" s="1"/>
      <c r="O238" s="19">
        <v>318315.90999999997</v>
      </c>
      <c r="P238" s="18">
        <v>45056</v>
      </c>
      <c r="Q238" s="19"/>
      <c r="R238" s="772"/>
      <c r="S238" s="18"/>
    </row>
    <row r="239" spans="1:38" ht="12.75" customHeight="1">
      <c r="A239" s="15">
        <v>238</v>
      </c>
      <c r="B239" s="736" t="s">
        <v>1555</v>
      </c>
      <c r="C239" s="16" t="s">
        <v>1779</v>
      </c>
      <c r="D239" s="20" t="s">
        <v>3110</v>
      </c>
      <c r="E239" s="2" t="s">
        <v>3225</v>
      </c>
      <c r="F239" s="3" t="s">
        <v>3283</v>
      </c>
      <c r="G239" s="17">
        <v>48033758</v>
      </c>
      <c r="H239" s="2" t="s">
        <v>482</v>
      </c>
      <c r="I239" s="2" t="s">
        <v>1780</v>
      </c>
      <c r="J239" s="2"/>
      <c r="K239" s="18">
        <v>44447</v>
      </c>
      <c r="L239" s="18">
        <v>44447</v>
      </c>
      <c r="M239" s="18">
        <v>44468</v>
      </c>
      <c r="N239" s="1"/>
      <c r="O239" s="19">
        <v>175207</v>
      </c>
      <c r="P239" s="18">
        <v>44468</v>
      </c>
      <c r="Q239" s="19"/>
      <c r="R239" s="772"/>
      <c r="S239" s="18"/>
    </row>
    <row r="240" spans="1:38" ht="12.75" customHeight="1">
      <c r="A240" s="15">
        <v>239</v>
      </c>
      <c r="B240" s="736" t="s">
        <v>1555</v>
      </c>
      <c r="C240" s="16" t="s">
        <v>1781</v>
      </c>
      <c r="D240" s="20" t="s">
        <v>3110</v>
      </c>
      <c r="E240" s="2" t="s">
        <v>3225</v>
      </c>
      <c r="F240" s="3" t="s">
        <v>3283</v>
      </c>
      <c r="G240" s="17">
        <v>48033758</v>
      </c>
      <c r="H240" s="2" t="s">
        <v>482</v>
      </c>
      <c r="I240" s="2" t="s">
        <v>1782</v>
      </c>
      <c r="J240" s="2"/>
      <c r="K240" s="18">
        <v>44447</v>
      </c>
      <c r="L240" s="18">
        <v>44447</v>
      </c>
      <c r="M240" s="18">
        <v>44468</v>
      </c>
      <c r="N240" s="1"/>
      <c r="O240" s="19">
        <v>132000</v>
      </c>
      <c r="P240" s="18">
        <v>44468</v>
      </c>
      <c r="Q240" s="19"/>
      <c r="R240" s="772"/>
      <c r="S240" s="18"/>
    </row>
    <row r="241" spans="1:23" ht="12.75" customHeight="1">
      <c r="A241" s="15">
        <v>240</v>
      </c>
      <c r="B241" s="736" t="s">
        <v>1555</v>
      </c>
      <c r="C241" s="16" t="s">
        <v>2194</v>
      </c>
      <c r="D241" s="20" t="s">
        <v>3110</v>
      </c>
      <c r="E241" s="2" t="s">
        <v>3197</v>
      </c>
      <c r="F241" s="3" t="s">
        <v>3283</v>
      </c>
      <c r="G241" s="17">
        <v>48033758</v>
      </c>
      <c r="H241" s="2" t="s">
        <v>677</v>
      </c>
      <c r="I241" s="2" t="s">
        <v>2195</v>
      </c>
      <c r="J241" s="2"/>
      <c r="K241" s="18">
        <v>44743</v>
      </c>
      <c r="L241" s="18">
        <v>44743</v>
      </c>
      <c r="M241" s="18">
        <v>44865</v>
      </c>
      <c r="N241" s="1"/>
      <c r="O241" s="19">
        <v>301694.06</v>
      </c>
      <c r="P241" s="18">
        <v>44865</v>
      </c>
      <c r="Q241" s="19"/>
      <c r="R241" s="772"/>
      <c r="S241" s="18"/>
    </row>
    <row r="242" spans="1:23" ht="12.75" customHeight="1">
      <c r="A242" s="15">
        <v>241</v>
      </c>
      <c r="B242" s="736" t="s">
        <v>1555</v>
      </c>
      <c r="C242" s="16" t="s">
        <v>1854</v>
      </c>
      <c r="D242" s="20" t="s">
        <v>3110</v>
      </c>
      <c r="E242" s="2" t="s">
        <v>3225</v>
      </c>
      <c r="F242" s="3" t="s">
        <v>3283</v>
      </c>
      <c r="G242" s="17">
        <v>48033758</v>
      </c>
      <c r="H242" s="2" t="s">
        <v>482</v>
      </c>
      <c r="I242" s="2" t="s">
        <v>1855</v>
      </c>
      <c r="J242" s="2"/>
      <c r="K242" s="18">
        <v>44502</v>
      </c>
      <c r="L242" s="18">
        <v>44502</v>
      </c>
      <c r="M242" s="18">
        <v>44525</v>
      </c>
      <c r="N242" s="1"/>
      <c r="O242" s="19">
        <v>151153</v>
      </c>
      <c r="P242" s="18">
        <v>44525</v>
      </c>
      <c r="Q242" s="19"/>
      <c r="R242" s="772"/>
      <c r="S242" s="18"/>
    </row>
    <row r="243" spans="1:23" ht="12.75" customHeight="1">
      <c r="A243" s="15">
        <v>242</v>
      </c>
      <c r="B243" s="736" t="s">
        <v>1555</v>
      </c>
      <c r="C243" s="16" t="s">
        <v>2805</v>
      </c>
      <c r="D243" s="15" t="s">
        <v>3110</v>
      </c>
      <c r="E243" s="2" t="s">
        <v>3197</v>
      </c>
      <c r="F243" s="3" t="s">
        <v>3283</v>
      </c>
      <c r="G243" s="17">
        <v>48033758</v>
      </c>
      <c r="H243" s="2" t="s">
        <v>546</v>
      </c>
      <c r="I243" s="2" t="s">
        <v>2806</v>
      </c>
      <c r="J243" s="2"/>
      <c r="K243" s="18">
        <v>45085</v>
      </c>
      <c r="L243" s="18">
        <v>45085</v>
      </c>
      <c r="M243" s="18">
        <v>45147</v>
      </c>
      <c r="N243" s="1"/>
      <c r="O243" s="19">
        <v>304315</v>
      </c>
      <c r="P243" s="18">
        <v>45147</v>
      </c>
      <c r="Q243" s="19"/>
      <c r="R243" s="772"/>
      <c r="S243" s="18"/>
    </row>
    <row r="244" spans="1:23" ht="12.75" customHeight="1">
      <c r="A244" s="15">
        <v>243</v>
      </c>
      <c r="B244" s="736" t="s">
        <v>1555</v>
      </c>
      <c r="C244" s="16" t="s">
        <v>2955</v>
      </c>
      <c r="D244" s="15" t="s">
        <v>3110</v>
      </c>
      <c r="E244" s="2" t="s">
        <v>3197</v>
      </c>
      <c r="F244" s="3" t="s">
        <v>3283</v>
      </c>
      <c r="G244" s="17">
        <v>48033758</v>
      </c>
      <c r="H244" s="2" t="s">
        <v>677</v>
      </c>
      <c r="I244" s="2" t="s">
        <v>2956</v>
      </c>
      <c r="J244" s="2"/>
      <c r="K244" s="18">
        <v>45187</v>
      </c>
      <c r="L244" s="18">
        <v>45187</v>
      </c>
      <c r="M244" s="18">
        <v>45250</v>
      </c>
      <c r="N244" s="1"/>
      <c r="O244" s="19">
        <v>307945</v>
      </c>
      <c r="P244" s="18">
        <v>45250</v>
      </c>
      <c r="Q244" s="19"/>
      <c r="R244" s="772"/>
      <c r="S244" s="18"/>
    </row>
    <row r="245" spans="1:23" ht="12.75" customHeight="1">
      <c r="A245" s="15">
        <v>244</v>
      </c>
      <c r="B245" s="736" t="s">
        <v>1555</v>
      </c>
      <c r="C245" s="16" t="s">
        <v>2965</v>
      </c>
      <c r="D245" s="15" t="s">
        <v>3110</v>
      </c>
      <c r="E245" s="2" t="s">
        <v>3197</v>
      </c>
      <c r="F245" s="3" t="s">
        <v>3283</v>
      </c>
      <c r="G245" s="17">
        <v>48033758</v>
      </c>
      <c r="H245" s="2" t="s">
        <v>546</v>
      </c>
      <c r="I245" s="2" t="s">
        <v>2966</v>
      </c>
      <c r="J245" s="2"/>
      <c r="K245" s="18">
        <v>45202</v>
      </c>
      <c r="L245" s="18">
        <v>45202</v>
      </c>
      <c r="M245" s="18">
        <v>45243</v>
      </c>
      <c r="N245" s="1"/>
      <c r="O245" s="19">
        <v>312785</v>
      </c>
      <c r="P245" s="18">
        <v>45243</v>
      </c>
      <c r="Q245" s="19"/>
      <c r="R245" s="772"/>
      <c r="S245" s="18"/>
    </row>
    <row r="246" spans="1:23" ht="12.75" customHeight="1">
      <c r="A246" s="15">
        <v>245</v>
      </c>
      <c r="B246" s="736" t="s">
        <v>1555</v>
      </c>
      <c r="C246" s="16" t="s">
        <v>2402</v>
      </c>
      <c r="D246" s="20" t="s">
        <v>3110</v>
      </c>
      <c r="E246" s="2" t="s">
        <v>3197</v>
      </c>
      <c r="F246" s="3" t="s">
        <v>3283</v>
      </c>
      <c r="G246" s="17">
        <v>48033758</v>
      </c>
      <c r="H246" s="2" t="s">
        <v>546</v>
      </c>
      <c r="I246" s="2" t="s">
        <v>2403</v>
      </c>
      <c r="J246" s="2"/>
      <c r="K246" s="18">
        <v>44851</v>
      </c>
      <c r="L246" s="18">
        <v>44851</v>
      </c>
      <c r="M246" s="18">
        <v>44957</v>
      </c>
      <c r="N246" s="1"/>
      <c r="O246" s="19">
        <v>306456.96999999997</v>
      </c>
      <c r="P246" s="18">
        <v>44957</v>
      </c>
      <c r="Q246" s="19"/>
      <c r="R246" s="772"/>
      <c r="S246" s="18"/>
    </row>
    <row r="247" spans="1:23" ht="12.75" customHeight="1">
      <c r="A247" s="15">
        <v>246</v>
      </c>
      <c r="B247" s="736" t="s">
        <v>1555</v>
      </c>
      <c r="C247" s="16" t="s">
        <v>2977</v>
      </c>
      <c r="D247" s="15" t="s">
        <v>3110</v>
      </c>
      <c r="E247" s="2" t="s">
        <v>3197</v>
      </c>
      <c r="F247" s="3" t="s">
        <v>3283</v>
      </c>
      <c r="G247" s="17">
        <v>48033758</v>
      </c>
      <c r="H247" s="2" t="s">
        <v>546</v>
      </c>
      <c r="I247" s="2" t="s">
        <v>2978</v>
      </c>
      <c r="J247" s="2"/>
      <c r="K247" s="18">
        <v>45209</v>
      </c>
      <c r="L247" s="18">
        <v>45209</v>
      </c>
      <c r="M247" s="18">
        <v>45252</v>
      </c>
      <c r="N247" s="1"/>
      <c r="O247" s="19">
        <v>137225</v>
      </c>
      <c r="P247" s="18">
        <v>45252</v>
      </c>
      <c r="Q247" s="19"/>
      <c r="R247" s="772"/>
      <c r="S247" s="18"/>
    </row>
    <row r="248" spans="1:23" ht="12.75" customHeight="1">
      <c r="A248" s="15">
        <v>247</v>
      </c>
      <c r="B248" s="736" t="s">
        <v>1555</v>
      </c>
      <c r="C248" s="16" t="s">
        <v>3029</v>
      </c>
      <c r="D248" s="15" t="s">
        <v>3110</v>
      </c>
      <c r="E248" s="2" t="s">
        <v>3197</v>
      </c>
      <c r="F248" s="3" t="s">
        <v>3283</v>
      </c>
      <c r="G248" s="17">
        <v>48033758</v>
      </c>
      <c r="H248" s="2" t="s">
        <v>546</v>
      </c>
      <c r="I248" s="2" t="s">
        <v>3030</v>
      </c>
      <c r="J248" s="2"/>
      <c r="K248" s="18">
        <v>45254</v>
      </c>
      <c r="L248" s="18">
        <v>45254</v>
      </c>
      <c r="M248" s="18">
        <v>45291</v>
      </c>
      <c r="N248" s="1"/>
      <c r="O248" s="19">
        <v>308792</v>
      </c>
      <c r="P248" s="18">
        <v>45291</v>
      </c>
      <c r="Q248" s="19"/>
      <c r="R248" s="772"/>
      <c r="S248" s="18"/>
    </row>
    <row r="249" spans="1:23" ht="12.75" customHeight="1">
      <c r="A249" s="15">
        <v>248</v>
      </c>
      <c r="B249" s="736" t="s">
        <v>1555</v>
      </c>
      <c r="C249" s="16" t="s">
        <v>3031</v>
      </c>
      <c r="D249" s="15" t="s">
        <v>3110</v>
      </c>
      <c r="E249" s="2" t="s">
        <v>3197</v>
      </c>
      <c r="F249" s="3" t="s">
        <v>3283</v>
      </c>
      <c r="G249" s="17">
        <v>48033758</v>
      </c>
      <c r="H249" s="2" t="s">
        <v>546</v>
      </c>
      <c r="I249" s="2" t="s">
        <v>3032</v>
      </c>
      <c r="J249" s="2"/>
      <c r="K249" s="18">
        <v>45254</v>
      </c>
      <c r="L249" s="18">
        <v>45254</v>
      </c>
      <c r="M249" s="18">
        <v>45291</v>
      </c>
      <c r="N249" s="1"/>
      <c r="O249" s="19">
        <v>137940</v>
      </c>
      <c r="P249" s="18">
        <v>45291</v>
      </c>
      <c r="Q249" s="19"/>
      <c r="R249" s="772"/>
      <c r="S249" s="18"/>
    </row>
    <row r="250" spans="1:23" ht="12.75" customHeight="1">
      <c r="A250" s="15">
        <v>249</v>
      </c>
      <c r="B250" s="736" t="s">
        <v>1555</v>
      </c>
      <c r="C250" s="16" t="s">
        <v>2525</v>
      </c>
      <c r="D250" s="20" t="s">
        <v>3110</v>
      </c>
      <c r="E250" s="2" t="s">
        <v>3225</v>
      </c>
      <c r="F250" s="3" t="s">
        <v>3283</v>
      </c>
      <c r="G250" s="17">
        <v>48033758</v>
      </c>
      <c r="H250" s="2" t="s">
        <v>482</v>
      </c>
      <c r="I250" s="2" t="s">
        <v>2526</v>
      </c>
      <c r="J250" s="2"/>
      <c r="K250" s="18">
        <v>44911</v>
      </c>
      <c r="L250" s="18">
        <v>44911</v>
      </c>
      <c r="M250" s="18">
        <v>45016</v>
      </c>
      <c r="N250" s="1"/>
      <c r="O250" s="19">
        <v>140000</v>
      </c>
      <c r="P250" s="18">
        <v>45016</v>
      </c>
      <c r="Q250" s="19"/>
      <c r="R250" s="772"/>
      <c r="S250" s="18"/>
    </row>
    <row r="251" spans="1:23" ht="12.75" customHeight="1">
      <c r="A251" s="15">
        <v>250</v>
      </c>
      <c r="B251" s="736" t="s">
        <v>1555</v>
      </c>
      <c r="C251" s="16" t="s">
        <v>794</v>
      </c>
      <c r="D251" s="15" t="s">
        <v>3110</v>
      </c>
      <c r="E251" s="2" t="s">
        <v>3197</v>
      </c>
      <c r="F251" s="3" t="s">
        <v>3283</v>
      </c>
      <c r="G251" s="17">
        <v>48030325</v>
      </c>
      <c r="H251" s="2" t="s">
        <v>546</v>
      </c>
      <c r="I251" s="2" t="s">
        <v>795</v>
      </c>
      <c r="J251" s="2"/>
      <c r="K251" s="18">
        <v>45243</v>
      </c>
      <c r="L251" s="18">
        <v>45243</v>
      </c>
      <c r="M251" s="18">
        <v>45350</v>
      </c>
      <c r="N251" s="1">
        <v>1</v>
      </c>
      <c r="O251" s="19">
        <v>1489999</v>
      </c>
      <c r="P251" s="18">
        <v>45473</v>
      </c>
      <c r="Q251" s="19">
        <v>1489999</v>
      </c>
      <c r="R251" s="772" t="s">
        <v>796</v>
      </c>
      <c r="S251" s="18">
        <v>45244</v>
      </c>
      <c r="T251" s="3"/>
      <c r="U251" s="3"/>
      <c r="V251" s="3" t="s">
        <v>4625</v>
      </c>
      <c r="W251" s="3"/>
    </row>
    <row r="252" spans="1:23" ht="12.75" customHeight="1">
      <c r="A252" s="15">
        <v>251</v>
      </c>
      <c r="B252" s="736" t="s">
        <v>1555</v>
      </c>
      <c r="C252" s="16" t="s">
        <v>2979</v>
      </c>
      <c r="D252" s="15" t="s">
        <v>3116</v>
      </c>
      <c r="E252" s="2" t="s">
        <v>3197</v>
      </c>
      <c r="F252" s="3" t="s">
        <v>3284</v>
      </c>
      <c r="G252" s="17">
        <v>47916745</v>
      </c>
      <c r="H252" s="2" t="s">
        <v>677</v>
      </c>
      <c r="I252" s="2" t="s">
        <v>2980</v>
      </c>
      <c r="J252" s="2"/>
      <c r="K252" s="18">
        <v>45225</v>
      </c>
      <c r="L252" s="18">
        <v>45225</v>
      </c>
      <c r="M252" s="18">
        <v>45291</v>
      </c>
      <c r="N252" s="1"/>
      <c r="O252" s="19">
        <v>1933408.18</v>
      </c>
      <c r="P252" s="18">
        <v>45291</v>
      </c>
      <c r="Q252" s="19"/>
      <c r="R252" s="772"/>
      <c r="S252" s="18"/>
    </row>
    <row r="253" spans="1:23" ht="12.75" customHeight="1">
      <c r="A253" s="15">
        <v>252</v>
      </c>
      <c r="B253" s="736" t="s">
        <v>1555</v>
      </c>
      <c r="C253" s="16" t="s">
        <v>866</v>
      </c>
      <c r="D253" s="15" t="s">
        <v>3087</v>
      </c>
      <c r="E253" s="2" t="s">
        <v>3197</v>
      </c>
      <c r="F253" s="3" t="s">
        <v>3285</v>
      </c>
      <c r="G253" s="17">
        <v>47903279</v>
      </c>
      <c r="H253" s="2" t="s">
        <v>546</v>
      </c>
      <c r="I253" s="2" t="s">
        <v>867</v>
      </c>
      <c r="J253" s="2"/>
      <c r="K253" s="18">
        <v>45273</v>
      </c>
      <c r="L253" s="18">
        <v>45273</v>
      </c>
      <c r="M253" s="18">
        <v>45382</v>
      </c>
      <c r="N253" s="1">
        <v>6</v>
      </c>
      <c r="O253" s="19">
        <v>96412.800000000003</v>
      </c>
      <c r="P253" s="18">
        <v>45382</v>
      </c>
      <c r="Q253" s="19">
        <v>96412.800000000003</v>
      </c>
      <c r="R253" s="772" t="s">
        <v>868</v>
      </c>
      <c r="S253" s="18">
        <v>45274</v>
      </c>
      <c r="T253" s="3"/>
      <c r="U253" s="3"/>
      <c r="V253" s="3" t="s">
        <v>3091</v>
      </c>
      <c r="W253" s="3"/>
    </row>
    <row r="254" spans="1:23" ht="12.75" customHeight="1">
      <c r="A254" s="15">
        <v>253</v>
      </c>
      <c r="B254" s="736" t="s">
        <v>1555</v>
      </c>
      <c r="C254" s="16" t="s">
        <v>2372</v>
      </c>
      <c r="D254" s="20" t="s">
        <v>3087</v>
      </c>
      <c r="E254" s="2" t="s">
        <v>3197</v>
      </c>
      <c r="F254" s="3" t="s">
        <v>3285</v>
      </c>
      <c r="G254" s="17">
        <v>47903279</v>
      </c>
      <c r="H254" s="2" t="s">
        <v>546</v>
      </c>
      <c r="I254" s="2" t="s">
        <v>2373</v>
      </c>
      <c r="J254" s="2"/>
      <c r="K254" s="18">
        <v>44838</v>
      </c>
      <c r="L254" s="18">
        <v>44838</v>
      </c>
      <c r="M254" s="18">
        <v>44915</v>
      </c>
      <c r="N254" s="1"/>
      <c r="O254" s="19">
        <v>163350</v>
      </c>
      <c r="P254" s="18">
        <v>44915</v>
      </c>
      <c r="Q254" s="19"/>
      <c r="R254" s="772"/>
      <c r="S254" s="18"/>
    </row>
    <row r="255" spans="1:23" ht="12.75" customHeight="1">
      <c r="A255" s="15">
        <v>254</v>
      </c>
      <c r="B255" s="736" t="s">
        <v>1555</v>
      </c>
      <c r="C255" s="16" t="s">
        <v>631</v>
      </c>
      <c r="D255" s="20" t="s">
        <v>3087</v>
      </c>
      <c r="E255" s="2" t="s">
        <v>3202</v>
      </c>
      <c r="F255" s="3" t="s">
        <v>3286</v>
      </c>
      <c r="G255" s="17">
        <v>47675934</v>
      </c>
      <c r="H255" s="2" t="s">
        <v>361</v>
      </c>
      <c r="I255" s="2" t="s">
        <v>632</v>
      </c>
      <c r="J255" s="2"/>
      <c r="K255" s="18">
        <v>44973</v>
      </c>
      <c r="L255" s="18">
        <v>44973</v>
      </c>
      <c r="M255" s="18">
        <v>45337</v>
      </c>
      <c r="N255" s="1"/>
      <c r="O255" s="19">
        <v>592900</v>
      </c>
      <c r="P255" s="18">
        <v>45337</v>
      </c>
      <c r="Q255" s="19"/>
      <c r="R255" s="772"/>
      <c r="S255" s="18"/>
      <c r="U255">
        <v>6</v>
      </c>
    </row>
    <row r="256" spans="1:23" ht="12.75" customHeight="1">
      <c r="A256" s="15">
        <v>255</v>
      </c>
      <c r="B256" s="736" t="s">
        <v>1555</v>
      </c>
      <c r="C256" s="16" t="s">
        <v>2013</v>
      </c>
      <c r="D256" s="20" t="s">
        <v>3087</v>
      </c>
      <c r="E256" s="2" t="s">
        <v>3202</v>
      </c>
      <c r="F256" s="3" t="s">
        <v>3286</v>
      </c>
      <c r="G256" s="17">
        <v>47675934</v>
      </c>
      <c r="H256" s="2" t="s">
        <v>2012</v>
      </c>
      <c r="I256" s="2" t="s">
        <v>2014</v>
      </c>
      <c r="J256" s="2"/>
      <c r="K256" s="18">
        <v>44638</v>
      </c>
      <c r="L256" s="18">
        <v>44638</v>
      </c>
      <c r="M256" s="18">
        <v>44926</v>
      </c>
      <c r="N256" s="1"/>
      <c r="O256" s="19">
        <v>500000</v>
      </c>
      <c r="P256" s="18">
        <v>44926</v>
      </c>
      <c r="Q256" s="19"/>
      <c r="R256" s="772"/>
      <c r="S256" s="18"/>
    </row>
    <row r="257" spans="1:26" ht="12.75" customHeight="1">
      <c r="A257" s="15">
        <v>256</v>
      </c>
      <c r="B257" s="738" t="s">
        <v>3086</v>
      </c>
      <c r="C257" s="16" t="s">
        <v>1171</v>
      </c>
      <c r="D257" s="20" t="s">
        <v>3110</v>
      </c>
      <c r="E257" s="3" t="s">
        <v>3132</v>
      </c>
      <c r="F257" s="3" t="s">
        <v>3287</v>
      </c>
      <c r="G257" s="17">
        <v>47558881</v>
      </c>
      <c r="H257" s="2" t="s">
        <v>48</v>
      </c>
      <c r="I257" s="2" t="s">
        <v>1172</v>
      </c>
      <c r="J257" s="2" t="s">
        <v>1173</v>
      </c>
      <c r="K257" s="18">
        <v>40407</v>
      </c>
      <c r="L257" s="18">
        <v>40407</v>
      </c>
      <c r="M257" s="18"/>
      <c r="N257" s="1"/>
      <c r="O257" s="19">
        <v>0</v>
      </c>
      <c r="P257" s="18"/>
      <c r="Q257" s="19">
        <v>0</v>
      </c>
      <c r="R257" s="773"/>
      <c r="S257" s="18"/>
      <c r="X257" s="24" t="s">
        <v>3288</v>
      </c>
      <c r="Z257" t="s">
        <v>4727</v>
      </c>
    </row>
    <row r="258" spans="1:26" ht="12.75" customHeight="1">
      <c r="A258" s="15">
        <v>257</v>
      </c>
      <c r="B258" s="738" t="s">
        <v>1555</v>
      </c>
      <c r="C258" s="16" t="s">
        <v>80</v>
      </c>
      <c r="D258" s="15" t="s">
        <v>3110</v>
      </c>
      <c r="E258" s="3" t="s">
        <v>3123</v>
      </c>
      <c r="F258" s="3" t="s">
        <v>3289</v>
      </c>
      <c r="G258" s="17">
        <v>47552484</v>
      </c>
      <c r="H258" s="2" t="s">
        <v>250</v>
      </c>
      <c r="I258" s="2" t="s">
        <v>81</v>
      </c>
      <c r="J258" s="2" t="s">
        <v>82</v>
      </c>
      <c r="K258" s="18">
        <v>43101</v>
      </c>
      <c r="L258" s="18">
        <v>43101</v>
      </c>
      <c r="M258" s="18">
        <v>45657</v>
      </c>
      <c r="N258" s="1"/>
      <c r="O258" s="19">
        <v>1372140</v>
      </c>
      <c r="P258" s="18">
        <v>45657</v>
      </c>
      <c r="Q258" s="19">
        <v>1372140</v>
      </c>
      <c r="R258" s="772" t="s">
        <v>83</v>
      </c>
      <c r="S258" s="18">
        <v>43115</v>
      </c>
      <c r="T258" s="3"/>
      <c r="U258" s="3"/>
      <c r="V258" s="3"/>
      <c r="W258" s="3"/>
    </row>
    <row r="259" spans="1:26" ht="12.75" customHeight="1">
      <c r="A259" s="15">
        <v>258</v>
      </c>
      <c r="B259" s="738" t="s">
        <v>3086</v>
      </c>
      <c r="C259" s="16" t="s">
        <v>246</v>
      </c>
      <c r="D259" s="20" t="s">
        <v>3110</v>
      </c>
      <c r="E259" s="3" t="s">
        <v>3228</v>
      </c>
      <c r="F259" s="3" t="s">
        <v>3290</v>
      </c>
      <c r="G259" s="17">
        <v>47551984</v>
      </c>
      <c r="H259" s="2" t="s">
        <v>245</v>
      </c>
      <c r="I259" s="2" t="s">
        <v>247</v>
      </c>
      <c r="J259" s="2" t="s">
        <v>247</v>
      </c>
      <c r="K259" s="18">
        <v>43979</v>
      </c>
      <c r="L259" s="18">
        <v>43983</v>
      </c>
      <c r="M259" s="18">
        <v>46173</v>
      </c>
      <c r="N259" s="1">
        <v>3</v>
      </c>
      <c r="O259" s="19">
        <v>78650</v>
      </c>
      <c r="P259" s="18">
        <v>46173</v>
      </c>
      <c r="Q259" s="19">
        <v>51080</v>
      </c>
      <c r="R259" s="772" t="s">
        <v>6598</v>
      </c>
      <c r="S259" s="18" t="s">
        <v>6599</v>
      </c>
      <c r="T259" s="3"/>
      <c r="U259" s="3"/>
      <c r="V259" s="3"/>
      <c r="W259" s="3"/>
    </row>
    <row r="260" spans="1:26" ht="12.75" customHeight="1">
      <c r="A260" s="15">
        <v>259</v>
      </c>
      <c r="B260" s="738" t="s">
        <v>3086</v>
      </c>
      <c r="C260" s="16" t="s">
        <v>159</v>
      </c>
      <c r="D260" s="2" t="s">
        <v>3110</v>
      </c>
      <c r="E260" s="3" t="s">
        <v>3228</v>
      </c>
      <c r="F260" s="3" t="s">
        <v>3291</v>
      </c>
      <c r="G260" s="17">
        <v>47543655</v>
      </c>
      <c r="H260" s="2" t="s">
        <v>158</v>
      </c>
      <c r="I260" s="2" t="s">
        <v>160</v>
      </c>
      <c r="J260" s="2" t="s">
        <v>161</v>
      </c>
      <c r="K260" s="18">
        <v>43454</v>
      </c>
      <c r="L260" s="18">
        <v>43454</v>
      </c>
      <c r="M260" s="18">
        <v>2958465</v>
      </c>
      <c r="N260" s="1"/>
      <c r="O260" s="19">
        <v>40000</v>
      </c>
      <c r="P260" s="18">
        <v>2958465</v>
      </c>
      <c r="Q260" s="19">
        <v>150000</v>
      </c>
      <c r="R260" s="772" t="s">
        <v>3292</v>
      </c>
      <c r="S260" s="18" t="s">
        <v>3293</v>
      </c>
      <c r="T260" s="3"/>
      <c r="U260" s="3"/>
      <c r="V260" s="3"/>
      <c r="W260" s="3"/>
    </row>
    <row r="261" spans="1:26" ht="12.75" customHeight="1">
      <c r="A261" s="15">
        <v>260</v>
      </c>
      <c r="B261" s="738" t="s">
        <v>3086</v>
      </c>
      <c r="C261" s="16" t="s">
        <v>1086</v>
      </c>
      <c r="D261" s="15" t="s">
        <v>3110</v>
      </c>
      <c r="E261" s="3" t="s">
        <v>3294</v>
      </c>
      <c r="F261" s="3" t="s">
        <v>3295</v>
      </c>
      <c r="G261" s="17">
        <v>47539801</v>
      </c>
      <c r="H261" s="2" t="s">
        <v>1087</v>
      </c>
      <c r="I261" s="2" t="s">
        <v>1088</v>
      </c>
      <c r="J261" s="2" t="s">
        <v>1089</v>
      </c>
      <c r="K261" s="18">
        <v>39182</v>
      </c>
      <c r="L261" s="18">
        <v>39182</v>
      </c>
      <c r="M261" s="18">
        <v>45657</v>
      </c>
      <c r="N261" s="1">
        <v>4</v>
      </c>
      <c r="O261" s="19">
        <v>1</v>
      </c>
      <c r="P261" s="18">
        <v>45657</v>
      </c>
      <c r="Q261" s="19">
        <v>1</v>
      </c>
      <c r="R261" s="772"/>
      <c r="S261" s="18"/>
      <c r="T261" s="3"/>
      <c r="U261" s="3"/>
      <c r="V261" s="3"/>
      <c r="W261" s="3"/>
    </row>
    <row r="262" spans="1:26" ht="12.75" customHeight="1">
      <c r="A262" s="15">
        <v>261</v>
      </c>
      <c r="B262" s="738" t="s">
        <v>3086</v>
      </c>
      <c r="C262" s="16" t="s">
        <v>1090</v>
      </c>
      <c r="D262" s="15" t="s">
        <v>3110</v>
      </c>
      <c r="E262" s="3" t="s">
        <v>3141</v>
      </c>
      <c r="F262" s="3" t="s">
        <v>3295</v>
      </c>
      <c r="G262" s="17">
        <v>47539801</v>
      </c>
      <c r="H262" s="2" t="s">
        <v>1012</v>
      </c>
      <c r="I262" s="2" t="s">
        <v>1091</v>
      </c>
      <c r="J262" s="2" t="s">
        <v>1091</v>
      </c>
      <c r="K262" s="18">
        <v>39182</v>
      </c>
      <c r="L262" s="18">
        <v>39182</v>
      </c>
      <c r="M262" s="18">
        <v>46022</v>
      </c>
      <c r="N262" s="1">
        <v>1</v>
      </c>
      <c r="O262" s="19">
        <v>477480</v>
      </c>
      <c r="P262" s="18">
        <v>46022</v>
      </c>
      <c r="Q262" s="19">
        <v>476100</v>
      </c>
      <c r="R262" s="772" t="s">
        <v>3296</v>
      </c>
      <c r="S262" s="18" t="s">
        <v>3297</v>
      </c>
      <c r="T262" s="3"/>
      <c r="U262" s="2">
        <v>3</v>
      </c>
      <c r="V262" s="3" t="s">
        <v>4625</v>
      </c>
      <c r="W262" s="3" t="s">
        <v>4625</v>
      </c>
    </row>
    <row r="263" spans="1:26" ht="12.75" customHeight="1">
      <c r="A263" s="15">
        <v>262</v>
      </c>
      <c r="B263" s="738" t="s">
        <v>3086</v>
      </c>
      <c r="C263" s="16" t="s">
        <v>1092</v>
      </c>
      <c r="D263" s="15" t="s">
        <v>3110</v>
      </c>
      <c r="E263" s="3" t="s">
        <v>3141</v>
      </c>
      <c r="F263" s="3" t="s">
        <v>3295</v>
      </c>
      <c r="G263" s="17">
        <v>47539801</v>
      </c>
      <c r="H263" s="2" t="s">
        <v>1057</v>
      </c>
      <c r="I263" s="2" t="s">
        <v>1093</v>
      </c>
      <c r="J263" s="2" t="s">
        <v>1094</v>
      </c>
      <c r="K263" s="18">
        <v>39173</v>
      </c>
      <c r="L263" s="18">
        <v>39173</v>
      </c>
      <c r="M263" s="18">
        <v>46387</v>
      </c>
      <c r="N263" s="1"/>
      <c r="O263" s="19">
        <v>0</v>
      </c>
      <c r="P263" s="18">
        <v>46387</v>
      </c>
      <c r="Q263" s="19">
        <v>0</v>
      </c>
      <c r="R263" s="772" t="s">
        <v>3298</v>
      </c>
      <c r="S263" s="18" t="s">
        <v>3299</v>
      </c>
      <c r="T263" s="3"/>
      <c r="U263" s="2">
        <v>3</v>
      </c>
      <c r="V263" s="3" t="s">
        <v>4625</v>
      </c>
      <c r="W263" s="3" t="s">
        <v>4625</v>
      </c>
    </row>
    <row r="264" spans="1:26" ht="12.75" customHeight="1">
      <c r="A264" s="15">
        <v>263</v>
      </c>
      <c r="B264" s="736" t="s">
        <v>3086</v>
      </c>
      <c r="C264" s="16" t="s">
        <v>624</v>
      </c>
      <c r="D264" s="15" t="s">
        <v>3110</v>
      </c>
      <c r="E264" s="2" t="s">
        <v>3233</v>
      </c>
      <c r="F264" s="3" t="s">
        <v>3295</v>
      </c>
      <c r="G264" s="17">
        <v>47539801</v>
      </c>
      <c r="H264" s="2" t="s">
        <v>250</v>
      </c>
      <c r="I264" s="2" t="s">
        <v>625</v>
      </c>
      <c r="J264" s="2"/>
      <c r="K264" s="18">
        <v>44985</v>
      </c>
      <c r="L264" s="18">
        <v>44985</v>
      </c>
      <c r="M264" s="18">
        <v>45716</v>
      </c>
      <c r="N264" s="1">
        <v>1</v>
      </c>
      <c r="O264" s="19">
        <v>24</v>
      </c>
      <c r="P264" s="18">
        <v>45716</v>
      </c>
      <c r="Q264" s="19"/>
      <c r="R264" s="772"/>
      <c r="S264" s="18"/>
      <c r="T264" s="3"/>
      <c r="U264" s="3"/>
      <c r="V264" s="3"/>
      <c r="W264" s="3"/>
    </row>
    <row r="265" spans="1:26" ht="12.75" customHeight="1">
      <c r="A265" s="15">
        <v>264</v>
      </c>
      <c r="B265" s="736" t="s">
        <v>1555</v>
      </c>
      <c r="C265" s="16" t="s">
        <v>1593</v>
      </c>
      <c r="D265" s="20" t="s">
        <v>3110</v>
      </c>
      <c r="E265" s="2" t="s">
        <v>3294</v>
      </c>
      <c r="F265" s="3" t="s">
        <v>3295</v>
      </c>
      <c r="G265" s="17">
        <v>47539801</v>
      </c>
      <c r="H265" s="2" t="s">
        <v>250</v>
      </c>
      <c r="I265" s="2" t="s">
        <v>625</v>
      </c>
      <c r="J265" s="2"/>
      <c r="K265" s="18">
        <v>44256</v>
      </c>
      <c r="L265" s="18">
        <v>44256</v>
      </c>
      <c r="M265" s="18">
        <v>44944</v>
      </c>
      <c r="N265" s="1"/>
      <c r="O265" s="19">
        <v>24</v>
      </c>
      <c r="P265" s="18">
        <v>44944</v>
      </c>
      <c r="Q265" s="19"/>
      <c r="R265" s="772"/>
      <c r="S265" s="18"/>
    </row>
    <row r="266" spans="1:26" ht="12.75" customHeight="1">
      <c r="A266" s="15">
        <v>265</v>
      </c>
      <c r="B266" s="736" t="s">
        <v>1555</v>
      </c>
      <c r="C266" s="16" t="s">
        <v>1910</v>
      </c>
      <c r="D266" s="20" t="s">
        <v>3110</v>
      </c>
      <c r="E266" s="2" t="s">
        <v>3114</v>
      </c>
      <c r="F266" s="3" t="s">
        <v>3295</v>
      </c>
      <c r="G266" s="17">
        <v>47539801</v>
      </c>
      <c r="H266" s="2" t="s">
        <v>1905</v>
      </c>
      <c r="I266" s="2" t="s">
        <v>1911</v>
      </c>
      <c r="J266" s="2"/>
      <c r="K266" s="18">
        <v>44558</v>
      </c>
      <c r="L266" s="18">
        <v>44558</v>
      </c>
      <c r="M266" s="18">
        <v>44561</v>
      </c>
      <c r="N266" s="1"/>
      <c r="O266" s="19"/>
      <c r="P266" s="18">
        <v>44561</v>
      </c>
      <c r="Q266" s="19"/>
      <c r="R266" s="772"/>
      <c r="S266" s="18"/>
    </row>
    <row r="267" spans="1:26" ht="12.75" customHeight="1">
      <c r="A267" s="15">
        <v>266</v>
      </c>
      <c r="B267" s="736" t="s">
        <v>1555</v>
      </c>
      <c r="C267" s="16" t="s">
        <v>1922</v>
      </c>
      <c r="D267" s="20" t="s">
        <v>3110</v>
      </c>
      <c r="E267" s="2" t="s">
        <v>3294</v>
      </c>
      <c r="F267" s="3" t="s">
        <v>3295</v>
      </c>
      <c r="G267" s="17">
        <v>47539801</v>
      </c>
      <c r="H267" s="2" t="s">
        <v>250</v>
      </c>
      <c r="I267" s="2" t="s">
        <v>625</v>
      </c>
      <c r="J267" s="2"/>
      <c r="K267" s="18">
        <v>44559</v>
      </c>
      <c r="L267" s="18">
        <v>44562</v>
      </c>
      <c r="M267" s="18">
        <v>44985</v>
      </c>
      <c r="N267" s="1"/>
      <c r="O267" s="19">
        <v>12</v>
      </c>
      <c r="P267" s="18">
        <v>44985</v>
      </c>
      <c r="Q267" s="19"/>
      <c r="R267" s="772"/>
      <c r="S267" s="18"/>
    </row>
    <row r="268" spans="1:26" ht="12.75" customHeight="1">
      <c r="A268" s="15">
        <v>267</v>
      </c>
      <c r="B268" s="738" t="s">
        <v>3086</v>
      </c>
      <c r="C268" s="16" t="s">
        <v>1238</v>
      </c>
      <c r="D268" s="2" t="s">
        <v>3110</v>
      </c>
      <c r="E268" s="3" t="s">
        <v>3141</v>
      </c>
      <c r="F268" s="3" t="s">
        <v>3300</v>
      </c>
      <c r="G268" s="17">
        <v>47538457</v>
      </c>
      <c r="H268" s="2" t="s">
        <v>1012</v>
      </c>
      <c r="I268" s="2" t="s">
        <v>1239</v>
      </c>
      <c r="J268" s="2" t="s">
        <v>1240</v>
      </c>
      <c r="K268" s="18">
        <v>40940</v>
      </c>
      <c r="L268" s="18">
        <v>40940</v>
      </c>
      <c r="M268" s="18">
        <v>2958465</v>
      </c>
      <c r="N268" s="1">
        <v>4</v>
      </c>
      <c r="O268" s="19">
        <v>55560</v>
      </c>
      <c r="P268" s="18">
        <v>2958465</v>
      </c>
      <c r="Q268" s="19">
        <v>55560</v>
      </c>
      <c r="R268" s="772" t="s">
        <v>3301</v>
      </c>
      <c r="S268" s="18" t="s">
        <v>3302</v>
      </c>
      <c r="T268" s="3"/>
      <c r="U268" s="2">
        <v>3</v>
      </c>
      <c r="V268" s="3" t="s">
        <v>4625</v>
      </c>
      <c r="W268" s="3" t="s">
        <v>4625</v>
      </c>
    </row>
    <row r="269" spans="1:26" ht="12.75" customHeight="1">
      <c r="A269" s="15">
        <v>268</v>
      </c>
      <c r="B269" s="736" t="s">
        <v>3086</v>
      </c>
      <c r="C269" s="16" t="s">
        <v>472</v>
      </c>
      <c r="D269" s="15" t="s">
        <v>3110</v>
      </c>
      <c r="E269" s="2" t="s">
        <v>3141</v>
      </c>
      <c r="F269" s="3" t="s">
        <v>3300</v>
      </c>
      <c r="G269" s="17">
        <v>47538457</v>
      </c>
      <c r="H269" s="2" t="s">
        <v>399</v>
      </c>
      <c r="I269" s="2" t="s">
        <v>473</v>
      </c>
      <c r="J269" s="2"/>
      <c r="K269" s="18">
        <v>44732</v>
      </c>
      <c r="L269" s="18">
        <v>44732</v>
      </c>
      <c r="M269" s="18">
        <v>2958465</v>
      </c>
      <c r="N269" s="1"/>
      <c r="O269" s="19"/>
      <c r="P269" s="18">
        <v>2958465</v>
      </c>
      <c r="Q269" s="19"/>
      <c r="R269" s="772"/>
      <c r="S269" s="18"/>
      <c r="T269" s="3"/>
      <c r="U269" s="2">
        <v>3</v>
      </c>
      <c r="V269" s="3" t="s">
        <v>4625</v>
      </c>
      <c r="W269" s="3" t="s">
        <v>4625</v>
      </c>
    </row>
    <row r="270" spans="1:26" ht="12.75" customHeight="1">
      <c r="A270" s="15">
        <v>269</v>
      </c>
      <c r="B270" s="736" t="s">
        <v>1555</v>
      </c>
      <c r="C270" s="16" t="s">
        <v>1850</v>
      </c>
      <c r="D270" s="20" t="s">
        <v>3110</v>
      </c>
      <c r="E270" s="2" t="s">
        <v>3141</v>
      </c>
      <c r="F270" s="3" t="s">
        <v>3300</v>
      </c>
      <c r="G270" s="17">
        <v>47538457</v>
      </c>
      <c r="H270" s="2" t="s">
        <v>399</v>
      </c>
      <c r="I270" s="2" t="s">
        <v>1851</v>
      </c>
      <c r="J270" s="2"/>
      <c r="K270" s="18">
        <v>44502</v>
      </c>
      <c r="L270" s="18">
        <v>44502</v>
      </c>
      <c r="M270" s="18">
        <v>44721</v>
      </c>
      <c r="N270" s="1"/>
      <c r="O270" s="19"/>
      <c r="P270" s="18">
        <v>44721</v>
      </c>
      <c r="Q270" s="19"/>
      <c r="R270" s="772"/>
      <c r="S270" s="18"/>
      <c r="V270" t="s">
        <v>4625</v>
      </c>
      <c r="W270" t="s">
        <v>4625</v>
      </c>
    </row>
    <row r="271" spans="1:26" ht="12.75" customHeight="1">
      <c r="A271" s="15">
        <v>270</v>
      </c>
      <c r="B271" s="738" t="s">
        <v>3086</v>
      </c>
      <c r="C271" s="16" t="s">
        <v>1050</v>
      </c>
      <c r="D271" s="2" t="s">
        <v>3110</v>
      </c>
      <c r="E271" s="3" t="s">
        <v>3123</v>
      </c>
      <c r="F271" s="3" t="s">
        <v>3303</v>
      </c>
      <c r="G271" s="17">
        <v>47535865</v>
      </c>
      <c r="H271" s="2" t="s">
        <v>323</v>
      </c>
      <c r="I271" s="2" t="s">
        <v>1051</v>
      </c>
      <c r="J271" s="2" t="s">
        <v>1052</v>
      </c>
      <c r="K271" s="18">
        <v>38495</v>
      </c>
      <c r="L271" s="18">
        <v>38495</v>
      </c>
      <c r="M271" s="18">
        <v>2958465</v>
      </c>
      <c r="N271" s="1">
        <v>4</v>
      </c>
      <c r="O271" s="19">
        <v>0</v>
      </c>
      <c r="P271" s="18">
        <v>2958465</v>
      </c>
      <c r="Q271" s="19"/>
      <c r="R271" s="772"/>
      <c r="S271" s="18"/>
      <c r="T271" s="3"/>
      <c r="U271" s="3"/>
      <c r="V271" s="3"/>
      <c r="W271" s="3"/>
    </row>
    <row r="272" spans="1:26" ht="12.75" customHeight="1">
      <c r="A272" s="15">
        <v>271</v>
      </c>
      <c r="B272" s="738" t="s">
        <v>3086</v>
      </c>
      <c r="C272" s="16" t="s">
        <v>1100</v>
      </c>
      <c r="D272" s="2" t="s">
        <v>3110</v>
      </c>
      <c r="E272" s="3" t="s">
        <v>3141</v>
      </c>
      <c r="F272" s="3" t="s">
        <v>3303</v>
      </c>
      <c r="G272" s="17">
        <v>47535865</v>
      </c>
      <c r="H272" s="2" t="s">
        <v>1057</v>
      </c>
      <c r="I272" s="2" t="s">
        <v>1101</v>
      </c>
      <c r="J272" s="2" t="s">
        <v>1102</v>
      </c>
      <c r="K272" s="18">
        <v>39106</v>
      </c>
      <c r="L272" s="18">
        <v>39106</v>
      </c>
      <c r="M272" s="18">
        <v>2958465</v>
      </c>
      <c r="N272" s="1">
        <v>2</v>
      </c>
      <c r="O272" s="19">
        <v>0</v>
      </c>
      <c r="P272" s="18">
        <v>2958465</v>
      </c>
      <c r="Q272" s="19">
        <v>0</v>
      </c>
      <c r="R272" s="772"/>
      <c r="S272" s="18"/>
      <c r="T272" s="3"/>
      <c r="U272" s="2">
        <v>3</v>
      </c>
      <c r="V272" s="3" t="s">
        <v>4625</v>
      </c>
      <c r="W272" s="3" t="s">
        <v>4625</v>
      </c>
    </row>
    <row r="273" spans="1:38" ht="12.75" customHeight="1">
      <c r="A273" s="15">
        <v>272</v>
      </c>
      <c r="B273" s="738" t="s">
        <v>3086</v>
      </c>
      <c r="C273" s="16" t="s">
        <v>1534</v>
      </c>
      <c r="D273" s="2" t="s">
        <v>3110</v>
      </c>
      <c r="E273" s="3" t="s">
        <v>3228</v>
      </c>
      <c r="F273" s="3" t="s">
        <v>3304</v>
      </c>
      <c r="G273" s="17">
        <v>47534532</v>
      </c>
      <c r="H273" s="2" t="s">
        <v>64</v>
      </c>
      <c r="I273" s="2" t="s">
        <v>1535</v>
      </c>
      <c r="J273" s="2" t="s">
        <v>1536</v>
      </c>
      <c r="K273" s="18">
        <v>34971</v>
      </c>
      <c r="L273" s="18">
        <v>34971</v>
      </c>
      <c r="M273" s="18">
        <v>2958465</v>
      </c>
      <c r="N273" s="1">
        <v>2</v>
      </c>
      <c r="O273" s="19">
        <v>71777</v>
      </c>
      <c r="P273" s="18"/>
      <c r="Q273" s="19">
        <v>358886</v>
      </c>
      <c r="R273" s="773" t="s">
        <v>6356</v>
      </c>
      <c r="S273" s="18" t="s">
        <v>6355</v>
      </c>
    </row>
    <row r="274" spans="1:38" ht="12.75" customHeight="1">
      <c r="A274" s="15">
        <v>273</v>
      </c>
      <c r="B274" s="736" t="s">
        <v>1555</v>
      </c>
      <c r="C274" s="16" t="s">
        <v>1992</v>
      </c>
      <c r="D274" s="20" t="s">
        <v>3110</v>
      </c>
      <c r="E274" s="2" t="s">
        <v>3111</v>
      </c>
      <c r="F274" s="2" t="s">
        <v>3305</v>
      </c>
      <c r="G274" s="17">
        <v>47534524</v>
      </c>
      <c r="H274" s="2" t="s">
        <v>1991</v>
      </c>
      <c r="I274" s="2" t="s">
        <v>1993</v>
      </c>
      <c r="J274" s="2"/>
      <c r="K274" s="18">
        <v>44616</v>
      </c>
      <c r="L274" s="18">
        <v>44621</v>
      </c>
      <c r="M274" s="18">
        <v>44985</v>
      </c>
      <c r="N274" s="1"/>
      <c r="O274" s="19"/>
      <c r="P274" s="18">
        <v>44985</v>
      </c>
      <c r="Q274" s="19"/>
      <c r="R274" s="772"/>
      <c r="S274" s="18"/>
    </row>
    <row r="275" spans="1:38" ht="12.75" customHeight="1">
      <c r="A275" s="15">
        <v>274</v>
      </c>
      <c r="B275" s="736" t="s">
        <v>1555</v>
      </c>
      <c r="C275" s="16" t="s">
        <v>1994</v>
      </c>
      <c r="D275" s="20" t="s">
        <v>3110</v>
      </c>
      <c r="E275" s="2" t="s">
        <v>3126</v>
      </c>
      <c r="F275" s="2" t="s">
        <v>3305</v>
      </c>
      <c r="G275" s="17">
        <v>47534524</v>
      </c>
      <c r="H275" s="2" t="s">
        <v>588</v>
      </c>
      <c r="I275" s="2" t="s">
        <v>1995</v>
      </c>
      <c r="J275" s="2"/>
      <c r="K275" s="18">
        <v>44616</v>
      </c>
      <c r="L275" s="18">
        <v>44531</v>
      </c>
      <c r="M275" s="18">
        <v>44620</v>
      </c>
      <c r="N275" s="1"/>
      <c r="O275" s="19">
        <v>10890</v>
      </c>
      <c r="P275" s="18">
        <v>44620</v>
      </c>
      <c r="Q275" s="19"/>
      <c r="R275" s="772"/>
      <c r="S275" s="18"/>
    </row>
    <row r="276" spans="1:38" ht="12.75" customHeight="1">
      <c r="A276" s="15">
        <v>275</v>
      </c>
      <c r="B276" s="738" t="s">
        <v>3086</v>
      </c>
      <c r="C276" s="16" t="s">
        <v>987</v>
      </c>
      <c r="D276" s="2" t="s">
        <v>3094</v>
      </c>
      <c r="E276" s="2" t="s">
        <v>3117</v>
      </c>
      <c r="F276" s="29" t="s">
        <v>3306</v>
      </c>
      <c r="G276" s="17">
        <v>47528371</v>
      </c>
      <c r="H276" s="2" t="s">
        <v>988</v>
      </c>
      <c r="I276" s="25" t="s">
        <v>989</v>
      </c>
      <c r="J276" s="2" t="s">
        <v>990</v>
      </c>
      <c r="K276" s="18">
        <v>37705</v>
      </c>
      <c r="L276" s="18">
        <v>37705</v>
      </c>
      <c r="M276" s="18">
        <v>2958465</v>
      </c>
      <c r="N276" s="1">
        <v>6</v>
      </c>
      <c r="O276" s="19">
        <v>0</v>
      </c>
      <c r="P276" s="18">
        <v>2958465</v>
      </c>
      <c r="Q276" s="19">
        <v>0</v>
      </c>
      <c r="R276" s="773"/>
      <c r="S276" s="18"/>
      <c r="U276" s="106"/>
      <c r="Y276" s="96" t="s">
        <v>5053</v>
      </c>
    </row>
    <row r="277" spans="1:38" ht="12.75" customHeight="1">
      <c r="A277" s="15">
        <v>276</v>
      </c>
      <c r="B277" s="738" t="s">
        <v>1555</v>
      </c>
      <c r="C277" s="16" t="s">
        <v>114</v>
      </c>
      <c r="D277" s="15" t="s">
        <v>3094</v>
      </c>
      <c r="E277" s="3" t="s">
        <v>3095</v>
      </c>
      <c r="F277" s="29" t="s">
        <v>3306</v>
      </c>
      <c r="G277" s="17">
        <v>47528371</v>
      </c>
      <c r="H277" s="2" t="s">
        <v>100</v>
      </c>
      <c r="I277" s="2" t="s">
        <v>115</v>
      </c>
      <c r="J277" s="2" t="s">
        <v>116</v>
      </c>
      <c r="K277" s="18">
        <v>43251</v>
      </c>
      <c r="L277" s="18">
        <v>43252</v>
      </c>
      <c r="M277" s="18">
        <v>45443</v>
      </c>
      <c r="N277" s="1"/>
      <c r="O277" s="19">
        <v>300</v>
      </c>
      <c r="P277" s="18">
        <v>45443</v>
      </c>
      <c r="Q277" s="19">
        <v>300</v>
      </c>
      <c r="R277" s="772" t="s">
        <v>117</v>
      </c>
      <c r="S277" s="18">
        <v>43257</v>
      </c>
      <c r="U277" s="106"/>
      <c r="V277" s="3"/>
      <c r="W277" s="3"/>
      <c r="X277" s="3"/>
      <c r="Y277" s="96" t="s">
        <v>4691</v>
      </c>
    </row>
    <row r="278" spans="1:38" ht="12.75" customHeight="1">
      <c r="A278" s="15">
        <v>277</v>
      </c>
      <c r="B278" s="738" t="s">
        <v>1555</v>
      </c>
      <c r="C278" s="16" t="s">
        <v>1082</v>
      </c>
      <c r="D278" s="15" t="s">
        <v>3110</v>
      </c>
      <c r="E278" s="2" t="s">
        <v>3225</v>
      </c>
      <c r="F278" s="3" t="s">
        <v>3307</v>
      </c>
      <c r="G278" s="17">
        <v>47124652</v>
      </c>
      <c r="H278" s="2" t="s">
        <v>1083</v>
      </c>
      <c r="I278" s="2" t="s">
        <v>1084</v>
      </c>
      <c r="J278" s="2" t="s">
        <v>1085</v>
      </c>
      <c r="K278" s="18">
        <v>39156</v>
      </c>
      <c r="L278" s="18">
        <v>39156</v>
      </c>
      <c r="M278" s="18">
        <v>45730</v>
      </c>
      <c r="N278" s="1"/>
      <c r="O278" s="19">
        <v>0</v>
      </c>
      <c r="P278" s="18">
        <v>45730</v>
      </c>
      <c r="Q278" s="19">
        <v>0</v>
      </c>
      <c r="R278" s="772"/>
      <c r="S278" s="18"/>
      <c r="T278" s="3"/>
      <c r="U278" s="3"/>
      <c r="X278" s="24" t="s">
        <v>3308</v>
      </c>
    </row>
    <row r="279" spans="1:38" ht="12.75" customHeight="1">
      <c r="A279" s="15">
        <v>278</v>
      </c>
      <c r="B279" s="736" t="s">
        <v>1555</v>
      </c>
      <c r="C279" s="16" t="s">
        <v>1621</v>
      </c>
      <c r="D279" s="2" t="s">
        <v>5351</v>
      </c>
      <c r="E279" s="2" t="s">
        <v>3144</v>
      </c>
      <c r="F279" s="2" t="s">
        <v>3309</v>
      </c>
      <c r="G279" s="17">
        <v>47116617</v>
      </c>
      <c r="H279" s="2" t="s">
        <v>2068</v>
      </c>
      <c r="I279" s="2" t="s">
        <v>1622</v>
      </c>
      <c r="J279" s="2"/>
      <c r="K279" s="18">
        <v>44315</v>
      </c>
      <c r="L279" s="18">
        <v>44317</v>
      </c>
      <c r="M279" s="18">
        <v>44681</v>
      </c>
      <c r="N279" s="1"/>
      <c r="O279" s="19">
        <v>168576</v>
      </c>
      <c r="P279" s="18">
        <v>44681</v>
      </c>
      <c r="Q279" s="19"/>
      <c r="R279" s="772"/>
      <c r="S279" s="18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12.75" customHeight="1">
      <c r="A280" s="15">
        <v>279</v>
      </c>
      <c r="B280" s="738" t="s">
        <v>1555</v>
      </c>
      <c r="C280" s="16" t="s">
        <v>1359</v>
      </c>
      <c r="D280" s="21" t="s">
        <v>3168</v>
      </c>
      <c r="E280" s="3" t="s">
        <v>3117</v>
      </c>
      <c r="F280" s="3" t="s">
        <v>3310</v>
      </c>
      <c r="G280" s="17">
        <v>47114983</v>
      </c>
      <c r="H280" s="2" t="s">
        <v>147</v>
      </c>
      <c r="I280" s="2" t="s">
        <v>1360</v>
      </c>
      <c r="J280" s="2" t="s">
        <v>1361</v>
      </c>
      <c r="K280" s="18">
        <v>41901</v>
      </c>
      <c r="L280" s="18">
        <v>41901</v>
      </c>
      <c r="M280" s="18">
        <v>45473</v>
      </c>
      <c r="N280" s="1">
        <v>1</v>
      </c>
      <c r="O280" s="19">
        <v>0</v>
      </c>
      <c r="P280" s="18">
        <v>45473</v>
      </c>
      <c r="Q280" s="19">
        <v>0</v>
      </c>
      <c r="R280" s="772"/>
      <c r="S280" s="18"/>
      <c r="T280" s="2"/>
      <c r="U280" s="2">
        <v>3</v>
      </c>
      <c r="V280" s="2" t="s">
        <v>4625</v>
      </c>
      <c r="W280" s="2" t="s">
        <v>4625</v>
      </c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12.75" customHeight="1">
      <c r="A281" s="15">
        <v>280</v>
      </c>
      <c r="B281" s="736" t="s">
        <v>1555</v>
      </c>
      <c r="C281" s="16" t="s">
        <v>2046</v>
      </c>
      <c r="D281" s="20" t="s">
        <v>3087</v>
      </c>
      <c r="E281" s="2" t="s">
        <v>3093</v>
      </c>
      <c r="F281" s="2" t="s">
        <v>3311</v>
      </c>
      <c r="G281" s="17">
        <v>47072741</v>
      </c>
      <c r="H281" s="96" t="s">
        <v>510</v>
      </c>
      <c r="I281" s="2" t="s">
        <v>2047</v>
      </c>
      <c r="J281" s="2"/>
      <c r="K281" s="18">
        <v>44659</v>
      </c>
      <c r="L281" s="18">
        <v>44659</v>
      </c>
      <c r="M281" s="18">
        <v>44742</v>
      </c>
      <c r="N281" s="1"/>
      <c r="O281" s="19">
        <v>28020</v>
      </c>
      <c r="P281" s="18">
        <v>44742</v>
      </c>
      <c r="Q281" s="19"/>
      <c r="R281" s="772"/>
      <c r="S281" s="18"/>
    </row>
    <row r="282" spans="1:38" ht="12.75" customHeight="1">
      <c r="A282" s="15">
        <v>281</v>
      </c>
      <c r="B282" s="736" t="s">
        <v>1555</v>
      </c>
      <c r="C282" s="16" t="s">
        <v>1846</v>
      </c>
      <c r="D282" s="20" t="s">
        <v>3087</v>
      </c>
      <c r="E282" s="2" t="s">
        <v>3103</v>
      </c>
      <c r="F282" s="2" t="s">
        <v>3311</v>
      </c>
      <c r="G282" s="17">
        <v>47072741</v>
      </c>
      <c r="H282" s="2" t="s">
        <v>180</v>
      </c>
      <c r="I282" s="2" t="s">
        <v>1847</v>
      </c>
      <c r="J282" s="2"/>
      <c r="K282" s="18">
        <v>44477</v>
      </c>
      <c r="L282" s="18">
        <v>44477</v>
      </c>
      <c r="M282" s="18">
        <v>44479</v>
      </c>
      <c r="N282" s="1"/>
      <c r="O282" s="19">
        <v>14130</v>
      </c>
      <c r="P282" s="18">
        <v>44479</v>
      </c>
      <c r="Q282" s="19"/>
      <c r="R282" s="772"/>
      <c r="S282" s="18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12.75" customHeight="1">
      <c r="A283" s="15">
        <v>282</v>
      </c>
      <c r="B283" s="736" t="s">
        <v>1555</v>
      </c>
      <c r="C283" s="16" t="s">
        <v>2464</v>
      </c>
      <c r="D283" s="20" t="s">
        <v>3087</v>
      </c>
      <c r="E283" s="2" t="s">
        <v>3093</v>
      </c>
      <c r="F283" s="2" t="s">
        <v>3311</v>
      </c>
      <c r="G283" s="17">
        <v>47072741</v>
      </c>
      <c r="H283" s="96" t="s">
        <v>510</v>
      </c>
      <c r="I283" s="2" t="s">
        <v>2465</v>
      </c>
      <c r="J283" s="2"/>
      <c r="K283" s="18">
        <v>44868</v>
      </c>
      <c r="L283" s="18">
        <v>44868</v>
      </c>
      <c r="M283" s="18">
        <v>44985</v>
      </c>
      <c r="N283" s="1"/>
      <c r="O283" s="19">
        <v>39740</v>
      </c>
      <c r="P283" s="18">
        <v>44985</v>
      </c>
      <c r="Q283" s="19"/>
      <c r="R283" s="772"/>
      <c r="S283" s="18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12.75" customHeight="1">
      <c r="A284" s="15">
        <v>283</v>
      </c>
      <c r="B284" s="738" t="s">
        <v>3086</v>
      </c>
      <c r="C284" s="16" t="s">
        <v>1304</v>
      </c>
      <c r="D284" s="20" t="s">
        <v>3110</v>
      </c>
      <c r="E284" s="3" t="s">
        <v>3312</v>
      </c>
      <c r="F284" s="3" t="s">
        <v>3313</v>
      </c>
      <c r="G284" s="17">
        <v>47060573</v>
      </c>
      <c r="H284" s="2" t="s">
        <v>50</v>
      </c>
      <c r="I284" s="2" t="s">
        <v>1305</v>
      </c>
      <c r="J284" s="2" t="s">
        <v>1305</v>
      </c>
      <c r="K284" s="18">
        <v>41768</v>
      </c>
      <c r="L284" s="18">
        <v>41768</v>
      </c>
      <c r="M284" s="18">
        <v>46150</v>
      </c>
      <c r="N284" s="1"/>
      <c r="O284" s="19">
        <v>0</v>
      </c>
      <c r="P284" s="18">
        <v>46150</v>
      </c>
      <c r="Q284" s="19">
        <v>0</v>
      </c>
      <c r="R284" s="773"/>
      <c r="S284" s="18"/>
      <c r="T284" s="2"/>
      <c r="U284" s="2">
        <v>3</v>
      </c>
      <c r="V284" s="2" t="s">
        <v>4625</v>
      </c>
      <c r="W284" s="2" t="s">
        <v>4625</v>
      </c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12.75" customHeight="1">
      <c r="A285" s="15">
        <v>284</v>
      </c>
      <c r="B285" s="736" t="s">
        <v>1555</v>
      </c>
      <c r="C285" s="16" t="s">
        <v>3043</v>
      </c>
      <c r="D285" s="20" t="s">
        <v>3087</v>
      </c>
      <c r="E285" s="2" t="s">
        <v>3093</v>
      </c>
      <c r="F285" s="2" t="s">
        <v>3314</v>
      </c>
      <c r="G285" s="17">
        <v>47019727</v>
      </c>
      <c r="H285" s="2" t="s">
        <v>180</v>
      </c>
      <c r="I285" s="2" t="s">
        <v>3044</v>
      </c>
      <c r="J285" s="2"/>
      <c r="K285" s="18">
        <v>45266</v>
      </c>
      <c r="L285" s="18">
        <v>45266</v>
      </c>
      <c r="M285" s="18">
        <v>45266</v>
      </c>
      <c r="N285" s="1"/>
      <c r="O285" s="19">
        <v>0</v>
      </c>
      <c r="P285" s="18">
        <v>45266</v>
      </c>
      <c r="Q285" s="19"/>
      <c r="R285" s="772"/>
      <c r="S285" s="18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12.75" customHeight="1">
      <c r="A286" s="15">
        <v>285</v>
      </c>
      <c r="B286" s="738" t="s">
        <v>1555</v>
      </c>
      <c r="C286" s="16" t="s">
        <v>110</v>
      </c>
      <c r="D286" s="15" t="s">
        <v>3094</v>
      </c>
      <c r="E286" s="3" t="s">
        <v>3095</v>
      </c>
      <c r="F286" s="3" t="s">
        <v>3315</v>
      </c>
      <c r="G286" s="17">
        <v>47013974</v>
      </c>
      <c r="H286" s="2" t="s">
        <v>100</v>
      </c>
      <c r="I286" s="2" t="s">
        <v>111</v>
      </c>
      <c r="J286" s="2" t="s">
        <v>112</v>
      </c>
      <c r="K286" s="18">
        <v>43251</v>
      </c>
      <c r="L286" s="18">
        <v>43252</v>
      </c>
      <c r="M286" s="18">
        <v>45443</v>
      </c>
      <c r="N286" s="1"/>
      <c r="O286" s="19">
        <v>300</v>
      </c>
      <c r="P286" s="18">
        <v>45443</v>
      </c>
      <c r="Q286" s="19">
        <v>300</v>
      </c>
      <c r="R286" s="772" t="s">
        <v>113</v>
      </c>
      <c r="S286" s="18">
        <v>43257</v>
      </c>
      <c r="T286" s="2"/>
      <c r="U286" s="105"/>
      <c r="V286" s="2"/>
      <c r="W286" s="2"/>
      <c r="X286" s="3"/>
      <c r="Y286" s="2" t="s">
        <v>4691</v>
      </c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12.75" customHeight="1">
      <c r="A287" s="15">
        <v>286</v>
      </c>
      <c r="B287" s="736" t="s">
        <v>1555</v>
      </c>
      <c r="C287" s="16" t="s">
        <v>2132</v>
      </c>
      <c r="D287" s="20" t="s">
        <v>3087</v>
      </c>
      <c r="E287" s="2" t="s">
        <v>3093</v>
      </c>
      <c r="F287" s="2" t="s">
        <v>3316</v>
      </c>
      <c r="G287" s="17">
        <v>47013711</v>
      </c>
      <c r="H287" s="96" t="s">
        <v>510</v>
      </c>
      <c r="I287" s="2" t="s">
        <v>2133</v>
      </c>
      <c r="J287" s="2"/>
      <c r="K287" s="18">
        <v>44698</v>
      </c>
      <c r="L287" s="18">
        <v>44698</v>
      </c>
      <c r="M287" s="18">
        <v>44773</v>
      </c>
      <c r="N287" s="1"/>
      <c r="O287" s="19"/>
      <c r="P287" s="18">
        <v>44773</v>
      </c>
      <c r="Q287" s="19"/>
      <c r="R287" s="772"/>
      <c r="S287" s="18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12.75" customHeight="1">
      <c r="A288" s="15">
        <v>287</v>
      </c>
      <c r="B288" s="736" t="s">
        <v>1555</v>
      </c>
      <c r="C288" s="16" t="s">
        <v>2780</v>
      </c>
      <c r="D288" s="20" t="s">
        <v>3087</v>
      </c>
      <c r="E288" s="2" t="s">
        <v>3093</v>
      </c>
      <c r="F288" s="2" t="s">
        <v>3316</v>
      </c>
      <c r="G288" s="17">
        <v>47013711</v>
      </c>
      <c r="H288" s="96" t="s">
        <v>510</v>
      </c>
      <c r="I288" s="2" t="s">
        <v>2781</v>
      </c>
      <c r="J288" s="2"/>
      <c r="K288" s="18">
        <v>45071</v>
      </c>
      <c r="L288" s="18">
        <v>45071</v>
      </c>
      <c r="M288" s="18">
        <v>45076</v>
      </c>
      <c r="N288" s="1"/>
      <c r="O288" s="19"/>
      <c r="P288" s="18">
        <v>45076</v>
      </c>
      <c r="Q288" s="19"/>
      <c r="R288" s="772"/>
      <c r="S288" s="18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12.75" customHeight="1">
      <c r="A289" s="15">
        <v>288</v>
      </c>
      <c r="B289" s="738" t="s">
        <v>3086</v>
      </c>
      <c r="C289" s="16" t="s">
        <v>1021</v>
      </c>
      <c r="D289" s="15" t="s">
        <v>3087</v>
      </c>
      <c r="E289" s="15" t="s">
        <v>3093</v>
      </c>
      <c r="F289" s="3" t="s">
        <v>3317</v>
      </c>
      <c r="G289" s="17">
        <v>46744991</v>
      </c>
      <c r="H289" s="96" t="s">
        <v>510</v>
      </c>
      <c r="I289" s="2" t="s">
        <v>1022</v>
      </c>
      <c r="J289" s="2" t="s">
        <v>1023</v>
      </c>
      <c r="K289" s="18">
        <v>38166</v>
      </c>
      <c r="L289" s="18">
        <v>38166</v>
      </c>
      <c r="M289" s="18"/>
      <c r="N289" s="1"/>
      <c r="O289" s="19">
        <v>0</v>
      </c>
      <c r="P289" s="18"/>
      <c r="Q289" s="19">
        <v>0</v>
      </c>
      <c r="R289" s="773"/>
      <c r="S289" s="18"/>
      <c r="T289" s="2"/>
      <c r="U289" s="2"/>
      <c r="X289" s="25" t="s">
        <v>3318</v>
      </c>
      <c r="Y289" s="2" t="s">
        <v>4728</v>
      </c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12.75" customHeight="1">
      <c r="A290" s="15">
        <v>289</v>
      </c>
      <c r="B290" s="736" t="s">
        <v>1555</v>
      </c>
      <c r="C290" s="16" t="s">
        <v>362</v>
      </c>
      <c r="D290" s="15" t="s">
        <v>3087</v>
      </c>
      <c r="E290" s="2" t="s">
        <v>3202</v>
      </c>
      <c r="F290" s="2" t="s">
        <v>3319</v>
      </c>
      <c r="G290" s="17">
        <v>46580379</v>
      </c>
      <c r="H290" s="2" t="s">
        <v>361</v>
      </c>
      <c r="I290" s="2" t="s">
        <v>363</v>
      </c>
      <c r="J290" s="2"/>
      <c r="K290" s="18">
        <v>44538</v>
      </c>
      <c r="L290" s="18">
        <v>44538</v>
      </c>
      <c r="M290" s="18">
        <v>45291</v>
      </c>
      <c r="N290" s="1">
        <v>6</v>
      </c>
      <c r="O290" s="19">
        <v>1690</v>
      </c>
      <c r="P290" s="18">
        <v>45291</v>
      </c>
      <c r="Q290" s="19">
        <v>1690</v>
      </c>
      <c r="R290" s="772" t="s">
        <v>364</v>
      </c>
      <c r="S290" s="18">
        <v>44538</v>
      </c>
      <c r="T290" s="2"/>
      <c r="U290" s="2"/>
      <c r="V290" s="2" t="s">
        <v>3091</v>
      </c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12.75" customHeight="1">
      <c r="A291" s="15">
        <v>290</v>
      </c>
      <c r="B291" s="736" t="s">
        <v>3086</v>
      </c>
      <c r="C291" s="16" t="s">
        <v>780</v>
      </c>
      <c r="D291" s="21" t="s">
        <v>3116</v>
      </c>
      <c r="E291" s="2" t="s">
        <v>3273</v>
      </c>
      <c r="F291" s="2" t="s">
        <v>3320</v>
      </c>
      <c r="G291" s="17">
        <v>46578706</v>
      </c>
      <c r="H291" s="2" t="s">
        <v>271</v>
      </c>
      <c r="I291" s="2" t="s">
        <v>781</v>
      </c>
      <c r="J291" s="2"/>
      <c r="K291" s="18">
        <v>45187</v>
      </c>
      <c r="L291" s="18">
        <v>45187</v>
      </c>
      <c r="M291" s="18">
        <v>47361</v>
      </c>
      <c r="N291" s="1">
        <v>4</v>
      </c>
      <c r="O291" s="19">
        <v>150000</v>
      </c>
      <c r="P291" s="18">
        <v>47361</v>
      </c>
      <c r="Q291" s="19">
        <v>150000</v>
      </c>
      <c r="R291" s="772" t="s">
        <v>782</v>
      </c>
      <c r="S291" s="18">
        <v>45190</v>
      </c>
      <c r="T291" s="2"/>
      <c r="U291" s="3">
        <v>3</v>
      </c>
      <c r="V291" s="2" t="s">
        <v>4625</v>
      </c>
      <c r="W291" s="2" t="s">
        <v>4625</v>
      </c>
      <c r="X291" s="2"/>
      <c r="Y291" s="2" t="s">
        <v>4713</v>
      </c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12.75" customHeight="1">
      <c r="A292" s="15">
        <v>291</v>
      </c>
      <c r="B292" s="736" t="s">
        <v>1555</v>
      </c>
      <c r="C292" s="16" t="s">
        <v>1701</v>
      </c>
      <c r="D292" s="20" t="s">
        <v>3087</v>
      </c>
      <c r="E292" s="2" t="s">
        <v>3162</v>
      </c>
      <c r="F292" s="2" t="s">
        <v>3321</v>
      </c>
      <c r="G292" s="17">
        <v>46403272</v>
      </c>
      <c r="H292" s="96" t="s">
        <v>830</v>
      </c>
      <c r="I292" s="2" t="s">
        <v>1702</v>
      </c>
      <c r="J292" s="2"/>
      <c r="K292" s="18">
        <v>44358</v>
      </c>
      <c r="L292" s="18">
        <v>44361</v>
      </c>
      <c r="M292" s="18">
        <v>44374</v>
      </c>
      <c r="N292" s="1"/>
      <c r="O292" s="19">
        <v>3500</v>
      </c>
      <c r="P292" s="18">
        <v>44374</v>
      </c>
      <c r="Q292" s="19"/>
      <c r="R292" s="772"/>
      <c r="S292" s="18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12.75" customHeight="1">
      <c r="A293" s="15">
        <v>292</v>
      </c>
      <c r="B293" s="736" t="s">
        <v>1555</v>
      </c>
      <c r="C293" s="16" t="s">
        <v>3050</v>
      </c>
      <c r="D293" s="20" t="s">
        <v>3110</v>
      </c>
      <c r="E293" s="3" t="s">
        <v>3123</v>
      </c>
      <c r="F293" s="2" t="s">
        <v>3322</v>
      </c>
      <c r="G293" s="17">
        <v>46390472</v>
      </c>
      <c r="H293" s="2" t="s">
        <v>3049</v>
      </c>
      <c r="I293" s="2" t="s">
        <v>3051</v>
      </c>
      <c r="J293" s="2"/>
      <c r="K293" s="18">
        <v>45306</v>
      </c>
      <c r="L293" s="18">
        <v>45306</v>
      </c>
      <c r="M293" s="18">
        <v>45306</v>
      </c>
      <c r="N293" s="1">
        <v>7</v>
      </c>
      <c r="O293" s="19">
        <v>1000</v>
      </c>
      <c r="P293" s="18">
        <v>45306</v>
      </c>
      <c r="Q293" s="19"/>
      <c r="R293" s="772"/>
      <c r="S293" s="18"/>
      <c r="T293" s="2"/>
      <c r="U293" s="2"/>
      <c r="V293" s="2" t="s">
        <v>3091</v>
      </c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12.75" customHeight="1">
      <c r="A294" s="15">
        <v>293</v>
      </c>
      <c r="B294" s="736" t="s">
        <v>1555</v>
      </c>
      <c r="C294" s="16" t="s">
        <v>1589</v>
      </c>
      <c r="D294" s="20" t="s">
        <v>3110</v>
      </c>
      <c r="E294" s="2" t="s">
        <v>3225</v>
      </c>
      <c r="F294" s="3" t="s">
        <v>3323</v>
      </c>
      <c r="G294" s="17">
        <v>46358714</v>
      </c>
      <c r="H294" s="2" t="s">
        <v>482</v>
      </c>
      <c r="I294" s="2" t="s">
        <v>1590</v>
      </c>
      <c r="J294" s="2"/>
      <c r="K294" s="18">
        <v>44273</v>
      </c>
      <c r="L294" s="18">
        <v>44273</v>
      </c>
      <c r="M294" s="18">
        <v>44306</v>
      </c>
      <c r="N294" s="1"/>
      <c r="O294" s="19">
        <v>123967</v>
      </c>
      <c r="P294" s="18">
        <v>44306</v>
      </c>
      <c r="Q294" s="19"/>
      <c r="R294" s="772"/>
      <c r="S294" s="18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12.75" customHeight="1">
      <c r="A295" s="15">
        <v>294</v>
      </c>
      <c r="B295" s="736" t="s">
        <v>1555</v>
      </c>
      <c r="C295" s="16" t="s">
        <v>1603</v>
      </c>
      <c r="D295" s="20" t="s">
        <v>3110</v>
      </c>
      <c r="E295" s="2" t="s">
        <v>3225</v>
      </c>
      <c r="F295" s="3" t="s">
        <v>3323</v>
      </c>
      <c r="G295" s="17">
        <v>46358714</v>
      </c>
      <c r="H295" s="2" t="s">
        <v>482</v>
      </c>
      <c r="I295" s="2" t="s">
        <v>1604</v>
      </c>
      <c r="J295" s="2"/>
      <c r="K295" s="18">
        <v>44287</v>
      </c>
      <c r="L295" s="18">
        <v>44287</v>
      </c>
      <c r="M295" s="18">
        <v>44306</v>
      </c>
      <c r="N295" s="1"/>
      <c r="O295" s="19">
        <v>148760</v>
      </c>
      <c r="P295" s="18">
        <v>44306</v>
      </c>
      <c r="Q295" s="19"/>
      <c r="R295" s="772"/>
      <c r="S295" s="18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12.75" customHeight="1">
      <c r="A296" s="15">
        <v>295</v>
      </c>
      <c r="B296" s="736" t="s">
        <v>1555</v>
      </c>
      <c r="C296" s="16" t="s">
        <v>2020</v>
      </c>
      <c r="D296" s="20" t="s">
        <v>3110</v>
      </c>
      <c r="E296" s="2" t="s">
        <v>3225</v>
      </c>
      <c r="F296" s="3" t="s">
        <v>3323</v>
      </c>
      <c r="G296" s="17">
        <v>46358714</v>
      </c>
      <c r="H296" s="2" t="s">
        <v>482</v>
      </c>
      <c r="I296" s="2" t="s">
        <v>2021</v>
      </c>
      <c r="J296" s="2"/>
      <c r="K296" s="18">
        <v>44649</v>
      </c>
      <c r="L296" s="18">
        <v>44649</v>
      </c>
      <c r="M296" s="18"/>
      <c r="N296" s="1"/>
      <c r="O296" s="19">
        <v>440000</v>
      </c>
      <c r="P296" s="18">
        <v>44741</v>
      </c>
      <c r="Q296" s="19"/>
      <c r="R296" s="772"/>
      <c r="S296" s="18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12.75" customHeight="1">
      <c r="A297" s="15">
        <v>296</v>
      </c>
      <c r="B297" s="736" t="s">
        <v>1555</v>
      </c>
      <c r="C297" s="16" t="s">
        <v>1679</v>
      </c>
      <c r="D297" s="20" t="s">
        <v>3110</v>
      </c>
      <c r="E297" s="2" t="s">
        <v>3225</v>
      </c>
      <c r="F297" s="3" t="s">
        <v>3323</v>
      </c>
      <c r="G297" s="17">
        <v>46358714</v>
      </c>
      <c r="H297" s="2" t="s">
        <v>1678</v>
      </c>
      <c r="I297" s="2" t="s">
        <v>1680</v>
      </c>
      <c r="J297" s="2"/>
      <c r="K297" s="18">
        <v>44363</v>
      </c>
      <c r="L297" s="18">
        <v>44363</v>
      </c>
      <c r="M297" s="18">
        <v>44373</v>
      </c>
      <c r="N297" s="1"/>
      <c r="O297" s="19">
        <v>115702</v>
      </c>
      <c r="P297" s="18">
        <v>44373</v>
      </c>
      <c r="Q297" s="19"/>
      <c r="R297" s="772"/>
      <c r="S297" s="18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12.75" customHeight="1">
      <c r="A298" s="15">
        <v>297</v>
      </c>
      <c r="B298" s="736" t="s">
        <v>1555</v>
      </c>
      <c r="C298" s="16" t="s">
        <v>1681</v>
      </c>
      <c r="D298" s="20" t="s">
        <v>3110</v>
      </c>
      <c r="E298" s="2" t="s">
        <v>3225</v>
      </c>
      <c r="F298" s="3" t="s">
        <v>3323</v>
      </c>
      <c r="G298" s="17">
        <v>46358714</v>
      </c>
      <c r="H298" s="2" t="s">
        <v>1678</v>
      </c>
      <c r="I298" s="2" t="s">
        <v>1682</v>
      </c>
      <c r="J298" s="2"/>
      <c r="K298" s="18">
        <v>44363</v>
      </c>
      <c r="L298" s="18">
        <v>44363</v>
      </c>
      <c r="M298" s="18">
        <v>44373</v>
      </c>
      <c r="N298" s="1"/>
      <c r="O298" s="19">
        <v>99174</v>
      </c>
      <c r="P298" s="18">
        <v>44373</v>
      </c>
      <c r="Q298" s="19"/>
      <c r="R298" s="772"/>
      <c r="S298" s="18"/>
    </row>
    <row r="299" spans="1:38" ht="12.75" customHeight="1">
      <c r="A299" s="15">
        <v>298</v>
      </c>
      <c r="B299" s="736" t="s">
        <v>1555</v>
      </c>
      <c r="C299" s="16" t="s">
        <v>1683</v>
      </c>
      <c r="D299" s="20" t="s">
        <v>3110</v>
      </c>
      <c r="E299" s="2" t="s">
        <v>3225</v>
      </c>
      <c r="F299" s="3" t="s">
        <v>3323</v>
      </c>
      <c r="G299" s="17">
        <v>46358714</v>
      </c>
      <c r="H299" s="2" t="s">
        <v>1678</v>
      </c>
      <c r="I299" s="2" t="s">
        <v>1684</v>
      </c>
      <c r="J299" s="2"/>
      <c r="K299" s="18">
        <v>44363</v>
      </c>
      <c r="L299" s="18">
        <v>44363</v>
      </c>
      <c r="M299" s="18">
        <v>44373</v>
      </c>
      <c r="N299" s="1"/>
      <c r="O299" s="19">
        <v>107438</v>
      </c>
      <c r="P299" s="18">
        <v>44373</v>
      </c>
      <c r="Q299" s="19"/>
      <c r="R299" s="772"/>
      <c r="S299" s="18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12.75" customHeight="1">
      <c r="A300" s="15">
        <v>299</v>
      </c>
      <c r="B300" s="736" t="s">
        <v>1555</v>
      </c>
      <c r="C300" s="16" t="s">
        <v>2072</v>
      </c>
      <c r="D300" s="20" t="s">
        <v>3110</v>
      </c>
      <c r="E300" s="2" t="s">
        <v>3225</v>
      </c>
      <c r="F300" s="3" t="s">
        <v>3323</v>
      </c>
      <c r="G300" s="17">
        <v>46358714</v>
      </c>
      <c r="H300" s="2" t="s">
        <v>2071</v>
      </c>
      <c r="I300" s="2" t="s">
        <v>2073</v>
      </c>
      <c r="J300" s="2"/>
      <c r="K300" s="18">
        <v>44677</v>
      </c>
      <c r="L300" s="18">
        <v>44677</v>
      </c>
      <c r="M300" s="18">
        <v>44768</v>
      </c>
      <c r="N300" s="1"/>
      <c r="O300" s="19">
        <v>220000</v>
      </c>
      <c r="P300" s="18">
        <v>44768</v>
      </c>
      <c r="Q300" s="19"/>
      <c r="R300" s="772"/>
      <c r="S300" s="18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12.75" customHeight="1">
      <c r="A301" s="15">
        <v>300</v>
      </c>
      <c r="B301" s="736" t="s">
        <v>1555</v>
      </c>
      <c r="C301" s="16" t="s">
        <v>1852</v>
      </c>
      <c r="D301" s="20" t="s">
        <v>3110</v>
      </c>
      <c r="E301" s="2" t="s">
        <v>3225</v>
      </c>
      <c r="F301" s="3" t="s">
        <v>3323</v>
      </c>
      <c r="G301" s="17">
        <v>46358714</v>
      </c>
      <c r="H301" s="2" t="s">
        <v>482</v>
      </c>
      <c r="I301" s="2" t="s">
        <v>1853</v>
      </c>
      <c r="J301" s="2"/>
      <c r="K301" s="18">
        <v>44502</v>
      </c>
      <c r="L301" s="18">
        <v>44502</v>
      </c>
      <c r="M301" s="18">
        <v>44525</v>
      </c>
      <c r="N301" s="1"/>
      <c r="O301" s="19">
        <v>223140</v>
      </c>
      <c r="P301" s="18">
        <v>44525</v>
      </c>
      <c r="Q301" s="19"/>
      <c r="R301" s="772"/>
      <c r="S301" s="18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12.75" customHeight="1">
      <c r="A302" s="15">
        <v>301</v>
      </c>
      <c r="B302" s="736" t="s">
        <v>1555</v>
      </c>
      <c r="C302" s="16" t="s">
        <v>2220</v>
      </c>
      <c r="D302" s="20" t="s">
        <v>3110</v>
      </c>
      <c r="E302" s="2" t="s">
        <v>3225</v>
      </c>
      <c r="F302" s="3" t="s">
        <v>3323</v>
      </c>
      <c r="G302" s="17">
        <v>46358714</v>
      </c>
      <c r="H302" s="2" t="s">
        <v>482</v>
      </c>
      <c r="I302" s="2" t="s">
        <v>2221</v>
      </c>
      <c r="J302" s="2"/>
      <c r="K302" s="18">
        <v>44767</v>
      </c>
      <c r="L302" s="18">
        <v>44767</v>
      </c>
      <c r="M302" s="18">
        <v>44923</v>
      </c>
      <c r="N302" s="1"/>
      <c r="O302" s="19">
        <v>150000</v>
      </c>
      <c r="P302" s="18">
        <v>44923</v>
      </c>
      <c r="Q302" s="19"/>
      <c r="R302" s="772"/>
      <c r="S302" s="18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12.75" customHeight="1">
      <c r="A303" s="15">
        <v>302</v>
      </c>
      <c r="B303" s="738" t="s">
        <v>3086</v>
      </c>
      <c r="C303" s="16" t="s">
        <v>33</v>
      </c>
      <c r="D303" s="2" t="s">
        <v>3110</v>
      </c>
      <c r="E303" s="3" t="s">
        <v>3141</v>
      </c>
      <c r="F303" s="3" t="s">
        <v>3324</v>
      </c>
      <c r="G303" s="17">
        <v>46356983</v>
      </c>
      <c r="H303" s="2" t="s">
        <v>32</v>
      </c>
      <c r="I303" s="2" t="s">
        <v>34</v>
      </c>
      <c r="J303" s="2" t="s">
        <v>35</v>
      </c>
      <c r="K303" s="18">
        <v>42802</v>
      </c>
      <c r="L303" s="18">
        <v>42802</v>
      </c>
      <c r="M303" s="18">
        <v>2958465</v>
      </c>
      <c r="N303" s="1"/>
      <c r="O303" s="19">
        <v>0</v>
      </c>
      <c r="P303" s="18">
        <v>2958465</v>
      </c>
      <c r="Q303" s="19">
        <v>0</v>
      </c>
      <c r="R303" s="772" t="s">
        <v>36</v>
      </c>
      <c r="S303" s="18">
        <v>42802</v>
      </c>
      <c r="T303" s="2"/>
      <c r="U303" s="2">
        <v>3</v>
      </c>
      <c r="V303" s="3" t="s">
        <v>4625</v>
      </c>
      <c r="W303" s="3" t="s">
        <v>4625</v>
      </c>
      <c r="X303" s="2"/>
      <c r="Y303" s="2" t="s">
        <v>4779</v>
      </c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12.75" customHeight="1">
      <c r="A304" s="15">
        <v>303</v>
      </c>
      <c r="B304" s="738" t="s">
        <v>3086</v>
      </c>
      <c r="C304" s="16" t="s">
        <v>1251</v>
      </c>
      <c r="D304" s="15" t="s">
        <v>3110</v>
      </c>
      <c r="E304" s="3" t="s">
        <v>3141</v>
      </c>
      <c r="F304" s="3" t="s">
        <v>3324</v>
      </c>
      <c r="G304" s="17">
        <v>46356983</v>
      </c>
      <c r="H304" s="2" t="s">
        <v>1057</v>
      </c>
      <c r="I304" s="2" t="s">
        <v>1252</v>
      </c>
      <c r="J304" s="2" t="s">
        <v>1252</v>
      </c>
      <c r="K304" s="18">
        <v>41179</v>
      </c>
      <c r="L304" s="18">
        <v>41179</v>
      </c>
      <c r="M304" s="18">
        <v>2958465</v>
      </c>
      <c r="N304" s="1"/>
      <c r="O304" s="19">
        <v>0</v>
      </c>
      <c r="P304" s="18">
        <v>2958465</v>
      </c>
      <c r="Q304" s="19">
        <v>0</v>
      </c>
      <c r="R304" s="773"/>
      <c r="S304" s="18"/>
      <c r="T304" s="2"/>
      <c r="U304" s="2">
        <v>3</v>
      </c>
      <c r="V304" s="3" t="s">
        <v>4625</v>
      </c>
      <c r="W304" s="3" t="s">
        <v>4625</v>
      </c>
      <c r="X304" s="2"/>
      <c r="Y304" s="2" t="s">
        <v>4780</v>
      </c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12.75" customHeight="1">
      <c r="A305" s="15">
        <v>304</v>
      </c>
      <c r="B305" s="738" t="s">
        <v>3086</v>
      </c>
      <c r="C305" s="16" t="s">
        <v>1253</v>
      </c>
      <c r="D305" s="15" t="s">
        <v>3110</v>
      </c>
      <c r="E305" s="3" t="s">
        <v>3141</v>
      </c>
      <c r="F305" s="3" t="s">
        <v>3324</v>
      </c>
      <c r="G305" s="17">
        <v>46356983</v>
      </c>
      <c r="H305" s="2" t="s">
        <v>1057</v>
      </c>
      <c r="I305" s="2" t="s">
        <v>1254</v>
      </c>
      <c r="J305" s="2" t="s">
        <v>1254</v>
      </c>
      <c r="K305" s="18">
        <v>41184</v>
      </c>
      <c r="L305" s="18">
        <v>41184</v>
      </c>
      <c r="M305" s="18">
        <v>2958465</v>
      </c>
      <c r="N305" s="1"/>
      <c r="O305" s="19">
        <v>0</v>
      </c>
      <c r="P305" s="18">
        <v>2958465</v>
      </c>
      <c r="Q305" s="19">
        <v>0</v>
      </c>
      <c r="R305" s="773"/>
      <c r="S305" s="18"/>
      <c r="T305" s="2"/>
      <c r="U305" s="2">
        <v>3</v>
      </c>
      <c r="V305" s="3" t="s">
        <v>4625</v>
      </c>
      <c r="W305" s="3" t="s">
        <v>4625</v>
      </c>
      <c r="X305" s="2"/>
      <c r="Y305" s="2" t="s">
        <v>4780</v>
      </c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12.75" customHeight="1">
      <c r="A306" s="15">
        <v>305</v>
      </c>
      <c r="B306" s="738" t="s">
        <v>3086</v>
      </c>
      <c r="C306" s="16" t="s">
        <v>1255</v>
      </c>
      <c r="D306" s="15" t="s">
        <v>3110</v>
      </c>
      <c r="E306" s="3" t="s">
        <v>3141</v>
      </c>
      <c r="F306" s="3" t="s">
        <v>3324</v>
      </c>
      <c r="G306" s="17">
        <v>46356983</v>
      </c>
      <c r="H306" s="2" t="s">
        <v>1057</v>
      </c>
      <c r="I306" s="2" t="s">
        <v>1256</v>
      </c>
      <c r="J306" s="2" t="s">
        <v>1257</v>
      </c>
      <c r="K306" s="18">
        <v>44471</v>
      </c>
      <c r="L306" s="18">
        <v>44471</v>
      </c>
      <c r="M306" s="18">
        <v>2958465</v>
      </c>
      <c r="N306" s="1"/>
      <c r="O306" s="19">
        <v>0</v>
      </c>
      <c r="P306" s="18">
        <v>2958465</v>
      </c>
      <c r="Q306" s="19">
        <v>0</v>
      </c>
      <c r="R306" s="773"/>
      <c r="S306" s="18"/>
      <c r="T306" s="2"/>
      <c r="U306" s="2">
        <v>3</v>
      </c>
      <c r="V306" s="3" t="s">
        <v>4625</v>
      </c>
      <c r="W306" s="3" t="s">
        <v>4625</v>
      </c>
      <c r="X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12.75" customHeight="1">
      <c r="A307" s="15">
        <v>306</v>
      </c>
      <c r="B307" s="738" t="s">
        <v>3086</v>
      </c>
      <c r="C307" s="16" t="s">
        <v>1056</v>
      </c>
      <c r="D307" s="15" t="s">
        <v>3110</v>
      </c>
      <c r="E307" s="3" t="s">
        <v>3141</v>
      </c>
      <c r="F307" s="3" t="s">
        <v>3325</v>
      </c>
      <c r="G307" s="17">
        <v>46356975</v>
      </c>
      <c r="H307" s="2" t="s">
        <v>1057</v>
      </c>
      <c r="I307" s="2" t="s">
        <v>1058</v>
      </c>
      <c r="J307" s="2" t="s">
        <v>1059</v>
      </c>
      <c r="K307" s="18">
        <v>38728</v>
      </c>
      <c r="L307" s="18">
        <v>38728</v>
      </c>
      <c r="M307" s="18">
        <v>2958465</v>
      </c>
      <c r="N307" s="1">
        <v>4</v>
      </c>
      <c r="O307" s="19">
        <v>0</v>
      </c>
      <c r="P307" s="18">
        <v>2958465</v>
      </c>
      <c r="Q307" s="19">
        <v>0</v>
      </c>
      <c r="R307" s="773"/>
      <c r="S307" s="18"/>
      <c r="T307" s="2"/>
      <c r="U307" s="2">
        <v>3</v>
      </c>
      <c r="V307" s="3" t="s">
        <v>4625</v>
      </c>
      <c r="W307" s="3" t="s">
        <v>4625</v>
      </c>
      <c r="X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12.75" customHeight="1">
      <c r="A308" s="15">
        <v>307</v>
      </c>
      <c r="B308" s="736" t="s">
        <v>3086</v>
      </c>
      <c r="C308" s="16" t="s">
        <v>400</v>
      </c>
      <c r="D308" s="2" t="s">
        <v>3110</v>
      </c>
      <c r="E308" s="2" t="s">
        <v>3141</v>
      </c>
      <c r="F308" s="3" t="s">
        <v>3325</v>
      </c>
      <c r="G308" s="17">
        <v>46356975</v>
      </c>
      <c r="H308" s="2" t="s">
        <v>399</v>
      </c>
      <c r="I308" s="2" t="s">
        <v>401</v>
      </c>
      <c r="J308" s="2"/>
      <c r="K308" s="30">
        <v>44603</v>
      </c>
      <c r="L308" s="30">
        <v>44603</v>
      </c>
      <c r="M308" s="30">
        <v>2958465</v>
      </c>
      <c r="N308" s="31">
        <v>4</v>
      </c>
      <c r="O308" s="32" t="s">
        <v>3326</v>
      </c>
      <c r="P308" s="30">
        <v>2958465</v>
      </c>
      <c r="Q308" s="33">
        <v>18000</v>
      </c>
      <c r="R308" s="775" t="s">
        <v>402</v>
      </c>
      <c r="S308" s="34">
        <v>44603</v>
      </c>
      <c r="T308" s="35"/>
      <c r="U308" s="2">
        <v>3</v>
      </c>
      <c r="V308" s="3" t="s">
        <v>4625</v>
      </c>
      <c r="W308" s="3" t="s">
        <v>4625</v>
      </c>
      <c r="X308" s="35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12.75" customHeight="1">
      <c r="A309" s="15">
        <v>308</v>
      </c>
      <c r="B309" s="738" t="s">
        <v>1555</v>
      </c>
      <c r="C309" s="16" t="s">
        <v>1066</v>
      </c>
      <c r="D309" s="20" t="s">
        <v>3110</v>
      </c>
      <c r="E309" s="3" t="s">
        <v>3141</v>
      </c>
      <c r="F309" s="28" t="s">
        <v>3327</v>
      </c>
      <c r="G309" s="17">
        <v>46356550</v>
      </c>
      <c r="H309" s="2" t="s">
        <v>1012</v>
      </c>
      <c r="I309" s="2" t="s">
        <v>1067</v>
      </c>
      <c r="J309" s="2" t="s">
        <v>1067</v>
      </c>
      <c r="K309" s="30">
        <v>39048</v>
      </c>
      <c r="L309" s="30">
        <v>39048</v>
      </c>
      <c r="M309" s="30">
        <v>2958465</v>
      </c>
      <c r="N309" s="35"/>
      <c r="O309" s="32">
        <v>0</v>
      </c>
      <c r="P309" s="30">
        <v>2958465</v>
      </c>
      <c r="Q309" s="32">
        <v>0</v>
      </c>
      <c r="R309" s="31"/>
      <c r="S309" s="37"/>
      <c r="T309" s="35"/>
      <c r="U309" s="35"/>
      <c r="V309" t="s">
        <v>4625</v>
      </c>
      <c r="W309" t="s">
        <v>4625</v>
      </c>
      <c r="X309" s="2"/>
      <c r="Y309" s="2" t="s">
        <v>4778</v>
      </c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12.75" customHeight="1">
      <c r="A310" s="15">
        <v>309</v>
      </c>
      <c r="B310" s="736" t="s">
        <v>1555</v>
      </c>
      <c r="C310" s="16" t="s">
        <v>1587</v>
      </c>
      <c r="D310" s="20" t="s">
        <v>3087</v>
      </c>
      <c r="E310" s="2" t="s">
        <v>3202</v>
      </c>
      <c r="F310" s="2" t="s">
        <v>3328</v>
      </c>
      <c r="G310" s="17">
        <v>45915458</v>
      </c>
      <c r="H310" s="2" t="s">
        <v>546</v>
      </c>
      <c r="I310" s="2" t="s">
        <v>1588</v>
      </c>
      <c r="J310" s="2"/>
      <c r="K310" s="18">
        <v>44273</v>
      </c>
      <c r="L310" s="18">
        <v>44287</v>
      </c>
      <c r="M310" s="18">
        <v>44561</v>
      </c>
      <c r="N310" s="1"/>
      <c r="O310" s="19">
        <v>300000</v>
      </c>
      <c r="P310" s="18">
        <v>44561</v>
      </c>
      <c r="Q310" s="19"/>
      <c r="R310" s="772"/>
      <c r="S310" s="18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12.75" customHeight="1">
      <c r="A311" s="15">
        <v>310</v>
      </c>
      <c r="B311" s="736" t="s">
        <v>1555</v>
      </c>
      <c r="C311" s="16" t="s">
        <v>1906</v>
      </c>
      <c r="D311" s="20" t="s">
        <v>3087</v>
      </c>
      <c r="E311" s="2" t="s">
        <v>3329</v>
      </c>
      <c r="F311" s="3" t="s">
        <v>3328</v>
      </c>
      <c r="G311" s="17">
        <v>45915458</v>
      </c>
      <c r="H311" s="2" t="s">
        <v>1905</v>
      </c>
      <c r="I311" s="2" t="s">
        <v>1907</v>
      </c>
      <c r="J311" s="2"/>
      <c r="K311" s="18">
        <v>44557</v>
      </c>
      <c r="L311" s="18">
        <v>44561</v>
      </c>
      <c r="M311" s="18">
        <v>44561</v>
      </c>
      <c r="N311" s="1"/>
      <c r="O311" s="19"/>
      <c r="P311" s="18">
        <v>44561</v>
      </c>
      <c r="Q311" s="19"/>
      <c r="R311" s="772"/>
      <c r="S311" s="18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12.75" customHeight="1">
      <c r="A312" s="15">
        <v>311</v>
      </c>
      <c r="B312" s="738" t="s">
        <v>3086</v>
      </c>
      <c r="C312" s="16" t="s">
        <v>1024</v>
      </c>
      <c r="D312" s="2" t="s">
        <v>3110</v>
      </c>
      <c r="E312" s="3" t="s">
        <v>3228</v>
      </c>
      <c r="F312" s="3" t="s">
        <v>3330</v>
      </c>
      <c r="G312" s="17">
        <v>45809712</v>
      </c>
      <c r="H312" s="2" t="s">
        <v>64</v>
      </c>
      <c r="I312" s="2" t="s">
        <v>1025</v>
      </c>
      <c r="J312" s="2" t="s">
        <v>1026</v>
      </c>
      <c r="K312" s="30">
        <v>38243</v>
      </c>
      <c r="L312" s="30">
        <v>38243</v>
      </c>
      <c r="M312" s="37"/>
      <c r="N312" s="31">
        <v>4</v>
      </c>
      <c r="O312" s="32">
        <v>0</v>
      </c>
      <c r="P312" s="37"/>
      <c r="Q312" s="32">
        <v>0</v>
      </c>
      <c r="R312" s="31"/>
      <c r="S312" s="37"/>
      <c r="T312" s="35"/>
      <c r="U312" s="35"/>
      <c r="V312" s="15"/>
      <c r="W312" s="15"/>
      <c r="X312" s="38" t="s">
        <v>3331</v>
      </c>
      <c r="Y312" s="39"/>
      <c r="AG312" s="654" t="s">
        <v>4996</v>
      </c>
      <c r="AH312" s="654"/>
      <c r="AI312" s="654"/>
    </row>
    <row r="313" spans="1:38" ht="12.75" customHeight="1">
      <c r="A313" s="15">
        <v>312</v>
      </c>
      <c r="B313" s="738" t="s">
        <v>3086</v>
      </c>
      <c r="C313" s="16" t="s">
        <v>1039</v>
      </c>
      <c r="D313" s="2" t="s">
        <v>3110</v>
      </c>
      <c r="E313" s="3" t="s">
        <v>3228</v>
      </c>
      <c r="F313" s="3" t="s">
        <v>3330</v>
      </c>
      <c r="G313" s="17">
        <v>45809712</v>
      </c>
      <c r="H313" s="2" t="s">
        <v>64</v>
      </c>
      <c r="I313" s="2" t="s">
        <v>1040</v>
      </c>
      <c r="J313" s="2" t="s">
        <v>1026</v>
      </c>
      <c r="K313" s="30">
        <v>36840</v>
      </c>
      <c r="L313" s="30">
        <v>36840</v>
      </c>
      <c r="M313" s="30">
        <v>2958465</v>
      </c>
      <c r="N313" s="31">
        <v>4</v>
      </c>
      <c r="O313" s="32">
        <v>0</v>
      </c>
      <c r="P313" s="30">
        <v>2958465</v>
      </c>
      <c r="Q313" s="32">
        <v>0</v>
      </c>
      <c r="R313" s="31"/>
      <c r="S313" s="37"/>
      <c r="T313" s="35"/>
      <c r="U313" s="35"/>
      <c r="V313" s="15"/>
      <c r="W313" s="15"/>
      <c r="X313" s="35" t="s">
        <v>3332</v>
      </c>
      <c r="Y313" s="39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12.75" customHeight="1">
      <c r="A314" s="15">
        <v>313</v>
      </c>
      <c r="B314" s="738" t="s">
        <v>3086</v>
      </c>
      <c r="C314" s="16" t="s">
        <v>1292</v>
      </c>
      <c r="D314" s="2" t="s">
        <v>3110</v>
      </c>
      <c r="E314" s="3" t="s">
        <v>3228</v>
      </c>
      <c r="F314" s="3" t="s">
        <v>3330</v>
      </c>
      <c r="G314" s="17">
        <v>45809712</v>
      </c>
      <c r="H314" s="2" t="s">
        <v>64</v>
      </c>
      <c r="I314" s="2" t="s">
        <v>1293</v>
      </c>
      <c r="J314" s="2" t="s">
        <v>1026</v>
      </c>
      <c r="K314" s="30">
        <v>41530</v>
      </c>
      <c r="L314" s="30">
        <v>41530</v>
      </c>
      <c r="M314" s="37"/>
      <c r="N314" s="31">
        <v>4</v>
      </c>
      <c r="O314" s="32">
        <v>0</v>
      </c>
      <c r="P314" s="37"/>
      <c r="Q314" s="32">
        <v>0</v>
      </c>
      <c r="R314" s="31"/>
      <c r="S314" s="37"/>
      <c r="T314" s="35"/>
      <c r="U314" s="35"/>
      <c r="V314" s="35"/>
      <c r="W314" s="35"/>
      <c r="X314" s="35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12.75" customHeight="1">
      <c r="A315" s="15">
        <v>314</v>
      </c>
      <c r="B315" s="736" t="s">
        <v>1555</v>
      </c>
      <c r="C315" s="16" t="s">
        <v>801</v>
      </c>
      <c r="D315" s="20" t="s">
        <v>3087</v>
      </c>
      <c r="E315" s="2" t="s">
        <v>3117</v>
      </c>
      <c r="F315" s="2" t="s">
        <v>3333</v>
      </c>
      <c r="G315" s="17">
        <v>45773009</v>
      </c>
      <c r="H315" s="2" t="s">
        <v>800</v>
      </c>
      <c r="I315" s="2" t="s">
        <v>802</v>
      </c>
      <c r="J315" s="2"/>
      <c r="K315" s="30">
        <v>45222</v>
      </c>
      <c r="L315" s="30">
        <v>45222</v>
      </c>
      <c r="M315" s="30">
        <v>45351</v>
      </c>
      <c r="N315" s="35"/>
      <c r="O315" s="32" t="s">
        <v>3334</v>
      </c>
      <c r="P315" s="30">
        <v>45351</v>
      </c>
      <c r="Q315" s="40"/>
      <c r="R315" s="31"/>
      <c r="S315" s="37"/>
      <c r="T315" s="35"/>
      <c r="U315" s="35"/>
      <c r="V315" s="41" t="s">
        <v>3091</v>
      </c>
      <c r="W315" s="41"/>
      <c r="X315" s="35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12.75" customHeight="1">
      <c r="A316" s="15">
        <v>315</v>
      </c>
      <c r="B316" s="738" t="s">
        <v>1555</v>
      </c>
      <c r="C316" s="16" t="s">
        <v>1119</v>
      </c>
      <c r="D316" s="20" t="s">
        <v>3110</v>
      </c>
      <c r="E316" s="3" t="s">
        <v>3123</v>
      </c>
      <c r="F316" s="3" t="s">
        <v>3335</v>
      </c>
      <c r="G316" s="17">
        <v>45274649</v>
      </c>
      <c r="H316" s="2" t="s">
        <v>1120</v>
      </c>
      <c r="I316" s="2" t="s">
        <v>1121</v>
      </c>
      <c r="J316" s="2" t="s">
        <v>1122</v>
      </c>
      <c r="K316" s="18">
        <v>39674</v>
      </c>
      <c r="L316" s="18">
        <v>39674</v>
      </c>
      <c r="M316" s="18">
        <v>45291</v>
      </c>
      <c r="N316" s="1">
        <v>2</v>
      </c>
      <c r="O316" s="19">
        <v>1898</v>
      </c>
      <c r="P316" s="18">
        <v>45291</v>
      </c>
      <c r="Q316" s="19">
        <v>0</v>
      </c>
      <c r="R316" s="773"/>
      <c r="S316" s="18"/>
      <c r="T316" s="2"/>
      <c r="U316" s="2"/>
      <c r="V316" s="2" t="s">
        <v>3091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12.75" customHeight="1">
      <c r="A317" s="15">
        <v>316</v>
      </c>
      <c r="B317" s="742" t="s">
        <v>3086</v>
      </c>
      <c r="C317" s="16" t="s">
        <v>861</v>
      </c>
      <c r="D317" s="2" t="s">
        <v>3110</v>
      </c>
      <c r="E317" s="2" t="s">
        <v>3123</v>
      </c>
      <c r="F317" s="3" t="s">
        <v>3335</v>
      </c>
      <c r="G317" s="17">
        <v>45274649</v>
      </c>
      <c r="H317" s="2" t="s">
        <v>250</v>
      </c>
      <c r="I317" s="2" t="s">
        <v>3336</v>
      </c>
      <c r="J317" s="2" t="s">
        <v>3336</v>
      </c>
      <c r="K317" s="18">
        <v>45379</v>
      </c>
      <c r="L317" s="18">
        <v>45383</v>
      </c>
      <c r="M317" s="18">
        <v>2958465</v>
      </c>
      <c r="N317" s="1">
        <v>2</v>
      </c>
      <c r="O317" s="19">
        <v>26764.57</v>
      </c>
      <c r="P317" s="18">
        <v>2958465</v>
      </c>
      <c r="Q317" s="19">
        <v>133822.85</v>
      </c>
      <c r="R317" s="772" t="s">
        <v>3337</v>
      </c>
      <c r="S317" s="18">
        <v>45385</v>
      </c>
      <c r="T317" s="2" t="s">
        <v>3338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12.75" customHeight="1">
      <c r="A318" s="15">
        <v>317</v>
      </c>
      <c r="B318" s="738" t="s">
        <v>1555</v>
      </c>
      <c r="C318" s="16" t="s">
        <v>1516</v>
      </c>
      <c r="D318" s="2" t="s">
        <v>3110</v>
      </c>
      <c r="E318" s="3" t="s">
        <v>3144</v>
      </c>
      <c r="F318" s="3" t="s">
        <v>3339</v>
      </c>
      <c r="G318" s="17">
        <v>45272956</v>
      </c>
      <c r="H318" s="2" t="s">
        <v>1517</v>
      </c>
      <c r="I318" s="2" t="s">
        <v>1518</v>
      </c>
      <c r="J318" s="2" t="s">
        <v>1519</v>
      </c>
      <c r="K318" s="30">
        <v>42523</v>
      </c>
      <c r="L318" s="30">
        <v>42523</v>
      </c>
      <c r="M318" s="30">
        <v>45808</v>
      </c>
      <c r="N318" s="31">
        <v>4</v>
      </c>
      <c r="O318" s="32" t="s">
        <v>3340</v>
      </c>
      <c r="P318" s="30">
        <v>45808</v>
      </c>
      <c r="Q318" s="32" t="s">
        <v>3341</v>
      </c>
      <c r="R318" s="31" t="s">
        <v>1520</v>
      </c>
      <c r="S318" s="30">
        <v>42909</v>
      </c>
      <c r="T318" s="35"/>
      <c r="U318" s="35"/>
      <c r="V318" s="35"/>
      <c r="W318" s="35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12.75" customHeight="1">
      <c r="A319" s="15">
        <v>318</v>
      </c>
      <c r="B319" s="736" t="s">
        <v>1555</v>
      </c>
      <c r="C319" s="16" t="s">
        <v>382</v>
      </c>
      <c r="D319" s="3" t="s">
        <v>3139</v>
      </c>
      <c r="E319" s="2" t="s">
        <v>3144</v>
      </c>
      <c r="F319" s="3" t="s">
        <v>3339</v>
      </c>
      <c r="G319" s="17">
        <v>45272956</v>
      </c>
      <c r="H319" s="2" t="s">
        <v>215</v>
      </c>
      <c r="I319" s="2" t="s">
        <v>383</v>
      </c>
      <c r="J319" s="2"/>
      <c r="K319" s="30">
        <v>44579</v>
      </c>
      <c r="L319" s="30">
        <v>44584</v>
      </c>
      <c r="M319" s="30">
        <v>45679</v>
      </c>
      <c r="N319" s="31">
        <v>4</v>
      </c>
      <c r="O319" s="32" t="s">
        <v>3342</v>
      </c>
      <c r="P319" s="30">
        <v>45679</v>
      </c>
      <c r="Q319" s="40"/>
      <c r="R319" s="775" t="s">
        <v>384</v>
      </c>
      <c r="S319" s="34">
        <v>44579</v>
      </c>
      <c r="T319" s="35"/>
      <c r="U319" s="35"/>
      <c r="V319" s="35"/>
      <c r="W319" s="35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12.75" customHeight="1">
      <c r="A320" s="15">
        <v>319</v>
      </c>
      <c r="B320" s="736" t="s">
        <v>3086</v>
      </c>
      <c r="C320" s="16" t="s">
        <v>704</v>
      </c>
      <c r="D320" s="3" t="s">
        <v>3139</v>
      </c>
      <c r="E320" s="2" t="s">
        <v>3144</v>
      </c>
      <c r="F320" s="3" t="s">
        <v>3339</v>
      </c>
      <c r="G320" s="17">
        <v>45272956</v>
      </c>
      <c r="H320" s="2" t="s">
        <v>2068</v>
      </c>
      <c r="I320" s="2" t="s">
        <v>705</v>
      </c>
      <c r="J320" s="2"/>
      <c r="K320" s="30">
        <v>45044</v>
      </c>
      <c r="L320" s="30">
        <v>45047</v>
      </c>
      <c r="M320" s="30">
        <v>46507</v>
      </c>
      <c r="N320" s="35"/>
      <c r="O320" s="32" t="s">
        <v>3343</v>
      </c>
      <c r="P320" s="30">
        <v>46507</v>
      </c>
      <c r="Q320" s="40"/>
      <c r="R320" s="775" t="s">
        <v>706</v>
      </c>
      <c r="S320" s="34">
        <v>45062</v>
      </c>
      <c r="T320" s="35"/>
      <c r="U320" s="35"/>
      <c r="V320" s="35"/>
      <c r="W320" s="35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12.75" customHeight="1">
      <c r="A321" s="15">
        <v>320</v>
      </c>
      <c r="B321" s="736" t="s">
        <v>1555</v>
      </c>
      <c r="C321" s="16" t="s">
        <v>1563</v>
      </c>
      <c r="D321" s="2" t="s">
        <v>5351</v>
      </c>
      <c r="E321" s="2" t="s">
        <v>3144</v>
      </c>
      <c r="F321" s="3" t="s">
        <v>3339</v>
      </c>
      <c r="G321" s="17">
        <v>45272956</v>
      </c>
      <c r="H321" s="2" t="s">
        <v>215</v>
      </c>
      <c r="I321" s="2" t="s">
        <v>1564</v>
      </c>
      <c r="J321" s="2"/>
      <c r="K321" s="18">
        <v>44218</v>
      </c>
      <c r="L321" s="18">
        <v>44219</v>
      </c>
      <c r="M321" s="18">
        <v>44583</v>
      </c>
      <c r="N321" s="1"/>
      <c r="O321" s="19">
        <v>622562</v>
      </c>
      <c r="P321" s="18">
        <v>44583</v>
      </c>
      <c r="Q321" s="19"/>
      <c r="R321" s="772"/>
      <c r="S321" s="18"/>
    </row>
    <row r="322" spans="1:38" ht="12.75" customHeight="1">
      <c r="A322" s="15">
        <v>321</v>
      </c>
      <c r="B322" s="738" t="s">
        <v>3086</v>
      </c>
      <c r="C322" s="16" t="s">
        <v>166</v>
      </c>
      <c r="D322" s="3" t="s">
        <v>3139</v>
      </c>
      <c r="E322" s="3" t="s">
        <v>3344</v>
      </c>
      <c r="F322" s="3" t="s">
        <v>3345</v>
      </c>
      <c r="G322" s="17">
        <v>45244782</v>
      </c>
      <c r="H322" s="2" t="s">
        <v>165</v>
      </c>
      <c r="I322" s="2" t="s">
        <v>167</v>
      </c>
      <c r="J322" s="2" t="s">
        <v>168</v>
      </c>
      <c r="K322" s="18">
        <v>43503</v>
      </c>
      <c r="L322" s="18">
        <v>43503</v>
      </c>
      <c r="M322" s="18">
        <v>2958465</v>
      </c>
      <c r="N322" s="1"/>
      <c r="O322" s="19">
        <v>204</v>
      </c>
      <c r="P322" s="18">
        <v>2958465</v>
      </c>
      <c r="Q322" s="19">
        <v>204</v>
      </c>
      <c r="R322" s="31" t="s">
        <v>169</v>
      </c>
      <c r="S322" s="30">
        <v>43504</v>
      </c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12.75" customHeight="1">
      <c r="A323" s="15">
        <v>322</v>
      </c>
      <c r="B323" s="736" t="s">
        <v>3086</v>
      </c>
      <c r="C323" s="16" t="s">
        <v>337</v>
      </c>
      <c r="D323" s="3" t="s">
        <v>3139</v>
      </c>
      <c r="E323" s="2" t="s">
        <v>3344</v>
      </c>
      <c r="F323" s="3" t="s">
        <v>3345</v>
      </c>
      <c r="G323" s="17">
        <v>45244782</v>
      </c>
      <c r="H323" s="2" t="s">
        <v>336</v>
      </c>
      <c r="I323" s="2" t="s">
        <v>338</v>
      </c>
      <c r="J323" s="2"/>
      <c r="K323" s="18">
        <v>44375</v>
      </c>
      <c r="L323" s="18">
        <v>44378</v>
      </c>
      <c r="M323" s="18">
        <v>2958465</v>
      </c>
      <c r="N323" s="1"/>
      <c r="O323" s="19"/>
      <c r="P323" s="18">
        <v>2958465</v>
      </c>
      <c r="Q323" s="19"/>
      <c r="R323" s="772"/>
      <c r="S323" s="18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12.75" customHeight="1">
      <c r="A324" s="15">
        <v>323</v>
      </c>
      <c r="B324" s="738" t="s">
        <v>3086</v>
      </c>
      <c r="C324" s="16" t="s">
        <v>1227</v>
      </c>
      <c r="D324" s="2" t="s">
        <v>3110</v>
      </c>
      <c r="E324" s="3" t="s">
        <v>3312</v>
      </c>
      <c r="F324" s="3" t="s">
        <v>3346</v>
      </c>
      <c r="G324" s="17">
        <v>45148996</v>
      </c>
      <c r="H324" s="2" t="s">
        <v>50</v>
      </c>
      <c r="I324" s="2" t="s">
        <v>1228</v>
      </c>
      <c r="J324" s="2" t="s">
        <v>1228</v>
      </c>
      <c r="K324" s="30">
        <v>40876</v>
      </c>
      <c r="L324" s="30">
        <v>40876</v>
      </c>
      <c r="M324" s="30">
        <v>45989</v>
      </c>
      <c r="N324" s="35"/>
      <c r="O324" s="32">
        <v>0</v>
      </c>
      <c r="P324" s="30">
        <v>45989</v>
      </c>
      <c r="Q324" s="32"/>
      <c r="R324" s="31"/>
      <c r="S324" s="37"/>
      <c r="T324" s="35"/>
      <c r="U324" s="2">
        <v>3</v>
      </c>
      <c r="V324" s="2" t="s">
        <v>4625</v>
      </c>
      <c r="W324" s="2" t="s">
        <v>4625</v>
      </c>
      <c r="X324" s="42"/>
      <c r="Y324" s="2"/>
    </row>
    <row r="325" spans="1:38" ht="12.75" customHeight="1">
      <c r="A325" s="15">
        <v>324</v>
      </c>
      <c r="B325" s="736" t="s">
        <v>3086</v>
      </c>
      <c r="C325" s="16" t="s">
        <v>535</v>
      </c>
      <c r="D325" s="15" t="s">
        <v>3087</v>
      </c>
      <c r="E325" s="2" t="s">
        <v>3348</v>
      </c>
      <c r="F325" s="2" t="s">
        <v>3349</v>
      </c>
      <c r="G325" s="17">
        <v>45146802</v>
      </c>
      <c r="H325" s="2" t="s">
        <v>48</v>
      </c>
      <c r="I325" s="2" t="s">
        <v>536</v>
      </c>
      <c r="J325" s="2"/>
      <c r="K325" s="18">
        <v>44831</v>
      </c>
      <c r="L325" s="18">
        <v>44831</v>
      </c>
      <c r="M325" s="18">
        <v>46292</v>
      </c>
      <c r="N325" s="1"/>
      <c r="O325" s="19">
        <v>0</v>
      </c>
      <c r="P325" s="18">
        <v>46292</v>
      </c>
      <c r="Q325" s="19"/>
      <c r="R325" s="772"/>
      <c r="S325" s="18"/>
      <c r="T325" s="2"/>
      <c r="U325" s="2">
        <v>3</v>
      </c>
      <c r="V325" s="2"/>
      <c r="W325" s="2"/>
      <c r="X325" s="43" t="s">
        <v>3350</v>
      </c>
      <c r="Y325" s="2" t="s">
        <v>4733</v>
      </c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12.75" customHeight="1">
      <c r="A326" s="15">
        <v>325</v>
      </c>
      <c r="B326" s="738" t="s">
        <v>1555</v>
      </c>
      <c r="C326" s="16" t="s">
        <v>1186</v>
      </c>
      <c r="D326" s="15" t="s">
        <v>3110</v>
      </c>
      <c r="E326" s="3" t="s">
        <v>3233</v>
      </c>
      <c r="F326" s="3" t="s">
        <v>3351</v>
      </c>
      <c r="G326" s="17">
        <v>45146527</v>
      </c>
      <c r="H326" s="2" t="s">
        <v>250</v>
      </c>
      <c r="I326" s="2" t="s">
        <v>1187</v>
      </c>
      <c r="J326" s="2" t="s">
        <v>1188</v>
      </c>
      <c r="K326" s="18">
        <v>40500</v>
      </c>
      <c r="L326" s="18">
        <v>40500</v>
      </c>
      <c r="M326" s="18">
        <v>45626</v>
      </c>
      <c r="N326" s="1">
        <v>1</v>
      </c>
      <c r="O326" s="19">
        <v>540000</v>
      </c>
      <c r="P326" s="18">
        <v>45626</v>
      </c>
      <c r="Q326" s="19">
        <v>540000</v>
      </c>
      <c r="R326" s="772" t="s">
        <v>1189</v>
      </c>
      <c r="S326" s="18">
        <v>43342</v>
      </c>
      <c r="T326" s="2"/>
      <c r="U326" s="2"/>
      <c r="V326" s="2" t="s">
        <v>4625</v>
      </c>
      <c r="W326" s="2" t="s">
        <v>4625</v>
      </c>
      <c r="X326" s="44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12.75" customHeight="1">
      <c r="A327" s="15">
        <v>326</v>
      </c>
      <c r="B327" s="736" t="s">
        <v>1555</v>
      </c>
      <c r="C327" s="16" t="s">
        <v>1757</v>
      </c>
      <c r="D327" s="20" t="s">
        <v>3110</v>
      </c>
      <c r="E327" s="2" t="s">
        <v>3197</v>
      </c>
      <c r="F327" s="2" t="s">
        <v>3352</v>
      </c>
      <c r="G327" s="17">
        <v>44846967</v>
      </c>
      <c r="H327" s="2" t="s">
        <v>546</v>
      </c>
      <c r="I327" s="2" t="s">
        <v>1758</v>
      </c>
      <c r="J327" s="2"/>
      <c r="K327" s="18">
        <v>44405</v>
      </c>
      <c r="L327" s="18">
        <v>44405</v>
      </c>
      <c r="M327" s="18">
        <v>44455</v>
      </c>
      <c r="N327" s="1"/>
      <c r="O327" s="19">
        <v>114073</v>
      </c>
      <c r="P327" s="18">
        <v>44455</v>
      </c>
      <c r="Q327" s="19"/>
      <c r="R327" s="772"/>
      <c r="S327" s="18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12.75" customHeight="1">
      <c r="A328" s="15">
        <v>327</v>
      </c>
      <c r="B328" s="736" t="s">
        <v>1555</v>
      </c>
      <c r="C328" s="16" t="s">
        <v>1612</v>
      </c>
      <c r="D328" s="20" t="s">
        <v>3110</v>
      </c>
      <c r="E328" s="2" t="s">
        <v>3197</v>
      </c>
      <c r="F328" s="2" t="s">
        <v>3353</v>
      </c>
      <c r="G328" s="17">
        <v>44723458</v>
      </c>
      <c r="H328" s="2" t="s">
        <v>1611</v>
      </c>
      <c r="I328" s="2" t="s">
        <v>1613</v>
      </c>
      <c r="J328" s="2"/>
      <c r="K328" s="18">
        <v>44301</v>
      </c>
      <c r="L328" s="18">
        <v>44301</v>
      </c>
      <c r="M328" s="18">
        <v>44307</v>
      </c>
      <c r="N328" s="1"/>
      <c r="O328" s="19">
        <v>902127.27</v>
      </c>
      <c r="P328" s="18">
        <v>44307</v>
      </c>
      <c r="Q328" s="19"/>
      <c r="R328" s="772"/>
      <c r="S328" s="18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12.75" customHeight="1">
      <c r="A329" s="15">
        <v>328</v>
      </c>
      <c r="B329" s="742" t="s">
        <v>1555</v>
      </c>
      <c r="C329" s="71" t="s">
        <v>1599</v>
      </c>
      <c r="D329" s="77" t="s">
        <v>3354</v>
      </c>
      <c r="E329" s="2" t="s">
        <v>3092</v>
      </c>
      <c r="F329" s="77" t="s">
        <v>3355</v>
      </c>
      <c r="G329" s="76">
        <v>44685181</v>
      </c>
      <c r="H329" s="77" t="s">
        <v>592</v>
      </c>
      <c r="I329" s="77" t="s">
        <v>1600</v>
      </c>
      <c r="J329" s="2"/>
      <c r="K329" s="18">
        <v>44286</v>
      </c>
      <c r="L329" s="18">
        <v>44286</v>
      </c>
      <c r="M329" s="18">
        <v>44316</v>
      </c>
      <c r="N329" s="1"/>
      <c r="O329" s="19">
        <v>0</v>
      </c>
      <c r="P329" s="18">
        <v>44316</v>
      </c>
      <c r="Q329" s="19"/>
      <c r="R329" s="772"/>
      <c r="S329" s="18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12.75" customHeight="1">
      <c r="A330" s="15">
        <v>329</v>
      </c>
      <c r="B330" s="736" t="s">
        <v>1555</v>
      </c>
      <c r="C330" s="16" t="s">
        <v>2715</v>
      </c>
      <c r="D330" s="15" t="s">
        <v>3110</v>
      </c>
      <c r="E330" s="2" t="s">
        <v>3092</v>
      </c>
      <c r="F330" s="2" t="s">
        <v>3356</v>
      </c>
      <c r="G330" s="17">
        <v>44685165</v>
      </c>
      <c r="H330" s="2" t="s">
        <v>684</v>
      </c>
      <c r="I330" s="2" t="s">
        <v>2716</v>
      </c>
      <c r="J330" s="2"/>
      <c r="K330" s="18">
        <v>45086</v>
      </c>
      <c r="L330" s="18">
        <v>45086</v>
      </c>
      <c r="M330" s="18">
        <v>45112</v>
      </c>
      <c r="N330" s="1"/>
      <c r="O330" s="19">
        <v>65000</v>
      </c>
      <c r="P330" s="18">
        <v>45112</v>
      </c>
      <c r="Q330" s="19"/>
      <c r="R330" s="772"/>
      <c r="S330" s="18"/>
      <c r="T330" s="2"/>
      <c r="U330" s="2"/>
      <c r="V330" s="3" t="s">
        <v>3091</v>
      </c>
      <c r="W330" s="3" t="s">
        <v>3091</v>
      </c>
      <c r="X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12.75" customHeight="1">
      <c r="A331" s="15">
        <v>330</v>
      </c>
      <c r="B331" s="738" t="s">
        <v>1555</v>
      </c>
      <c r="C331" s="16" t="s">
        <v>1270</v>
      </c>
      <c r="D331" s="2" t="s">
        <v>3110</v>
      </c>
      <c r="E331" s="3" t="s">
        <v>3312</v>
      </c>
      <c r="F331" s="3" t="s">
        <v>3357</v>
      </c>
      <c r="G331" s="17">
        <v>44673230</v>
      </c>
      <c r="H331" s="2" t="s">
        <v>50</v>
      </c>
      <c r="I331" s="2" t="s">
        <v>1271</v>
      </c>
      <c r="J331" s="2" t="s">
        <v>1271</v>
      </c>
      <c r="K331" s="30">
        <v>41403</v>
      </c>
      <c r="L331" s="30">
        <v>41403</v>
      </c>
      <c r="M331" s="30">
        <v>45785</v>
      </c>
      <c r="N331" s="45">
        <v>1</v>
      </c>
      <c r="O331" s="32">
        <v>0</v>
      </c>
      <c r="P331" s="30">
        <v>45785</v>
      </c>
      <c r="Q331" s="32"/>
      <c r="R331" s="31"/>
      <c r="S331" s="37"/>
      <c r="T331" s="35"/>
      <c r="U331" s="2">
        <v>3</v>
      </c>
      <c r="V331" s="2" t="s">
        <v>4625</v>
      </c>
      <c r="W331" s="2" t="s">
        <v>4625</v>
      </c>
      <c r="X331" s="42" t="s">
        <v>3347</v>
      </c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12.75" customHeight="1">
      <c r="A332" s="15">
        <v>331</v>
      </c>
      <c r="B332" s="736" t="s">
        <v>1555</v>
      </c>
      <c r="C332" s="16" t="s">
        <v>1848</v>
      </c>
      <c r="D332" s="20" t="s">
        <v>3087</v>
      </c>
      <c r="E332" s="2" t="s">
        <v>3202</v>
      </c>
      <c r="F332" s="2" t="s">
        <v>3358</v>
      </c>
      <c r="G332" s="17">
        <v>43959954</v>
      </c>
      <c r="H332" s="2" t="s">
        <v>361</v>
      </c>
      <c r="I332" s="2" t="s">
        <v>1849</v>
      </c>
      <c r="J332" s="2"/>
      <c r="K332" s="18">
        <v>44495</v>
      </c>
      <c r="L332" s="18">
        <v>44495</v>
      </c>
      <c r="M332" s="18">
        <v>44651</v>
      </c>
      <c r="N332" s="1"/>
      <c r="O332" s="19">
        <v>400000</v>
      </c>
      <c r="P332" s="18">
        <v>44651</v>
      </c>
      <c r="Q332" s="19"/>
      <c r="R332" s="772"/>
      <c r="S332" s="18"/>
    </row>
    <row r="333" spans="1:38" ht="12.75" customHeight="1">
      <c r="A333" s="15">
        <v>332</v>
      </c>
      <c r="B333" s="738" t="s">
        <v>3086</v>
      </c>
      <c r="C333" s="16" t="s">
        <v>1129</v>
      </c>
      <c r="D333" s="15" t="s">
        <v>3087</v>
      </c>
      <c r="E333" s="3" t="s">
        <v>3142</v>
      </c>
      <c r="F333" s="3" t="s">
        <v>3359</v>
      </c>
      <c r="G333" s="17">
        <v>43874681</v>
      </c>
      <c r="H333" s="2" t="s">
        <v>118</v>
      </c>
      <c r="I333" s="2" t="s">
        <v>1130</v>
      </c>
      <c r="J333" s="2" t="s">
        <v>1131</v>
      </c>
      <c r="K333" s="30">
        <v>39855</v>
      </c>
      <c r="L333" s="30">
        <v>39855</v>
      </c>
      <c r="M333" s="30">
        <v>46063</v>
      </c>
      <c r="N333" s="35">
        <v>6</v>
      </c>
      <c r="O333" s="32">
        <v>0</v>
      </c>
      <c r="P333" s="30">
        <v>46063</v>
      </c>
      <c r="Q333" s="32"/>
      <c r="R333" s="31"/>
      <c r="S333" s="18"/>
      <c r="T333" s="2"/>
      <c r="U333" s="2">
        <v>6</v>
      </c>
      <c r="V333" s="2" t="s">
        <v>4625</v>
      </c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12.75" customHeight="1">
      <c r="A334" s="15">
        <v>333</v>
      </c>
      <c r="B334" s="736" t="s">
        <v>1555</v>
      </c>
      <c r="C334" s="16" t="s">
        <v>1641</v>
      </c>
      <c r="D334" s="20" t="s">
        <v>3087</v>
      </c>
      <c r="E334" s="2" t="s">
        <v>3162</v>
      </c>
      <c r="F334" s="2" t="s">
        <v>3360</v>
      </c>
      <c r="G334" s="17">
        <v>43752144</v>
      </c>
      <c r="H334" s="96" t="s">
        <v>830</v>
      </c>
      <c r="I334" s="2" t="s">
        <v>1642</v>
      </c>
      <c r="J334" s="2"/>
      <c r="K334" s="18">
        <v>44348</v>
      </c>
      <c r="L334" s="18">
        <v>44348</v>
      </c>
      <c r="M334" s="18">
        <v>44377</v>
      </c>
      <c r="N334" s="1"/>
      <c r="O334" s="19">
        <v>3500</v>
      </c>
      <c r="P334" s="18">
        <v>44377</v>
      </c>
      <c r="Q334" s="19"/>
      <c r="R334" s="772"/>
      <c r="S334" s="18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12.75" customHeight="1">
      <c r="A335" s="15">
        <v>334</v>
      </c>
      <c r="B335" s="736" t="s">
        <v>1555</v>
      </c>
      <c r="C335" s="16" t="s">
        <v>2247</v>
      </c>
      <c r="D335" s="20" t="s">
        <v>3087</v>
      </c>
      <c r="E335" s="2" t="s">
        <v>3093</v>
      </c>
      <c r="F335" s="2" t="s">
        <v>3361</v>
      </c>
      <c r="G335" s="17">
        <v>43750770</v>
      </c>
      <c r="H335" s="96" t="s">
        <v>510</v>
      </c>
      <c r="I335" s="2" t="s">
        <v>2248</v>
      </c>
      <c r="J335" s="2"/>
      <c r="K335" s="18">
        <v>44781</v>
      </c>
      <c r="L335" s="18">
        <v>44781</v>
      </c>
      <c r="M335" s="18">
        <v>44865</v>
      </c>
      <c r="N335" s="1"/>
      <c r="O335" s="19"/>
      <c r="P335" s="18">
        <v>44865</v>
      </c>
      <c r="Q335" s="19"/>
      <c r="R335" s="772"/>
      <c r="S335" s="18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12.75" customHeight="1">
      <c r="A336" s="15">
        <v>335</v>
      </c>
      <c r="B336" s="737" t="s">
        <v>3086</v>
      </c>
      <c r="C336" s="71" t="s">
        <v>1543</v>
      </c>
      <c r="D336" s="2" t="s">
        <v>3110</v>
      </c>
      <c r="E336" s="75" t="s">
        <v>3273</v>
      </c>
      <c r="F336" s="75" t="s">
        <v>3362</v>
      </c>
      <c r="G336" s="76">
        <v>43442030</v>
      </c>
      <c r="H336" s="2" t="s">
        <v>271</v>
      </c>
      <c r="I336" s="77" t="s">
        <v>1544</v>
      </c>
      <c r="J336" s="2" t="s">
        <v>1545</v>
      </c>
      <c r="K336" s="30">
        <v>35947</v>
      </c>
      <c r="L336" s="30">
        <v>35947</v>
      </c>
      <c r="M336" s="30">
        <v>2958465</v>
      </c>
      <c r="N336" s="35"/>
      <c r="O336" s="32">
        <v>0</v>
      </c>
      <c r="P336" s="30">
        <v>2958465</v>
      </c>
      <c r="Q336" s="32"/>
      <c r="R336" s="31"/>
      <c r="S336" s="37"/>
      <c r="T336" s="35"/>
      <c r="U336" s="35"/>
      <c r="V336" s="35"/>
      <c r="W336" s="35"/>
      <c r="X336" s="38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12.75" customHeight="1">
      <c r="A337" s="15">
        <v>336</v>
      </c>
      <c r="B337" s="738" t="s">
        <v>3086</v>
      </c>
      <c r="C337" s="16" t="s">
        <v>1140</v>
      </c>
      <c r="D337" s="2" t="s">
        <v>3110</v>
      </c>
      <c r="E337" s="3" t="s">
        <v>3233</v>
      </c>
      <c r="F337" s="3" t="s">
        <v>3363</v>
      </c>
      <c r="G337" s="17">
        <v>42726697</v>
      </c>
      <c r="H337" s="2" t="s">
        <v>147</v>
      </c>
      <c r="I337" s="2" t="s">
        <v>1141</v>
      </c>
      <c r="K337" s="18">
        <v>40066</v>
      </c>
      <c r="L337" s="18">
        <v>40066</v>
      </c>
      <c r="M337" s="18">
        <v>2958465</v>
      </c>
      <c r="N337" s="1">
        <v>2</v>
      </c>
      <c r="O337" s="19"/>
      <c r="P337" s="30">
        <v>2958465</v>
      </c>
      <c r="Q337" s="19"/>
      <c r="R337" s="773"/>
      <c r="S337" s="18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12.75" customHeight="1">
      <c r="A338" s="15">
        <v>337</v>
      </c>
      <c r="B338" s="736" t="s">
        <v>1555</v>
      </c>
      <c r="C338" s="16" t="s">
        <v>1943</v>
      </c>
      <c r="D338" s="20" t="s">
        <v>3087</v>
      </c>
      <c r="E338" s="2" t="s">
        <v>3093</v>
      </c>
      <c r="F338" s="2" t="s">
        <v>3364</v>
      </c>
      <c r="G338" s="17">
        <v>42716403</v>
      </c>
      <c r="H338" s="96" t="s">
        <v>510</v>
      </c>
      <c r="I338" s="2" t="s">
        <v>1944</v>
      </c>
      <c r="J338" s="2"/>
      <c r="K338" s="18">
        <v>44572</v>
      </c>
      <c r="L338" s="18">
        <v>44576</v>
      </c>
      <c r="M338" s="18">
        <v>44607</v>
      </c>
      <c r="N338" s="1"/>
      <c r="O338" s="19"/>
      <c r="P338" s="18">
        <v>44607</v>
      </c>
      <c r="Q338" s="19"/>
      <c r="R338" s="772"/>
      <c r="S338" s="18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12.75" customHeight="1">
      <c r="A339" s="15">
        <v>338</v>
      </c>
      <c r="B339" s="736" t="s">
        <v>1555</v>
      </c>
      <c r="C339" s="16" t="s">
        <v>2556</v>
      </c>
      <c r="D339" s="20" t="s">
        <v>3087</v>
      </c>
      <c r="E339" s="2" t="s">
        <v>3093</v>
      </c>
      <c r="F339" s="3" t="s">
        <v>3364</v>
      </c>
      <c r="G339" s="17">
        <v>42716403</v>
      </c>
      <c r="H339" s="96" t="s">
        <v>510</v>
      </c>
      <c r="I339" s="2" t="s">
        <v>2557</v>
      </c>
      <c r="J339" s="2"/>
      <c r="K339" s="18">
        <v>44936</v>
      </c>
      <c r="L339" s="18">
        <v>44936</v>
      </c>
      <c r="M339" s="18">
        <v>45016</v>
      </c>
      <c r="N339" s="1"/>
      <c r="O339" s="19">
        <v>3910</v>
      </c>
      <c r="P339" s="18">
        <v>45016</v>
      </c>
      <c r="Q339" s="19"/>
      <c r="R339" s="772"/>
      <c r="S339" s="18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12.75" customHeight="1">
      <c r="A340" s="15">
        <v>339</v>
      </c>
      <c r="B340" s="736" t="s">
        <v>1555</v>
      </c>
      <c r="C340" s="16" t="s">
        <v>3047</v>
      </c>
      <c r="D340" s="20" t="s">
        <v>3087</v>
      </c>
      <c r="E340" s="2" t="s">
        <v>3093</v>
      </c>
      <c r="F340" s="3" t="s">
        <v>3364</v>
      </c>
      <c r="G340" s="17">
        <v>42716403</v>
      </c>
      <c r="H340" s="2" t="s">
        <v>180</v>
      </c>
      <c r="I340" s="2" t="s">
        <v>3048</v>
      </c>
      <c r="J340" s="2"/>
      <c r="K340" s="18">
        <v>45299</v>
      </c>
      <c r="L340" s="18">
        <v>45304</v>
      </c>
      <c r="M340" s="18">
        <v>45304</v>
      </c>
      <c r="N340" s="1">
        <v>7</v>
      </c>
      <c r="O340" s="19">
        <v>3910</v>
      </c>
      <c r="P340" s="18">
        <v>45304</v>
      </c>
      <c r="Q340" s="19"/>
      <c r="R340" s="772"/>
      <c r="S340" s="18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12.75" customHeight="1">
      <c r="A341" s="15">
        <v>340</v>
      </c>
      <c r="B341" s="738" t="s">
        <v>3086</v>
      </c>
      <c r="C341" s="16" t="s">
        <v>1123</v>
      </c>
      <c r="D341" s="2" t="s">
        <v>3110</v>
      </c>
      <c r="E341" s="3" t="s">
        <v>3228</v>
      </c>
      <c r="F341" s="3" t="s">
        <v>3365</v>
      </c>
      <c r="G341" s="17">
        <v>42194920</v>
      </c>
      <c r="H341" s="2" t="s">
        <v>64</v>
      </c>
      <c r="I341" s="2" t="s">
        <v>1124</v>
      </c>
      <c r="J341" s="2" t="s">
        <v>1026</v>
      </c>
      <c r="K341" s="30">
        <v>39710</v>
      </c>
      <c r="L341" s="30">
        <v>39710</v>
      </c>
      <c r="M341" s="30">
        <v>2958465</v>
      </c>
      <c r="N341" s="31">
        <v>4</v>
      </c>
      <c r="O341" s="32">
        <v>0</v>
      </c>
      <c r="P341" s="30">
        <v>2958465</v>
      </c>
      <c r="Q341" s="32"/>
      <c r="R341" s="31"/>
      <c r="S341" s="37"/>
      <c r="T341" s="35"/>
      <c r="U341" s="35"/>
      <c r="V341" s="35"/>
      <c r="W341" s="35"/>
      <c r="X341" s="38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12.75" customHeight="1">
      <c r="A342" s="15">
        <v>341</v>
      </c>
      <c r="B342" s="736" t="s">
        <v>3086</v>
      </c>
      <c r="C342" s="16" t="s">
        <v>786</v>
      </c>
      <c r="D342" s="2" t="s">
        <v>3110</v>
      </c>
      <c r="E342" s="2" t="s">
        <v>3228</v>
      </c>
      <c r="F342" s="2" t="s">
        <v>3365</v>
      </c>
      <c r="G342" s="17">
        <v>42194920</v>
      </c>
      <c r="H342" s="2" t="s">
        <v>64</v>
      </c>
      <c r="I342" s="2" t="s">
        <v>787</v>
      </c>
      <c r="J342" s="2"/>
      <c r="K342" s="30">
        <v>45194</v>
      </c>
      <c r="L342" s="30">
        <v>45171</v>
      </c>
      <c r="M342" s="37">
        <v>2958465</v>
      </c>
      <c r="N342" s="35"/>
      <c r="O342" s="32" t="s">
        <v>3366</v>
      </c>
      <c r="P342" s="30">
        <v>2958465</v>
      </c>
      <c r="Q342" s="40"/>
      <c r="R342" s="31"/>
      <c r="S342" s="18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12.75" customHeight="1">
      <c r="A343" s="15">
        <v>342</v>
      </c>
      <c r="B343" s="738" t="s">
        <v>3086</v>
      </c>
      <c r="C343" s="16" t="s">
        <v>1232</v>
      </c>
      <c r="D343" s="21" t="s">
        <v>3116</v>
      </c>
      <c r="E343" s="3" t="s">
        <v>3166</v>
      </c>
      <c r="F343" s="3" t="s">
        <v>3367</v>
      </c>
      <c r="G343" s="17">
        <v>41690311</v>
      </c>
      <c r="H343" s="2" t="s">
        <v>147</v>
      </c>
      <c r="I343" s="2" t="s">
        <v>1233</v>
      </c>
      <c r="J343" s="2" t="s">
        <v>1234</v>
      </c>
      <c r="K343" s="30">
        <v>40857</v>
      </c>
      <c r="L343" s="30">
        <v>40857</v>
      </c>
      <c r="M343" s="34">
        <v>2958465</v>
      </c>
      <c r="N343" s="31">
        <v>1</v>
      </c>
      <c r="O343" s="32">
        <v>0</v>
      </c>
      <c r="P343" s="34">
        <v>2958465</v>
      </c>
      <c r="Q343" s="32"/>
      <c r="R343" s="31"/>
      <c r="S343" s="37"/>
      <c r="T343" s="35"/>
      <c r="U343" s="3">
        <v>3</v>
      </c>
      <c r="V343" s="35" t="s">
        <v>4625</v>
      </c>
      <c r="W343" s="35" t="s">
        <v>4625</v>
      </c>
      <c r="X343" s="2" t="s">
        <v>3368</v>
      </c>
      <c r="Y343" s="2" t="s">
        <v>4712</v>
      </c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12.75" customHeight="1">
      <c r="A344" s="15">
        <v>343</v>
      </c>
      <c r="B344" s="736" t="s">
        <v>1555</v>
      </c>
      <c r="C344" s="16" t="s">
        <v>2086</v>
      </c>
      <c r="D344" s="15" t="s">
        <v>3116</v>
      </c>
      <c r="E344" s="2" t="s">
        <v>3197</v>
      </c>
      <c r="F344" s="2" t="s">
        <v>3367</v>
      </c>
      <c r="G344" s="17">
        <v>41690311</v>
      </c>
      <c r="H344" s="2" t="s">
        <v>546</v>
      </c>
      <c r="I344" s="2" t="s">
        <v>2087</v>
      </c>
      <c r="J344" s="2"/>
      <c r="K344" s="18">
        <v>44683</v>
      </c>
      <c r="L344" s="18">
        <v>44683</v>
      </c>
      <c r="M344" s="18">
        <v>44873</v>
      </c>
      <c r="N344" s="1"/>
      <c r="O344" s="19">
        <v>483758</v>
      </c>
      <c r="P344" s="18">
        <v>44873</v>
      </c>
      <c r="Q344" s="19"/>
      <c r="R344" s="772"/>
      <c r="S344" s="18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12.75" customHeight="1">
      <c r="A345" s="15">
        <v>344</v>
      </c>
      <c r="B345" s="736" t="s">
        <v>1555</v>
      </c>
      <c r="C345" s="16" t="s">
        <v>2945</v>
      </c>
      <c r="D345" s="2" t="s">
        <v>3110</v>
      </c>
      <c r="E345" s="2" t="s">
        <v>3369</v>
      </c>
      <c r="F345" s="2" t="s">
        <v>3370</v>
      </c>
      <c r="G345" s="17">
        <v>40907091</v>
      </c>
      <c r="H345" s="2" t="s">
        <v>482</v>
      </c>
      <c r="I345" s="2" t="s">
        <v>2946</v>
      </c>
      <c r="J345" s="2"/>
      <c r="K345" s="18">
        <v>45182</v>
      </c>
      <c r="L345" s="18">
        <v>45182</v>
      </c>
      <c r="M345" s="18">
        <v>45280</v>
      </c>
      <c r="N345" s="1"/>
      <c r="O345" s="19">
        <v>131285</v>
      </c>
      <c r="P345" s="18">
        <v>45280</v>
      </c>
      <c r="Q345" s="19"/>
      <c r="R345" s="772"/>
      <c r="S345" s="18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12.75" customHeight="1">
      <c r="A346" s="15">
        <v>345</v>
      </c>
      <c r="B346" s="736" t="s">
        <v>1555</v>
      </c>
      <c r="C346" s="16" t="s">
        <v>1735</v>
      </c>
      <c r="D346" s="20" t="s">
        <v>3087</v>
      </c>
      <c r="E346" s="2" t="s">
        <v>3202</v>
      </c>
      <c r="F346" s="2" t="s">
        <v>3371</v>
      </c>
      <c r="G346" s="17">
        <v>36390356</v>
      </c>
      <c r="H346" s="2" t="s">
        <v>546</v>
      </c>
      <c r="I346" s="2" t="s">
        <v>1736</v>
      </c>
      <c r="J346" s="2"/>
      <c r="K346" s="18">
        <v>44400</v>
      </c>
      <c r="L346" s="18">
        <v>44403</v>
      </c>
      <c r="M346" s="18">
        <v>44561</v>
      </c>
      <c r="N346" s="1"/>
      <c r="O346" s="19">
        <v>56</v>
      </c>
      <c r="P346" s="18">
        <v>44561</v>
      </c>
      <c r="Q346" s="19"/>
      <c r="R346" s="772"/>
      <c r="S346" s="18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12.75" customHeight="1">
      <c r="A347" s="15">
        <v>346</v>
      </c>
      <c r="B347" s="736" t="s">
        <v>3086</v>
      </c>
      <c r="C347" s="16" t="s">
        <v>719</v>
      </c>
      <c r="D347" s="3" t="s">
        <v>3139</v>
      </c>
      <c r="E347" s="2" t="s">
        <v>3117</v>
      </c>
      <c r="F347" s="2" t="s">
        <v>3372</v>
      </c>
      <c r="G347" s="17">
        <v>29268931</v>
      </c>
      <c r="H347" s="2" t="s">
        <v>718</v>
      </c>
      <c r="I347" s="2" t="s">
        <v>720</v>
      </c>
      <c r="J347" s="2"/>
      <c r="K347" s="30">
        <v>45082</v>
      </c>
      <c r="L347" s="30">
        <v>45082</v>
      </c>
      <c r="M347" s="30">
        <v>46022</v>
      </c>
      <c r="N347" s="35"/>
      <c r="O347" s="32" t="s">
        <v>3373</v>
      </c>
      <c r="P347" s="30">
        <v>46022</v>
      </c>
      <c r="Q347" s="40">
        <v>605000</v>
      </c>
      <c r="R347" s="775" t="s">
        <v>5671</v>
      </c>
      <c r="S347" s="34" t="s">
        <v>5672</v>
      </c>
      <c r="T347" s="35"/>
      <c r="U347" s="35"/>
      <c r="V347" s="35"/>
      <c r="W347" s="35"/>
      <c r="X347" s="47" t="s">
        <v>3374</v>
      </c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12.75" customHeight="1">
      <c r="A348" s="15">
        <v>347</v>
      </c>
      <c r="B348" s="736" t="s">
        <v>1555</v>
      </c>
      <c r="C348" s="16" t="s">
        <v>2270</v>
      </c>
      <c r="D348" s="15" t="s">
        <v>3116</v>
      </c>
      <c r="E348" s="2" t="s">
        <v>3197</v>
      </c>
      <c r="F348" s="2" t="s">
        <v>3375</v>
      </c>
      <c r="G348" s="17">
        <v>29254191</v>
      </c>
      <c r="H348" s="2" t="s">
        <v>546</v>
      </c>
      <c r="I348" s="2" t="s">
        <v>2271</v>
      </c>
      <c r="J348" s="2"/>
      <c r="K348" s="18">
        <v>44792</v>
      </c>
      <c r="L348" s="18">
        <v>44792</v>
      </c>
      <c r="M348" s="18">
        <v>44847</v>
      </c>
      <c r="N348" s="1"/>
      <c r="O348" s="19">
        <v>177095.6</v>
      </c>
      <c r="P348" s="18">
        <v>44847</v>
      </c>
      <c r="Q348" s="19"/>
      <c r="R348" s="772"/>
      <c r="S348" s="18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12.75" customHeight="1">
      <c r="A349" s="15">
        <v>348</v>
      </c>
      <c r="B349" s="736" t="s">
        <v>1555</v>
      </c>
      <c r="C349" s="16" t="s">
        <v>2412</v>
      </c>
      <c r="D349" s="20" t="s">
        <v>3087</v>
      </c>
      <c r="E349" s="2" t="s">
        <v>3097</v>
      </c>
      <c r="F349" s="2" t="s">
        <v>3376</v>
      </c>
      <c r="G349" s="17">
        <v>29006392</v>
      </c>
      <c r="H349" s="96" t="s">
        <v>830</v>
      </c>
      <c r="I349" s="2" t="s">
        <v>2413</v>
      </c>
      <c r="J349" s="2"/>
      <c r="K349" s="18">
        <v>44847</v>
      </c>
      <c r="L349" s="18">
        <v>44847</v>
      </c>
      <c r="M349" s="18">
        <v>44926</v>
      </c>
      <c r="N349" s="1"/>
      <c r="O349" s="19">
        <v>2450</v>
      </c>
      <c r="P349" s="18">
        <v>44926</v>
      </c>
      <c r="Q349" s="19"/>
      <c r="R349" s="772"/>
      <c r="S349" s="18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12.75" customHeight="1">
      <c r="A350" s="15">
        <v>349</v>
      </c>
      <c r="B350" s="738" t="s">
        <v>3086</v>
      </c>
      <c r="C350" s="16" t="s">
        <v>51</v>
      </c>
      <c r="D350" s="2" t="s">
        <v>3110</v>
      </c>
      <c r="E350" s="3" t="s">
        <v>3312</v>
      </c>
      <c r="F350" s="3" t="s">
        <v>3377</v>
      </c>
      <c r="G350" s="17">
        <v>28949081</v>
      </c>
      <c r="H350" s="2" t="s">
        <v>50</v>
      </c>
      <c r="I350" s="2" t="s">
        <v>52</v>
      </c>
      <c r="J350" s="2" t="s">
        <v>53</v>
      </c>
      <c r="K350" s="30">
        <v>42895</v>
      </c>
      <c r="L350" s="30">
        <v>42895</v>
      </c>
      <c r="M350" s="30">
        <v>2958465</v>
      </c>
      <c r="N350" s="31">
        <v>6</v>
      </c>
      <c r="O350" s="32" t="s">
        <v>3378</v>
      </c>
      <c r="P350" s="30">
        <v>2958465</v>
      </c>
      <c r="Q350" s="32">
        <v>0</v>
      </c>
      <c r="R350" s="31" t="s">
        <v>54</v>
      </c>
      <c r="S350" s="30">
        <v>42898</v>
      </c>
      <c r="T350" s="35"/>
      <c r="U350" s="2">
        <v>3</v>
      </c>
      <c r="V350" s="2" t="s">
        <v>4625</v>
      </c>
      <c r="W350" s="2" t="s">
        <v>4625</v>
      </c>
      <c r="X350" s="38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12.75" customHeight="1">
      <c r="A351" s="15">
        <v>350</v>
      </c>
      <c r="B351" s="736" t="s">
        <v>1555</v>
      </c>
      <c r="C351" s="16" t="s">
        <v>2436</v>
      </c>
      <c r="D351" s="20" t="s">
        <v>3087</v>
      </c>
      <c r="E351" s="2" t="s">
        <v>3097</v>
      </c>
      <c r="F351" s="3" t="s">
        <v>3379</v>
      </c>
      <c r="G351" s="17">
        <v>28904222</v>
      </c>
      <c r="H351" s="96" t="s">
        <v>830</v>
      </c>
      <c r="I351" s="2" t="s">
        <v>2437</v>
      </c>
      <c r="J351" s="2"/>
      <c r="K351" s="18">
        <v>44859</v>
      </c>
      <c r="L351" s="18">
        <v>44859</v>
      </c>
      <c r="M351" s="18">
        <v>44957</v>
      </c>
      <c r="N351" s="1"/>
      <c r="O351" s="19">
        <v>2450</v>
      </c>
      <c r="P351" s="18">
        <v>44957</v>
      </c>
      <c r="Q351" s="19"/>
      <c r="R351" s="772"/>
      <c r="S351" s="18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12.75" customHeight="1">
      <c r="A352" s="15">
        <v>351</v>
      </c>
      <c r="B352" s="736" t="s">
        <v>1555</v>
      </c>
      <c r="C352" s="16" t="s">
        <v>3013</v>
      </c>
      <c r="D352" s="15" t="s">
        <v>3087</v>
      </c>
      <c r="E352" s="2" t="s">
        <v>3097</v>
      </c>
      <c r="F352" s="3" t="s">
        <v>3379</v>
      </c>
      <c r="G352" s="17">
        <v>28904222</v>
      </c>
      <c r="H352" s="96" t="s">
        <v>830</v>
      </c>
      <c r="I352" s="2" t="s">
        <v>3014</v>
      </c>
      <c r="J352" s="2"/>
      <c r="K352" s="18">
        <v>45224</v>
      </c>
      <c r="L352" s="18">
        <v>45245</v>
      </c>
      <c r="M352" s="18">
        <v>45260</v>
      </c>
      <c r="N352" s="1"/>
      <c r="O352" s="19">
        <v>4200</v>
      </c>
      <c r="P352" s="18">
        <v>45260</v>
      </c>
      <c r="Q352" s="19"/>
      <c r="R352" s="772"/>
      <c r="S352" s="18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12.75" customHeight="1">
      <c r="A353" s="15">
        <v>352</v>
      </c>
      <c r="B353" s="736" t="s">
        <v>1555</v>
      </c>
      <c r="C353" s="16" t="s">
        <v>2681</v>
      </c>
      <c r="D353" s="15" t="s">
        <v>3087</v>
      </c>
      <c r="E353" s="2" t="s">
        <v>3097</v>
      </c>
      <c r="F353" s="3" t="s">
        <v>3380</v>
      </c>
      <c r="G353" s="17">
        <v>28882636</v>
      </c>
      <c r="H353" s="96" t="s">
        <v>830</v>
      </c>
      <c r="I353" s="2" t="s">
        <v>2682</v>
      </c>
      <c r="J353" s="2"/>
      <c r="K353" s="18">
        <v>45007</v>
      </c>
      <c r="L353" s="18">
        <v>45007</v>
      </c>
      <c r="M353" s="18">
        <v>45138</v>
      </c>
      <c r="N353" s="1"/>
      <c r="O353" s="19">
        <v>4200</v>
      </c>
      <c r="P353" s="18">
        <v>45138</v>
      </c>
      <c r="Q353" s="19"/>
      <c r="R353" s="772"/>
      <c r="S353" s="18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12.75" customHeight="1">
      <c r="A354" s="15">
        <v>353</v>
      </c>
      <c r="B354" s="736" t="s">
        <v>1555</v>
      </c>
      <c r="C354" s="16" t="s">
        <v>657</v>
      </c>
      <c r="D354" s="15" t="s">
        <v>3087</v>
      </c>
      <c r="E354" s="2" t="s">
        <v>3202</v>
      </c>
      <c r="F354" s="3" t="s">
        <v>3381</v>
      </c>
      <c r="G354" s="17">
        <v>28849809</v>
      </c>
      <c r="H354" s="2" t="s">
        <v>361</v>
      </c>
      <c r="I354" s="2" t="s">
        <v>658</v>
      </c>
      <c r="J354" s="2"/>
      <c r="K354" s="30">
        <v>44995</v>
      </c>
      <c r="L354" s="30">
        <v>44995</v>
      </c>
      <c r="M354" s="30">
        <v>45725</v>
      </c>
      <c r="N354" s="35"/>
      <c r="O354" s="32" t="s">
        <v>3382</v>
      </c>
      <c r="P354" s="30">
        <v>45725</v>
      </c>
      <c r="Q354" s="40">
        <v>2407900</v>
      </c>
      <c r="R354" s="775" t="s">
        <v>659</v>
      </c>
      <c r="S354" s="34">
        <v>44995</v>
      </c>
      <c r="T354" s="35"/>
      <c r="U354" s="35">
        <v>3</v>
      </c>
      <c r="V354" s="35"/>
      <c r="W354" s="35"/>
      <c r="X354" s="47" t="s">
        <v>3383</v>
      </c>
      <c r="Y354" s="2"/>
      <c r="Z354" s="2" t="s">
        <v>4734</v>
      </c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12.75" customHeight="1">
      <c r="A355" s="15">
        <v>354</v>
      </c>
      <c r="B355" s="736" t="s">
        <v>3086</v>
      </c>
      <c r="C355" s="16" t="s">
        <v>442</v>
      </c>
      <c r="D355" s="15" t="s">
        <v>3087</v>
      </c>
      <c r="E355" s="2" t="s">
        <v>3202</v>
      </c>
      <c r="F355" s="3" t="s">
        <v>3381</v>
      </c>
      <c r="G355" s="17">
        <v>28849809</v>
      </c>
      <c r="H355" s="2" t="s">
        <v>441</v>
      </c>
      <c r="I355" s="2" t="s">
        <v>443</v>
      </c>
      <c r="J355" s="2"/>
      <c r="K355" s="30">
        <v>44725</v>
      </c>
      <c r="L355" s="30">
        <v>44725</v>
      </c>
      <c r="M355" s="30">
        <v>46185</v>
      </c>
      <c r="N355" s="35"/>
      <c r="O355" s="48">
        <v>968000</v>
      </c>
      <c r="P355" s="30">
        <v>46185</v>
      </c>
      <c r="Q355" s="49" t="s">
        <v>3384</v>
      </c>
      <c r="R355" s="775" t="s">
        <v>444</v>
      </c>
      <c r="S355" s="34">
        <v>44725</v>
      </c>
      <c r="T355" s="35"/>
      <c r="U355" s="35">
        <v>3</v>
      </c>
      <c r="V355" s="36"/>
      <c r="W355" s="36"/>
      <c r="X355" s="50" t="s">
        <v>3385</v>
      </c>
      <c r="Y355" s="46" t="s">
        <v>3386</v>
      </c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12.75" customHeight="1">
      <c r="A356" s="15">
        <v>355</v>
      </c>
      <c r="B356" s="736" t="s">
        <v>1555</v>
      </c>
      <c r="C356" s="16" t="s">
        <v>459</v>
      </c>
      <c r="D356" s="15" t="s">
        <v>3087</v>
      </c>
      <c r="E356" s="2" t="s">
        <v>3202</v>
      </c>
      <c r="F356" s="3" t="s">
        <v>3381</v>
      </c>
      <c r="G356" s="17">
        <v>28849809</v>
      </c>
      <c r="H356" s="2" t="s">
        <v>458</v>
      </c>
      <c r="I356" s="2" t="s">
        <v>460</v>
      </c>
      <c r="J356" s="2"/>
      <c r="K356" s="30">
        <v>44732</v>
      </c>
      <c r="L356" s="30">
        <v>44732</v>
      </c>
      <c r="M356" s="30">
        <v>45889</v>
      </c>
      <c r="N356" s="35"/>
      <c r="O356" s="32">
        <v>1350000</v>
      </c>
      <c r="P356" s="30">
        <v>45889</v>
      </c>
      <c r="Q356" s="40" t="s">
        <v>3387</v>
      </c>
      <c r="R356" s="775" t="s">
        <v>461</v>
      </c>
      <c r="S356" s="34">
        <v>44732</v>
      </c>
      <c r="T356" s="35"/>
      <c r="U356" s="35">
        <v>3</v>
      </c>
      <c r="V356" s="15"/>
      <c r="W356" s="15"/>
      <c r="X356" s="50" t="s">
        <v>3385</v>
      </c>
      <c r="Y356" s="46" t="s">
        <v>3388</v>
      </c>
    </row>
    <row r="357" spans="1:38" ht="12.75" customHeight="1">
      <c r="A357" s="15">
        <v>356</v>
      </c>
      <c r="B357" s="736" t="s">
        <v>1555</v>
      </c>
      <c r="C357" s="16" t="s">
        <v>1625</v>
      </c>
      <c r="D357" s="20" t="s">
        <v>3087</v>
      </c>
      <c r="E357" s="2" t="s">
        <v>3202</v>
      </c>
      <c r="F357" s="3" t="s">
        <v>3381</v>
      </c>
      <c r="G357" s="17">
        <v>28849809</v>
      </c>
      <c r="H357" s="2" t="s">
        <v>361</v>
      </c>
      <c r="I357" s="2" t="s">
        <v>1626</v>
      </c>
      <c r="J357" s="2"/>
      <c r="K357" s="18">
        <v>44328</v>
      </c>
      <c r="L357" s="18">
        <v>44328</v>
      </c>
      <c r="M357" s="18">
        <v>45019</v>
      </c>
      <c r="N357" s="1"/>
      <c r="O357" s="19">
        <v>1990000</v>
      </c>
      <c r="P357" s="18">
        <v>45019</v>
      </c>
      <c r="Q357" s="19"/>
      <c r="R357" s="772"/>
      <c r="S357" s="18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12.75" customHeight="1">
      <c r="A358" s="15">
        <v>357</v>
      </c>
      <c r="B358" s="736" t="s">
        <v>1555</v>
      </c>
      <c r="C358" s="16" t="s">
        <v>2912</v>
      </c>
      <c r="D358" s="21" t="s">
        <v>3168</v>
      </c>
      <c r="E358" s="2" t="s">
        <v>3117</v>
      </c>
      <c r="F358" s="3" t="s">
        <v>3389</v>
      </c>
      <c r="G358" s="17">
        <v>28813375</v>
      </c>
      <c r="H358" s="2" t="s">
        <v>2911</v>
      </c>
      <c r="I358" s="2" t="s">
        <v>2913</v>
      </c>
      <c r="J358" s="2"/>
      <c r="K358" s="18">
        <v>45160</v>
      </c>
      <c r="L358" s="18">
        <v>45160</v>
      </c>
      <c r="M358" s="18">
        <v>45291</v>
      </c>
      <c r="N358" s="1"/>
      <c r="O358" s="19">
        <v>221475</v>
      </c>
      <c r="P358" s="18">
        <v>45291</v>
      </c>
      <c r="Q358" s="19"/>
      <c r="R358" s="772"/>
      <c r="S358" s="18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12.75" customHeight="1">
      <c r="A359" s="15">
        <v>358</v>
      </c>
      <c r="B359" s="736" t="s">
        <v>1555</v>
      </c>
      <c r="C359" s="16" t="s">
        <v>934</v>
      </c>
      <c r="D359" s="2" t="s">
        <v>3110</v>
      </c>
      <c r="E359" s="2" t="s">
        <v>3369</v>
      </c>
      <c r="F359" s="3" t="s">
        <v>3390</v>
      </c>
      <c r="G359" s="17">
        <v>28809459</v>
      </c>
      <c r="H359" s="2" t="s">
        <v>482</v>
      </c>
      <c r="I359" s="2" t="s">
        <v>935</v>
      </c>
      <c r="J359" s="2"/>
      <c r="K359" s="30">
        <v>45316</v>
      </c>
      <c r="L359" s="30">
        <v>45316</v>
      </c>
      <c r="M359" s="30">
        <v>45657</v>
      </c>
      <c r="N359" s="31">
        <v>7</v>
      </c>
      <c r="O359" s="32" t="s">
        <v>3391</v>
      </c>
      <c r="P359" s="30">
        <v>45657</v>
      </c>
      <c r="Q359" s="32" t="s">
        <v>3391</v>
      </c>
      <c r="R359" s="775">
        <v>25654259.3149435</v>
      </c>
      <c r="S359" s="34" t="s">
        <v>5789</v>
      </c>
      <c r="T359" s="35"/>
      <c r="U359" s="35"/>
      <c r="V359" s="36"/>
      <c r="W359" s="36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12.75" customHeight="1">
      <c r="A360" s="15">
        <v>359</v>
      </c>
      <c r="B360" s="736" t="s">
        <v>1555</v>
      </c>
      <c r="C360" s="16" t="s">
        <v>2971</v>
      </c>
      <c r="D360" s="15" t="s">
        <v>3087</v>
      </c>
      <c r="E360" s="2" t="s">
        <v>3117</v>
      </c>
      <c r="F360" s="3" t="s">
        <v>3392</v>
      </c>
      <c r="G360" s="17">
        <v>28686748</v>
      </c>
      <c r="H360" s="2" t="s">
        <v>180</v>
      </c>
      <c r="I360" s="2" t="s">
        <v>2972</v>
      </c>
      <c r="J360" s="2"/>
      <c r="K360" s="18">
        <v>45195</v>
      </c>
      <c r="L360" s="18">
        <v>45207</v>
      </c>
      <c r="M360" s="18">
        <v>45207</v>
      </c>
      <c r="N360" s="1"/>
      <c r="O360" s="19">
        <v>5350</v>
      </c>
      <c r="P360" s="18">
        <v>45207</v>
      </c>
      <c r="Q360" s="19"/>
      <c r="R360" s="772"/>
      <c r="S360" s="18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12.75" customHeight="1">
      <c r="A361" s="15">
        <v>360</v>
      </c>
      <c r="B361" s="736" t="s">
        <v>3086</v>
      </c>
      <c r="C361" s="16" t="s">
        <v>359</v>
      </c>
      <c r="D361" s="20" t="s">
        <v>3110</v>
      </c>
      <c r="E361" s="2" t="s">
        <v>3117</v>
      </c>
      <c r="F361" s="2" t="s">
        <v>3393</v>
      </c>
      <c r="G361" s="17">
        <v>28501861</v>
      </c>
      <c r="H361" s="2" t="s">
        <v>358</v>
      </c>
      <c r="I361" s="2" t="s">
        <v>360</v>
      </c>
      <c r="J361" s="2"/>
      <c r="K361" s="30">
        <v>44538</v>
      </c>
      <c r="L361" s="30">
        <v>44538</v>
      </c>
      <c r="M361" s="34">
        <v>2958465</v>
      </c>
      <c r="N361" s="35">
        <v>4</v>
      </c>
      <c r="O361" s="40"/>
      <c r="P361" s="34">
        <v>2958465</v>
      </c>
      <c r="Q361" s="40"/>
      <c r="R361" s="31"/>
      <c r="S361" s="37"/>
      <c r="T361" s="35"/>
      <c r="U361" s="35"/>
      <c r="V361" s="35"/>
      <c r="W361" s="35"/>
    </row>
    <row r="362" spans="1:38" ht="12.75" customHeight="1">
      <c r="A362" s="15">
        <v>361</v>
      </c>
      <c r="B362" s="736" t="s">
        <v>1555</v>
      </c>
      <c r="C362" s="16" t="s">
        <v>1866</v>
      </c>
      <c r="D362" s="20" t="s">
        <v>3087</v>
      </c>
      <c r="E362" s="2" t="s">
        <v>3162</v>
      </c>
      <c r="F362" s="15" t="s">
        <v>3394</v>
      </c>
      <c r="G362" s="17">
        <v>28467990</v>
      </c>
      <c r="H362" s="96" t="s">
        <v>830</v>
      </c>
      <c r="I362" s="2" t="s">
        <v>1867</v>
      </c>
      <c r="J362" s="2"/>
      <c r="K362" s="18">
        <v>44502</v>
      </c>
      <c r="L362" s="18">
        <v>44531</v>
      </c>
      <c r="M362" s="18">
        <v>44561</v>
      </c>
      <c r="N362" s="1"/>
      <c r="O362" s="19">
        <v>3500</v>
      </c>
      <c r="P362" s="18">
        <v>44561</v>
      </c>
      <c r="Q362" s="19"/>
      <c r="R362" s="772"/>
      <c r="S362" s="18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12.75" customHeight="1">
      <c r="A363" s="15">
        <v>362</v>
      </c>
      <c r="B363" s="736" t="s">
        <v>1555</v>
      </c>
      <c r="C363" s="16" t="s">
        <v>2899</v>
      </c>
      <c r="D363" s="15" t="s">
        <v>3087</v>
      </c>
      <c r="E363" s="2" t="s">
        <v>3097</v>
      </c>
      <c r="F363" s="15" t="s">
        <v>3394</v>
      </c>
      <c r="G363" s="17">
        <v>28467990</v>
      </c>
      <c r="H363" s="96" t="s">
        <v>830</v>
      </c>
      <c r="I363" s="2" t="s">
        <v>2900</v>
      </c>
      <c r="J363" s="2"/>
      <c r="K363" s="18">
        <v>45128</v>
      </c>
      <c r="L363" s="18">
        <v>45128</v>
      </c>
      <c r="M363" s="18">
        <v>45260</v>
      </c>
      <c r="N363" s="1"/>
      <c r="O363" s="19">
        <v>4200</v>
      </c>
      <c r="P363" s="18">
        <v>45260</v>
      </c>
      <c r="Q363" s="19"/>
      <c r="R363" s="772"/>
      <c r="S363" s="18"/>
    </row>
    <row r="364" spans="1:38" ht="12.75" customHeight="1">
      <c r="A364" s="15">
        <v>363</v>
      </c>
      <c r="B364" s="736" t="s">
        <v>1555</v>
      </c>
      <c r="C364" s="16" t="s">
        <v>2995</v>
      </c>
      <c r="D364" s="15" t="s">
        <v>3087</v>
      </c>
      <c r="E364" s="2" t="s">
        <v>3097</v>
      </c>
      <c r="F364" s="15" t="s">
        <v>3394</v>
      </c>
      <c r="G364" s="17">
        <v>28467990</v>
      </c>
      <c r="H364" s="96" t="s">
        <v>830</v>
      </c>
      <c r="I364" s="2" t="s">
        <v>2996</v>
      </c>
      <c r="J364" s="2"/>
      <c r="K364" s="18">
        <v>45210</v>
      </c>
      <c r="L364" s="18">
        <v>45231</v>
      </c>
      <c r="M364" s="18">
        <v>45247</v>
      </c>
      <c r="N364" s="1"/>
      <c r="O364" s="19">
        <v>4200</v>
      </c>
      <c r="P364" s="18">
        <v>45247</v>
      </c>
      <c r="Q364" s="19"/>
      <c r="R364" s="772"/>
      <c r="S364" s="18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13.2">
      <c r="A365" s="15">
        <v>364</v>
      </c>
      <c r="B365" s="736" t="s">
        <v>3086</v>
      </c>
      <c r="C365" s="16" t="s">
        <v>707</v>
      </c>
      <c r="D365" s="15" t="s">
        <v>3087</v>
      </c>
      <c r="E365" s="2" t="s">
        <v>3202</v>
      </c>
      <c r="F365" s="15" t="s">
        <v>3395</v>
      </c>
      <c r="G365" s="17">
        <v>28467299</v>
      </c>
      <c r="H365" s="2" t="s">
        <v>361</v>
      </c>
      <c r="I365" s="2" t="s">
        <v>708</v>
      </c>
      <c r="J365" s="2"/>
      <c r="K365" s="30">
        <v>45062</v>
      </c>
      <c r="L365" s="30">
        <v>45062</v>
      </c>
      <c r="M365" s="30">
        <v>46157</v>
      </c>
      <c r="N365" s="35"/>
      <c r="O365" s="32" t="s">
        <v>3382</v>
      </c>
      <c r="P365" s="30">
        <v>46157</v>
      </c>
      <c r="Q365" s="40">
        <v>2407900</v>
      </c>
      <c r="R365" s="775">
        <v>22799771.311838899</v>
      </c>
      <c r="S365" s="34" t="s">
        <v>5698</v>
      </c>
      <c r="T365" s="35"/>
      <c r="U365" s="35">
        <v>3</v>
      </c>
      <c r="V365" s="15" t="s">
        <v>4625</v>
      </c>
      <c r="W365" s="15"/>
      <c r="X365" s="2" t="s">
        <v>3368</v>
      </c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12.75" customHeight="1">
      <c r="A366" s="15">
        <v>365</v>
      </c>
      <c r="B366" s="736" t="s">
        <v>1555</v>
      </c>
      <c r="C366" s="16" t="s">
        <v>709</v>
      </c>
      <c r="D366" s="15" t="s">
        <v>3087</v>
      </c>
      <c r="E366" s="2" t="s">
        <v>3202</v>
      </c>
      <c r="F366" s="15" t="s">
        <v>3395</v>
      </c>
      <c r="G366" s="17">
        <v>28467299</v>
      </c>
      <c r="H366" s="2" t="s">
        <v>361</v>
      </c>
      <c r="I366" s="2" t="s">
        <v>710</v>
      </c>
      <c r="J366" s="2"/>
      <c r="K366" s="30">
        <v>45062</v>
      </c>
      <c r="L366" s="30">
        <v>45062</v>
      </c>
      <c r="M366" s="30">
        <v>45792</v>
      </c>
      <c r="N366" s="35"/>
      <c r="O366" s="32" t="s">
        <v>3396</v>
      </c>
      <c r="P366" s="30">
        <v>45792</v>
      </c>
      <c r="Q366" s="51">
        <v>592900</v>
      </c>
      <c r="R366" s="776" t="s">
        <v>711</v>
      </c>
      <c r="S366" s="52">
        <v>45062</v>
      </c>
      <c r="T366" s="35"/>
      <c r="U366" s="35">
        <v>3</v>
      </c>
      <c r="V366" s="35" t="s">
        <v>4625</v>
      </c>
      <c r="W366" s="35"/>
      <c r="X366" s="2" t="s">
        <v>3368</v>
      </c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12.75" customHeight="1">
      <c r="A367" s="15">
        <v>366</v>
      </c>
      <c r="B367" s="736" t="s">
        <v>1555</v>
      </c>
      <c r="C367" s="16" t="s">
        <v>1997</v>
      </c>
      <c r="D367" s="20" t="s">
        <v>3087</v>
      </c>
      <c r="E367" s="2" t="s">
        <v>3202</v>
      </c>
      <c r="F367" s="15" t="s">
        <v>3395</v>
      </c>
      <c r="G367" s="17">
        <v>28467299</v>
      </c>
      <c r="H367" s="2" t="s">
        <v>1996</v>
      </c>
      <c r="I367" s="2" t="s">
        <v>1998</v>
      </c>
      <c r="J367" s="2"/>
      <c r="K367" s="18">
        <v>44617</v>
      </c>
      <c r="L367" s="18">
        <v>44617</v>
      </c>
      <c r="M367" s="18">
        <v>45050</v>
      </c>
      <c r="N367" s="1"/>
      <c r="O367" s="19">
        <v>1000000</v>
      </c>
      <c r="P367" s="18">
        <v>45050</v>
      </c>
      <c r="Q367" s="19"/>
      <c r="R367" s="772"/>
      <c r="S367" s="18"/>
    </row>
    <row r="368" spans="1:38" ht="12.75" customHeight="1">
      <c r="A368" s="15">
        <v>367</v>
      </c>
      <c r="B368" s="736" t="s">
        <v>1555</v>
      </c>
      <c r="C368" s="16" t="s">
        <v>2000</v>
      </c>
      <c r="D368" s="20" t="s">
        <v>3087</v>
      </c>
      <c r="E368" s="2" t="s">
        <v>3202</v>
      </c>
      <c r="F368" s="15" t="s">
        <v>3395</v>
      </c>
      <c r="G368" s="17">
        <v>28467299</v>
      </c>
      <c r="H368" s="2" t="s">
        <v>1999</v>
      </c>
      <c r="I368" s="2" t="s">
        <v>2001</v>
      </c>
      <c r="J368" s="2"/>
      <c r="K368" s="18">
        <v>44617</v>
      </c>
      <c r="L368" s="18">
        <v>44617</v>
      </c>
      <c r="M368" s="18">
        <v>45028</v>
      </c>
      <c r="N368" s="1"/>
      <c r="O368" s="19">
        <v>190000</v>
      </c>
      <c r="P368" s="18">
        <v>45028</v>
      </c>
      <c r="Q368" s="19"/>
      <c r="R368" s="772"/>
      <c r="S368" s="18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12.75" customHeight="1">
      <c r="A369" s="15">
        <v>368</v>
      </c>
      <c r="B369" s="736" t="s">
        <v>1555</v>
      </c>
      <c r="C369" s="16" t="s">
        <v>1639</v>
      </c>
      <c r="D369" s="20" t="s">
        <v>3087</v>
      </c>
      <c r="E369" s="2" t="s">
        <v>3202</v>
      </c>
      <c r="F369" s="15" t="s">
        <v>3395</v>
      </c>
      <c r="G369" s="17">
        <v>28467299</v>
      </c>
      <c r="H369" s="2" t="s">
        <v>1638</v>
      </c>
      <c r="I369" s="2" t="s">
        <v>1640</v>
      </c>
      <c r="J369" s="2"/>
      <c r="K369" s="18">
        <v>44337</v>
      </c>
      <c r="L369" s="18">
        <v>44337</v>
      </c>
      <c r="M369" s="18">
        <v>44561</v>
      </c>
      <c r="N369" s="1"/>
      <c r="O369" s="19">
        <v>14.5</v>
      </c>
      <c r="P369" s="18">
        <v>44561</v>
      </c>
      <c r="Q369" s="19"/>
      <c r="R369" s="772"/>
      <c r="S369" s="18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12.75" customHeight="1">
      <c r="A370" s="15">
        <v>369</v>
      </c>
      <c r="B370" s="736" t="s">
        <v>1555</v>
      </c>
      <c r="C370" s="16" t="s">
        <v>3023</v>
      </c>
      <c r="D370" s="15" t="s">
        <v>3087</v>
      </c>
      <c r="E370" s="2" t="s">
        <v>3162</v>
      </c>
      <c r="F370" s="2" t="s">
        <v>3397</v>
      </c>
      <c r="G370" s="17">
        <v>28463285</v>
      </c>
      <c r="H370" s="96" t="s">
        <v>830</v>
      </c>
      <c r="I370" s="2" t="s">
        <v>3024</v>
      </c>
      <c r="J370" s="2"/>
      <c r="K370" s="18">
        <v>45237</v>
      </c>
      <c r="L370" s="18">
        <v>45276</v>
      </c>
      <c r="M370" s="18">
        <v>45291</v>
      </c>
      <c r="N370" s="1"/>
      <c r="O370" s="19">
        <v>4200</v>
      </c>
      <c r="P370" s="18">
        <v>45291</v>
      </c>
      <c r="Q370" s="19"/>
      <c r="R370" s="772"/>
      <c r="S370" s="18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12.75" customHeight="1">
      <c r="A371" s="15">
        <v>370</v>
      </c>
      <c r="B371" s="736" t="s">
        <v>1555</v>
      </c>
      <c r="C371" s="16" t="s">
        <v>2498</v>
      </c>
      <c r="D371" s="20" t="s">
        <v>3110</v>
      </c>
      <c r="E371" s="2" t="s">
        <v>3225</v>
      </c>
      <c r="F371" s="2" t="s">
        <v>3398</v>
      </c>
      <c r="G371" s="17">
        <v>28452623</v>
      </c>
      <c r="H371" s="2" t="s">
        <v>482</v>
      </c>
      <c r="I371" s="2" t="s">
        <v>2499</v>
      </c>
      <c r="J371" s="2"/>
      <c r="K371" s="18">
        <v>44900</v>
      </c>
      <c r="L371" s="18">
        <v>44900</v>
      </c>
      <c r="M371" s="18">
        <v>45000</v>
      </c>
      <c r="N371" s="1"/>
      <c r="O371" s="19">
        <v>212360.57</v>
      </c>
      <c r="P371" s="18">
        <v>45000</v>
      </c>
      <c r="Q371" s="19"/>
      <c r="R371" s="772"/>
      <c r="S371" s="18"/>
    </row>
    <row r="372" spans="1:38" ht="12.75" customHeight="1">
      <c r="A372" s="15">
        <v>371</v>
      </c>
      <c r="B372" s="738" t="s">
        <v>3086</v>
      </c>
      <c r="C372" s="16" t="s">
        <v>1458</v>
      </c>
      <c r="D372" s="2" t="s">
        <v>3110</v>
      </c>
      <c r="E372" s="3" t="s">
        <v>3228</v>
      </c>
      <c r="F372" s="3" t="s">
        <v>3399</v>
      </c>
      <c r="G372" s="17">
        <v>28414691</v>
      </c>
      <c r="H372" s="2" t="s">
        <v>64</v>
      </c>
      <c r="I372" s="2" t="s">
        <v>1459</v>
      </c>
      <c r="J372" s="2" t="s">
        <v>1460</v>
      </c>
      <c r="K372" s="30">
        <v>42358</v>
      </c>
      <c r="L372" s="30">
        <v>42358</v>
      </c>
      <c r="M372" s="30">
        <v>46022</v>
      </c>
      <c r="N372" s="31">
        <v>1</v>
      </c>
      <c r="O372" s="32" t="s">
        <v>3400</v>
      </c>
      <c r="P372" s="30">
        <v>46022</v>
      </c>
      <c r="Q372" s="32">
        <v>0</v>
      </c>
      <c r="R372" s="31" t="s">
        <v>1461</v>
      </c>
      <c r="S372" s="30">
        <v>42842</v>
      </c>
      <c r="T372" s="35"/>
      <c r="U372" s="35"/>
      <c r="V372" s="35"/>
      <c r="W372" s="35"/>
      <c r="X372" s="38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12.75" customHeight="1">
      <c r="A373" s="15">
        <v>372</v>
      </c>
      <c r="B373" s="736" t="s">
        <v>1555</v>
      </c>
      <c r="C373" s="16" t="s">
        <v>2788</v>
      </c>
      <c r="D373" s="15" t="s">
        <v>3087</v>
      </c>
      <c r="E373" s="2" t="s">
        <v>3117</v>
      </c>
      <c r="F373" s="3" t="s">
        <v>3399</v>
      </c>
      <c r="G373" s="17">
        <v>28410491</v>
      </c>
      <c r="H373" s="96" t="s">
        <v>510</v>
      </c>
      <c r="I373" s="2" t="s">
        <v>2789</v>
      </c>
      <c r="J373" s="2"/>
      <c r="K373" s="18">
        <v>45076</v>
      </c>
      <c r="L373" s="18">
        <v>45076</v>
      </c>
      <c r="M373" s="18">
        <v>45138</v>
      </c>
      <c r="N373" s="1"/>
      <c r="O373" s="19">
        <v>4230</v>
      </c>
      <c r="P373" s="18">
        <v>45138</v>
      </c>
      <c r="Q373" s="19"/>
      <c r="R373" s="772"/>
      <c r="S373" s="18"/>
    </row>
    <row r="374" spans="1:38" ht="12.75" customHeight="1">
      <c r="A374" s="15">
        <v>373</v>
      </c>
      <c r="B374" s="738" t="s">
        <v>3086</v>
      </c>
      <c r="C374" s="16" t="s">
        <v>1210</v>
      </c>
      <c r="D374" s="15" t="s">
        <v>3087</v>
      </c>
      <c r="E374" s="3" t="s">
        <v>3142</v>
      </c>
      <c r="F374" s="3" t="s">
        <v>3401</v>
      </c>
      <c r="G374" s="17">
        <v>28390954</v>
      </c>
      <c r="H374" s="2" t="s">
        <v>118</v>
      </c>
      <c r="I374" s="2" t="s">
        <v>1211</v>
      </c>
      <c r="J374" s="2" t="s">
        <v>1212</v>
      </c>
      <c r="K374" s="30">
        <v>40672</v>
      </c>
      <c r="L374" s="30">
        <v>40672</v>
      </c>
      <c r="M374" s="30">
        <v>2958465</v>
      </c>
      <c r="N374" s="35"/>
      <c r="O374" s="32">
        <v>0</v>
      </c>
      <c r="P374" s="30">
        <v>2958465</v>
      </c>
      <c r="Q374" s="32"/>
      <c r="R374" s="31"/>
      <c r="S374" s="37"/>
      <c r="T374" s="35"/>
      <c r="U374" s="35">
        <v>3</v>
      </c>
      <c r="V374" s="35"/>
      <c r="W374" s="35"/>
      <c r="X374" s="38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12.75" customHeight="1">
      <c r="A375" s="15">
        <v>374</v>
      </c>
      <c r="B375" s="738" t="s">
        <v>3086</v>
      </c>
      <c r="C375" s="16" t="s">
        <v>1216</v>
      </c>
      <c r="D375" s="21" t="s">
        <v>3116</v>
      </c>
      <c r="E375" s="3" t="s">
        <v>3273</v>
      </c>
      <c r="F375" s="3" t="s">
        <v>3402</v>
      </c>
      <c r="G375" s="17">
        <v>28308719</v>
      </c>
      <c r="H375" s="2" t="s">
        <v>271</v>
      </c>
      <c r="I375" s="2" t="s">
        <v>1217</v>
      </c>
      <c r="J375" s="2" t="s">
        <v>1218</v>
      </c>
      <c r="K375" s="30">
        <v>40718</v>
      </c>
      <c r="L375" s="30">
        <v>40718</v>
      </c>
      <c r="M375" s="52">
        <v>2958465</v>
      </c>
      <c r="N375" s="31">
        <v>1</v>
      </c>
      <c r="O375" s="32">
        <v>34644</v>
      </c>
      <c r="P375" s="30">
        <v>2958465</v>
      </c>
      <c r="Q375" s="53"/>
      <c r="R375" s="31"/>
      <c r="S375" s="37"/>
      <c r="T375" s="35"/>
      <c r="U375" s="3">
        <v>3</v>
      </c>
      <c r="V375" s="36" t="s">
        <v>4625</v>
      </c>
      <c r="W375" s="36" t="s">
        <v>4625</v>
      </c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12.75" customHeight="1">
      <c r="A376" s="15">
        <v>375</v>
      </c>
      <c r="B376" s="736" t="s">
        <v>1555</v>
      </c>
      <c r="C376" s="16" t="s">
        <v>697</v>
      </c>
      <c r="D376" s="21" t="s">
        <v>3127</v>
      </c>
      <c r="E376" s="2" t="s">
        <v>3117</v>
      </c>
      <c r="F376" s="2" t="s">
        <v>3403</v>
      </c>
      <c r="G376" s="17">
        <v>28173678</v>
      </c>
      <c r="H376" s="2" t="s">
        <v>506</v>
      </c>
      <c r="I376" s="2" t="s">
        <v>698</v>
      </c>
      <c r="J376" s="2"/>
      <c r="K376" s="30">
        <v>45058</v>
      </c>
      <c r="L376" s="30">
        <v>45058</v>
      </c>
      <c r="M376" s="30">
        <v>45788</v>
      </c>
      <c r="N376" s="35"/>
      <c r="O376" s="32" t="s">
        <v>3404</v>
      </c>
      <c r="P376" s="30">
        <v>45788</v>
      </c>
      <c r="Q376" s="40">
        <v>584430</v>
      </c>
      <c r="R376" s="776" t="s">
        <v>699</v>
      </c>
      <c r="S376" s="52">
        <v>45058</v>
      </c>
      <c r="T376" s="35"/>
      <c r="U376" s="3">
        <v>3</v>
      </c>
      <c r="V376" s="36" t="s">
        <v>4625</v>
      </c>
      <c r="W376" s="35" t="s">
        <v>4625</v>
      </c>
      <c r="X376" s="2"/>
      <c r="Y376" s="109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12.75" customHeight="1">
      <c r="A377" s="15">
        <v>376</v>
      </c>
      <c r="B377" s="738" t="s">
        <v>1555</v>
      </c>
      <c r="C377" s="16" t="s">
        <v>1148</v>
      </c>
      <c r="D377" s="21" t="s">
        <v>3168</v>
      </c>
      <c r="E377" s="3" t="s">
        <v>3093</v>
      </c>
      <c r="F377" s="3" t="s">
        <v>3405</v>
      </c>
      <c r="G377" s="17">
        <v>28168356</v>
      </c>
      <c r="H377" s="2" t="s">
        <v>1149</v>
      </c>
      <c r="I377" s="2" t="s">
        <v>1150</v>
      </c>
      <c r="J377" s="2" t="s">
        <v>1149</v>
      </c>
      <c r="K377" s="18">
        <v>40196</v>
      </c>
      <c r="L377" s="18">
        <v>40196</v>
      </c>
      <c r="M377" s="18"/>
      <c r="N377" s="1"/>
      <c r="O377" s="19">
        <v>4900</v>
      </c>
      <c r="P377" s="18">
        <v>44601</v>
      </c>
      <c r="Q377" s="19">
        <v>4900</v>
      </c>
      <c r="R377" s="773"/>
      <c r="S377" s="18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12.75" customHeight="1">
      <c r="A378" s="15">
        <v>377</v>
      </c>
      <c r="B378" s="736" t="s">
        <v>3086</v>
      </c>
      <c r="C378" s="16" t="s">
        <v>1483</v>
      </c>
      <c r="D378" s="2" t="s">
        <v>3127</v>
      </c>
      <c r="E378" s="2" t="s">
        <v>3128</v>
      </c>
      <c r="F378" s="2" t="s">
        <v>3406</v>
      </c>
      <c r="G378" s="17">
        <v>28168151</v>
      </c>
      <c r="H378" s="2" t="s">
        <v>48</v>
      </c>
      <c r="I378" s="2" t="s">
        <v>1484</v>
      </c>
      <c r="J378" s="2" t="s">
        <v>1471</v>
      </c>
      <c r="K378" s="30">
        <v>42387</v>
      </c>
      <c r="L378" s="30">
        <v>42387</v>
      </c>
      <c r="M378" s="30">
        <v>46039</v>
      </c>
      <c r="N378" s="35"/>
      <c r="O378" s="32" t="s">
        <v>3407</v>
      </c>
      <c r="P378" s="30">
        <v>46039</v>
      </c>
      <c r="Q378" s="32">
        <v>0</v>
      </c>
      <c r="R378" s="31"/>
      <c r="S378" s="37"/>
      <c r="T378" s="2"/>
      <c r="U378" s="2"/>
      <c r="V378" s="2"/>
      <c r="W378" s="2"/>
      <c r="X378" s="42"/>
      <c r="Y378" s="38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12.75" customHeight="1">
      <c r="A379" s="15">
        <v>378</v>
      </c>
      <c r="B379" s="736" t="s">
        <v>1555</v>
      </c>
      <c r="C379" s="16" t="s">
        <v>2353</v>
      </c>
      <c r="D379" s="20" t="s">
        <v>3087</v>
      </c>
      <c r="E379" s="2" t="s">
        <v>3097</v>
      </c>
      <c r="F379" s="2" t="s">
        <v>3409</v>
      </c>
      <c r="G379" s="17">
        <v>27937844</v>
      </c>
      <c r="H379" s="96" t="s">
        <v>830</v>
      </c>
      <c r="I379" s="2" t="s">
        <v>2354</v>
      </c>
      <c r="J379" s="2"/>
      <c r="K379" s="18">
        <v>44818</v>
      </c>
      <c r="L379" s="18">
        <v>44818</v>
      </c>
      <c r="M379" s="18">
        <v>44895</v>
      </c>
      <c r="N379" s="1"/>
      <c r="O379" s="19">
        <v>3500</v>
      </c>
      <c r="P379" s="18">
        <v>44895</v>
      </c>
      <c r="Q379" s="19"/>
      <c r="R379" s="772"/>
      <c r="S379" s="18"/>
    </row>
    <row r="380" spans="1:38" ht="12.75" customHeight="1">
      <c r="A380" s="15">
        <v>379</v>
      </c>
      <c r="B380" s="736" t="s">
        <v>1555</v>
      </c>
      <c r="C380" s="16" t="s">
        <v>730</v>
      </c>
      <c r="D380" s="15" t="s">
        <v>3139</v>
      </c>
      <c r="E380" s="2" t="s">
        <v>3117</v>
      </c>
      <c r="F380" s="2" t="s">
        <v>3410</v>
      </c>
      <c r="G380" s="17">
        <v>27922677</v>
      </c>
      <c r="H380" s="2" t="s">
        <v>729</v>
      </c>
      <c r="I380" s="2" t="s">
        <v>731</v>
      </c>
      <c r="J380" s="2"/>
      <c r="K380" s="30">
        <v>45091</v>
      </c>
      <c r="L380" s="30">
        <v>45091</v>
      </c>
      <c r="M380" s="30">
        <v>45821</v>
      </c>
      <c r="N380" s="35"/>
      <c r="O380" s="32" t="s">
        <v>3411</v>
      </c>
      <c r="P380" s="30">
        <v>45821</v>
      </c>
      <c r="Q380" s="54" t="s">
        <v>3411</v>
      </c>
      <c r="R380" s="776" t="s">
        <v>732</v>
      </c>
      <c r="S380" s="52">
        <v>45092</v>
      </c>
      <c r="T380" s="35"/>
      <c r="U380" s="35"/>
      <c r="V380" s="35"/>
      <c r="W380" s="35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12.75" customHeight="1">
      <c r="A381" s="15">
        <v>380</v>
      </c>
      <c r="B381" s="736" t="s">
        <v>1555</v>
      </c>
      <c r="C381" s="16" t="s">
        <v>2456</v>
      </c>
      <c r="D381" s="2" t="s">
        <v>5351</v>
      </c>
      <c r="E381" s="2" t="s">
        <v>3117</v>
      </c>
      <c r="F381" s="2" t="s">
        <v>3410</v>
      </c>
      <c r="G381" s="17">
        <v>27922677</v>
      </c>
      <c r="H381" s="2" t="s">
        <v>2455</v>
      </c>
      <c r="I381" s="2" t="s">
        <v>2457</v>
      </c>
      <c r="J381" s="2"/>
      <c r="K381" s="18">
        <v>44879</v>
      </c>
      <c r="L381" s="18">
        <v>44879</v>
      </c>
      <c r="M381" s="18">
        <v>45291</v>
      </c>
      <c r="N381" s="1"/>
      <c r="O381" s="19">
        <v>554180</v>
      </c>
      <c r="P381" s="18">
        <v>45291</v>
      </c>
      <c r="Q381" s="19"/>
      <c r="R381" s="772"/>
      <c r="S381" s="18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12.75" customHeight="1">
      <c r="A382" s="15">
        <v>381</v>
      </c>
      <c r="B382" s="736" t="s">
        <v>1555</v>
      </c>
      <c r="C382" s="16" t="s">
        <v>1761</v>
      </c>
      <c r="D382" s="20" t="s">
        <v>3087</v>
      </c>
      <c r="E382" s="2" t="s">
        <v>3097</v>
      </c>
      <c r="F382" s="2" t="s">
        <v>3412</v>
      </c>
      <c r="G382" s="17">
        <v>27918335</v>
      </c>
      <c r="H382" s="96" t="s">
        <v>830</v>
      </c>
      <c r="I382" s="2" t="s">
        <v>1762</v>
      </c>
      <c r="J382" s="2"/>
      <c r="K382" s="18">
        <v>44389</v>
      </c>
      <c r="L382" s="18">
        <v>44389</v>
      </c>
      <c r="M382" s="18">
        <v>44439</v>
      </c>
      <c r="N382" s="1"/>
      <c r="O382" s="19">
        <v>2450</v>
      </c>
      <c r="P382" s="18">
        <v>44439</v>
      </c>
      <c r="Q382" s="19"/>
      <c r="R382" s="772"/>
      <c r="S382" s="18"/>
    </row>
    <row r="383" spans="1:38" ht="12.75" customHeight="1">
      <c r="A383" s="15">
        <v>382</v>
      </c>
      <c r="B383" s="736" t="s">
        <v>1555</v>
      </c>
      <c r="C383" s="16" t="s">
        <v>2833</v>
      </c>
      <c r="D383" s="20" t="s">
        <v>3087</v>
      </c>
      <c r="E383" s="2" t="s">
        <v>3097</v>
      </c>
      <c r="F383" s="2" t="s">
        <v>3412</v>
      </c>
      <c r="G383" s="17">
        <v>27918335</v>
      </c>
      <c r="H383" s="96" t="s">
        <v>830</v>
      </c>
      <c r="I383" s="2" t="s">
        <v>2834</v>
      </c>
      <c r="J383" s="2"/>
      <c r="K383" s="18">
        <v>45091</v>
      </c>
      <c r="L383" s="18">
        <v>45091</v>
      </c>
      <c r="M383" s="18">
        <v>45138</v>
      </c>
      <c r="N383" s="1"/>
      <c r="O383" s="19">
        <v>6000</v>
      </c>
      <c r="P383" s="18">
        <v>45138</v>
      </c>
      <c r="Q383" s="19"/>
      <c r="R383" s="772"/>
      <c r="S383" s="18"/>
    </row>
    <row r="384" spans="1:38" ht="12.75" customHeight="1">
      <c r="A384" s="15">
        <v>383</v>
      </c>
      <c r="B384" s="738" t="s">
        <v>3086</v>
      </c>
      <c r="C384" s="16" t="s">
        <v>40</v>
      </c>
      <c r="D384" s="2" t="s">
        <v>3110</v>
      </c>
      <c r="E384" s="2" t="s">
        <v>3184</v>
      </c>
      <c r="F384" s="3" t="s">
        <v>3413</v>
      </c>
      <c r="G384" s="17">
        <v>27861392</v>
      </c>
      <c r="H384" s="2" t="s">
        <v>255</v>
      </c>
      <c r="I384" s="2" t="s">
        <v>41</v>
      </c>
      <c r="K384" s="30">
        <v>42865</v>
      </c>
      <c r="L384" s="30">
        <v>42865</v>
      </c>
      <c r="M384" s="55" t="s">
        <v>3414</v>
      </c>
      <c r="N384" s="31">
        <v>4</v>
      </c>
      <c r="O384" s="32" t="s">
        <v>3415</v>
      </c>
      <c r="P384" s="55" t="s">
        <v>3414</v>
      </c>
      <c r="Q384" s="40"/>
      <c r="R384" s="31"/>
      <c r="S384" s="37"/>
      <c r="T384" s="35"/>
      <c r="U384" s="35"/>
      <c r="V384" s="36"/>
      <c r="W384" s="36"/>
      <c r="X384" s="653" t="s">
        <v>4997</v>
      </c>
      <c r="Y384" s="2" t="s">
        <v>5018</v>
      </c>
      <c r="Z384" s="2"/>
      <c r="AA384" s="653"/>
      <c r="AB384" s="653"/>
      <c r="AC384" s="653"/>
      <c r="AD384" s="653"/>
      <c r="AE384" s="2"/>
      <c r="AF384" s="2"/>
      <c r="AG384" s="2"/>
      <c r="AH384" s="2"/>
      <c r="AI384" s="2"/>
      <c r="AJ384" s="2"/>
      <c r="AK384" s="2"/>
      <c r="AL384" s="2"/>
    </row>
    <row r="385" spans="1:38" ht="12.75" customHeight="1">
      <c r="A385" s="15">
        <v>384</v>
      </c>
      <c r="B385" s="736" t="s">
        <v>1555</v>
      </c>
      <c r="C385" s="16" t="s">
        <v>1793</v>
      </c>
      <c r="D385" s="20" t="s">
        <v>3087</v>
      </c>
      <c r="E385" s="2" t="s">
        <v>3097</v>
      </c>
      <c r="F385" s="2" t="s">
        <v>3416</v>
      </c>
      <c r="G385" s="17">
        <v>27798941</v>
      </c>
      <c r="H385" s="96" t="s">
        <v>830</v>
      </c>
      <c r="I385" s="2" t="s">
        <v>1794</v>
      </c>
      <c r="J385" s="2"/>
      <c r="K385" s="18">
        <v>44445</v>
      </c>
      <c r="L385" s="18">
        <v>44445</v>
      </c>
      <c r="M385" s="18">
        <v>44469</v>
      </c>
      <c r="N385" s="1"/>
      <c r="O385" s="19">
        <v>3500</v>
      </c>
      <c r="P385" s="18">
        <v>44469</v>
      </c>
      <c r="Q385" s="19"/>
      <c r="R385" s="772"/>
      <c r="S385" s="18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12.75" customHeight="1">
      <c r="A386" s="15">
        <v>385</v>
      </c>
      <c r="B386" s="736" t="s">
        <v>3086</v>
      </c>
      <c r="C386" s="16" t="s">
        <v>819</v>
      </c>
      <c r="D386" s="20" t="s">
        <v>3087</v>
      </c>
      <c r="E386" s="2" t="s">
        <v>3202</v>
      </c>
      <c r="F386" s="2" t="s">
        <v>3417</v>
      </c>
      <c r="G386" s="17">
        <v>27777260</v>
      </c>
      <c r="H386" s="2" t="s">
        <v>361</v>
      </c>
      <c r="I386" s="2" t="s">
        <v>820</v>
      </c>
      <c r="J386" s="2"/>
      <c r="K386" s="30">
        <v>45244</v>
      </c>
      <c r="L386" s="30">
        <v>45244</v>
      </c>
      <c r="M386" s="30">
        <v>45974</v>
      </c>
      <c r="N386" s="35"/>
      <c r="O386" s="32" t="s">
        <v>3418</v>
      </c>
      <c r="P386" s="30">
        <v>45974</v>
      </c>
      <c r="Q386" s="40">
        <v>907500</v>
      </c>
      <c r="R386" s="775" t="s">
        <v>821</v>
      </c>
      <c r="S386" s="34">
        <v>45244</v>
      </c>
      <c r="T386" s="35"/>
      <c r="U386" s="35">
        <v>3</v>
      </c>
      <c r="V386" s="35"/>
      <c r="W386" s="35"/>
      <c r="X386" s="2" t="s">
        <v>3368</v>
      </c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12.75" customHeight="1">
      <c r="A387" s="15">
        <v>386</v>
      </c>
      <c r="B387" s="736" t="s">
        <v>1555</v>
      </c>
      <c r="C387" s="16" t="s">
        <v>874</v>
      </c>
      <c r="D387" s="20" t="s">
        <v>3087</v>
      </c>
      <c r="E387" s="2" t="s">
        <v>3197</v>
      </c>
      <c r="F387" s="2" t="s">
        <v>3419</v>
      </c>
      <c r="G387" s="17">
        <v>27739872</v>
      </c>
      <c r="H387" s="2" t="s">
        <v>546</v>
      </c>
      <c r="I387" s="2" t="s">
        <v>875</v>
      </c>
      <c r="J387" s="2"/>
      <c r="K387" s="18">
        <v>45287</v>
      </c>
      <c r="L387" s="18">
        <v>45287</v>
      </c>
      <c r="M387" s="18">
        <v>45382</v>
      </c>
      <c r="N387" s="1"/>
      <c r="O387" s="19">
        <v>343882</v>
      </c>
      <c r="P387" s="18">
        <v>45382</v>
      </c>
      <c r="Q387" s="19">
        <v>343882</v>
      </c>
      <c r="R387" s="772" t="s">
        <v>876</v>
      </c>
      <c r="S387" s="18">
        <v>45289</v>
      </c>
      <c r="T387" s="2"/>
      <c r="U387" s="2"/>
      <c r="V387" s="2" t="s">
        <v>3091</v>
      </c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12.75" customHeight="1">
      <c r="A388" s="15">
        <v>387</v>
      </c>
      <c r="B388" s="736" t="s">
        <v>1555</v>
      </c>
      <c r="C388" s="16" t="s">
        <v>2827</v>
      </c>
      <c r="D388" s="20" t="s">
        <v>3087</v>
      </c>
      <c r="E388" s="2" t="s">
        <v>3197</v>
      </c>
      <c r="F388" s="2" t="s">
        <v>3419</v>
      </c>
      <c r="G388" s="17">
        <v>27739872</v>
      </c>
      <c r="H388" s="2" t="s">
        <v>546</v>
      </c>
      <c r="I388" s="2" t="s">
        <v>2828</v>
      </c>
      <c r="J388" s="2"/>
      <c r="K388" s="18">
        <v>45092</v>
      </c>
      <c r="L388" s="18">
        <v>45092</v>
      </c>
      <c r="M388" s="18">
        <v>45131</v>
      </c>
      <c r="N388" s="1"/>
      <c r="O388" s="19">
        <v>592900</v>
      </c>
      <c r="P388" s="18">
        <v>45131</v>
      </c>
      <c r="Q388" s="19"/>
      <c r="R388" s="772"/>
      <c r="S388" s="18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12.75" customHeight="1">
      <c r="A389" s="15">
        <v>388</v>
      </c>
      <c r="B389" s="736" t="s">
        <v>1555</v>
      </c>
      <c r="C389" s="16" t="s">
        <v>2318</v>
      </c>
      <c r="D389" s="20" t="s">
        <v>3087</v>
      </c>
      <c r="E389" s="2" t="s">
        <v>3197</v>
      </c>
      <c r="F389" s="2" t="s">
        <v>3419</v>
      </c>
      <c r="G389" s="17">
        <v>27739872</v>
      </c>
      <c r="H389" s="2" t="s">
        <v>546</v>
      </c>
      <c r="I389" s="2" t="s">
        <v>2319</v>
      </c>
      <c r="J389" s="2"/>
      <c r="K389" s="18">
        <v>44816</v>
      </c>
      <c r="L389" s="18">
        <v>44816</v>
      </c>
      <c r="M389" s="18">
        <v>44926</v>
      </c>
      <c r="N389" s="1"/>
      <c r="O389" s="19">
        <v>2134440</v>
      </c>
      <c r="P389" s="18">
        <v>44926</v>
      </c>
      <c r="Q389" s="19"/>
      <c r="R389" s="772"/>
      <c r="S389" s="18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12.75" customHeight="1">
      <c r="A390" s="15">
        <v>389</v>
      </c>
      <c r="B390" s="736" t="s">
        <v>1555</v>
      </c>
      <c r="C390" s="16" t="s">
        <v>2530</v>
      </c>
      <c r="D390" s="20" t="s">
        <v>3087</v>
      </c>
      <c r="E390" s="2" t="s">
        <v>3420</v>
      </c>
      <c r="F390" s="2" t="s">
        <v>3419</v>
      </c>
      <c r="G390" s="17">
        <v>27739872</v>
      </c>
      <c r="H390" s="2" t="s">
        <v>2529</v>
      </c>
      <c r="I390" s="2" t="s">
        <v>2531</v>
      </c>
      <c r="J390" s="2"/>
      <c r="K390" s="18">
        <v>44917</v>
      </c>
      <c r="L390" s="18">
        <v>44917</v>
      </c>
      <c r="M390" s="18">
        <v>44960</v>
      </c>
      <c r="N390" s="1"/>
      <c r="O390" s="19"/>
      <c r="P390" s="18">
        <v>44960</v>
      </c>
      <c r="Q390" s="19"/>
      <c r="R390" s="772"/>
      <c r="S390" s="18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12.75" customHeight="1">
      <c r="A391" s="15">
        <v>390</v>
      </c>
      <c r="B391" s="736" t="s">
        <v>1555</v>
      </c>
      <c r="C391" s="16" t="s">
        <v>2540</v>
      </c>
      <c r="D391" s="20" t="s">
        <v>3087</v>
      </c>
      <c r="E391" s="2" t="s">
        <v>3197</v>
      </c>
      <c r="F391" s="2" t="s">
        <v>3419</v>
      </c>
      <c r="G391" s="17">
        <v>27739872</v>
      </c>
      <c r="H391" s="2" t="s">
        <v>546</v>
      </c>
      <c r="I391" s="2" t="s">
        <v>2541</v>
      </c>
      <c r="J391" s="2"/>
      <c r="K391" s="18">
        <v>44924</v>
      </c>
      <c r="L391" s="18">
        <v>44924</v>
      </c>
      <c r="M391" s="18">
        <v>44960</v>
      </c>
      <c r="N391" s="1"/>
      <c r="O391" s="19">
        <v>485681.9</v>
      </c>
      <c r="P391" s="18">
        <v>44960</v>
      </c>
      <c r="Q391" s="19"/>
      <c r="R391" s="772"/>
      <c r="S391" s="18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12.75" customHeight="1">
      <c r="A392" s="15">
        <v>391</v>
      </c>
      <c r="B392" s="736" t="s">
        <v>1555</v>
      </c>
      <c r="C392" s="16" t="s">
        <v>1957</v>
      </c>
      <c r="D392" s="20" t="s">
        <v>3110</v>
      </c>
      <c r="E392" s="2" t="s">
        <v>3197</v>
      </c>
      <c r="F392" s="2" t="s">
        <v>3421</v>
      </c>
      <c r="G392" s="17">
        <v>27671739</v>
      </c>
      <c r="H392" s="2" t="s">
        <v>546</v>
      </c>
      <c r="I392" s="2" t="s">
        <v>1958</v>
      </c>
      <c r="J392" s="2"/>
      <c r="K392" s="18">
        <v>44587</v>
      </c>
      <c r="L392" s="18">
        <v>44587</v>
      </c>
      <c r="M392" s="18">
        <v>44630</v>
      </c>
      <c r="N392" s="1"/>
      <c r="O392" s="19">
        <v>260400</v>
      </c>
      <c r="P392" s="18">
        <v>44630</v>
      </c>
      <c r="Q392" s="19"/>
      <c r="R392" s="772"/>
      <c r="S392" s="18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12.75" customHeight="1">
      <c r="A393" s="15">
        <v>392</v>
      </c>
      <c r="B393" s="736" t="s">
        <v>1555</v>
      </c>
      <c r="C393" s="16" t="s">
        <v>1819</v>
      </c>
      <c r="D393" s="20" t="s">
        <v>3110</v>
      </c>
      <c r="E393" s="2" t="s">
        <v>3197</v>
      </c>
      <c r="F393" s="2" t="s">
        <v>3421</v>
      </c>
      <c r="G393" s="17">
        <v>27671739</v>
      </c>
      <c r="H393" s="2" t="s">
        <v>546</v>
      </c>
      <c r="I393" s="2" t="s">
        <v>1820</v>
      </c>
      <c r="J393" s="2"/>
      <c r="K393" s="18">
        <v>44476</v>
      </c>
      <c r="L393" s="18">
        <v>44476</v>
      </c>
      <c r="M393" s="18">
        <v>44515</v>
      </c>
      <c r="N393" s="1"/>
      <c r="O393" s="19">
        <v>1053500</v>
      </c>
      <c r="P393" s="18">
        <v>44515</v>
      </c>
      <c r="Q393" s="19"/>
      <c r="R393" s="772"/>
      <c r="S393" s="18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12.75" customHeight="1">
      <c r="A394" s="15">
        <v>393</v>
      </c>
      <c r="B394" s="736" t="s">
        <v>1555</v>
      </c>
      <c r="C394" s="16" t="s">
        <v>2429</v>
      </c>
      <c r="D394" s="20" t="s">
        <v>3110</v>
      </c>
      <c r="E394" s="2" t="s">
        <v>3197</v>
      </c>
      <c r="F394" s="2" t="s">
        <v>3421</v>
      </c>
      <c r="G394" s="17">
        <v>27671739</v>
      </c>
      <c r="H394" s="2" t="s">
        <v>546</v>
      </c>
      <c r="I394" s="2" t="s">
        <v>2430</v>
      </c>
      <c r="J394" s="2"/>
      <c r="K394" s="18">
        <v>44859</v>
      </c>
      <c r="L394" s="18">
        <v>44859</v>
      </c>
      <c r="M394" s="18">
        <v>44944</v>
      </c>
      <c r="N394" s="1"/>
      <c r="O394" s="19">
        <v>1418725</v>
      </c>
      <c r="P394" s="18">
        <v>44944</v>
      </c>
      <c r="Q394" s="19"/>
      <c r="R394" s="772"/>
      <c r="S394" s="18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12.75" customHeight="1">
      <c r="A395" s="15">
        <v>394</v>
      </c>
      <c r="B395" s="736" t="s">
        <v>1555</v>
      </c>
      <c r="C395" s="16" t="s">
        <v>2576</v>
      </c>
      <c r="D395" s="15" t="s">
        <v>3110</v>
      </c>
      <c r="E395" s="2" t="s">
        <v>3369</v>
      </c>
      <c r="F395" s="2" t="s">
        <v>3422</v>
      </c>
      <c r="G395" s="17">
        <v>27641066</v>
      </c>
      <c r="H395" s="2" t="s">
        <v>482</v>
      </c>
      <c r="I395" s="2" t="s">
        <v>2577</v>
      </c>
      <c r="J395" s="2"/>
      <c r="K395" s="18">
        <v>44950</v>
      </c>
      <c r="L395" s="18">
        <v>44950</v>
      </c>
      <c r="M395" s="18">
        <v>45199</v>
      </c>
      <c r="N395" s="1">
        <v>6</v>
      </c>
      <c r="O395" s="19">
        <v>4386089.1500000004</v>
      </c>
      <c r="P395" s="18">
        <v>45199</v>
      </c>
      <c r="Q395" s="19"/>
      <c r="R395" s="772"/>
      <c r="S395" s="18"/>
    </row>
    <row r="396" spans="1:38" ht="12.75" customHeight="1">
      <c r="A396" s="15">
        <v>395</v>
      </c>
      <c r="B396" s="736" t="s">
        <v>1555</v>
      </c>
      <c r="C396" s="16" t="s">
        <v>1887</v>
      </c>
      <c r="D396" s="15" t="s">
        <v>3116</v>
      </c>
      <c r="E396" s="2" t="s">
        <v>3197</v>
      </c>
      <c r="F396" s="15" t="s">
        <v>3423</v>
      </c>
      <c r="G396" s="17">
        <v>27574032</v>
      </c>
      <c r="H396" s="2" t="s">
        <v>546</v>
      </c>
      <c r="I396" s="2" t="s">
        <v>1888</v>
      </c>
      <c r="J396" s="2"/>
      <c r="K396" s="18">
        <v>44530</v>
      </c>
      <c r="L396" s="18">
        <v>44530</v>
      </c>
      <c r="M396" s="18">
        <v>44561</v>
      </c>
      <c r="N396" s="1"/>
      <c r="O396" s="19">
        <v>1084800</v>
      </c>
      <c r="P396" s="18">
        <v>44561</v>
      </c>
      <c r="Q396" s="19"/>
      <c r="R396" s="772"/>
      <c r="S396" s="18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12.75" customHeight="1">
      <c r="A397" s="15">
        <v>396</v>
      </c>
      <c r="B397" s="736" t="s">
        <v>1555</v>
      </c>
      <c r="C397" s="16" t="s">
        <v>654</v>
      </c>
      <c r="D397" s="20" t="s">
        <v>3087</v>
      </c>
      <c r="E397" s="2" t="s">
        <v>3202</v>
      </c>
      <c r="F397" s="15" t="s">
        <v>3424</v>
      </c>
      <c r="G397" s="17">
        <v>27529053</v>
      </c>
      <c r="H397" s="2" t="s">
        <v>361</v>
      </c>
      <c r="I397" s="2" t="s">
        <v>655</v>
      </c>
      <c r="J397" s="2"/>
      <c r="K397" s="30">
        <v>44985</v>
      </c>
      <c r="L397" s="30">
        <v>44985</v>
      </c>
      <c r="M397" s="30">
        <v>45715</v>
      </c>
      <c r="N397" s="35"/>
      <c r="O397" s="32" t="s">
        <v>3396</v>
      </c>
      <c r="P397" s="30">
        <v>45715</v>
      </c>
      <c r="Q397" s="40">
        <v>592900</v>
      </c>
      <c r="R397" s="775" t="s">
        <v>656</v>
      </c>
      <c r="S397" s="34">
        <v>44985</v>
      </c>
      <c r="T397" s="35"/>
      <c r="U397" s="35">
        <v>3</v>
      </c>
      <c r="V397" s="2"/>
      <c r="W397" s="2"/>
      <c r="X397" s="2" t="s">
        <v>3368</v>
      </c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12.75" customHeight="1">
      <c r="A398" s="15">
        <v>397</v>
      </c>
      <c r="B398" s="736" t="s">
        <v>1555</v>
      </c>
      <c r="C398" s="16" t="s">
        <v>756</v>
      </c>
      <c r="D398" s="20" t="s">
        <v>3087</v>
      </c>
      <c r="E398" s="2" t="s">
        <v>3202</v>
      </c>
      <c r="F398" s="15" t="s">
        <v>3424</v>
      </c>
      <c r="G398" s="17">
        <v>27529053</v>
      </c>
      <c r="H398" s="2" t="s">
        <v>546</v>
      </c>
      <c r="I398" s="2" t="s">
        <v>757</v>
      </c>
      <c r="J398" s="2"/>
      <c r="K398" s="30">
        <v>45160</v>
      </c>
      <c r="L398" s="30">
        <v>45160</v>
      </c>
      <c r="M398" s="30">
        <v>45594</v>
      </c>
      <c r="N398" s="35"/>
      <c r="O398" s="32" t="s">
        <v>3418</v>
      </c>
      <c r="P398" s="30">
        <v>45594</v>
      </c>
      <c r="Q398" s="40">
        <v>907500</v>
      </c>
      <c r="R398" s="776" t="s">
        <v>758</v>
      </c>
      <c r="S398" s="52">
        <v>45161</v>
      </c>
      <c r="T398" s="35"/>
      <c r="U398" s="35">
        <v>3</v>
      </c>
      <c r="V398" s="15"/>
      <c r="W398" s="15"/>
      <c r="X398" s="2" t="s">
        <v>3368</v>
      </c>
    </row>
    <row r="399" spans="1:38" ht="12.75" customHeight="1">
      <c r="A399" s="15">
        <v>398</v>
      </c>
      <c r="B399" s="736" t="s">
        <v>1555</v>
      </c>
      <c r="C399" s="16" t="s">
        <v>537</v>
      </c>
      <c r="D399" s="20" t="s">
        <v>3087</v>
      </c>
      <c r="E399" s="2" t="s">
        <v>3202</v>
      </c>
      <c r="F399" s="15" t="s">
        <v>3424</v>
      </c>
      <c r="G399" s="17">
        <v>27529053</v>
      </c>
      <c r="H399" s="2" t="s">
        <v>385</v>
      </c>
      <c r="I399" s="2" t="s">
        <v>538</v>
      </c>
      <c r="J399" s="2"/>
      <c r="K399" s="18">
        <v>44865</v>
      </c>
      <c r="L399" s="18">
        <v>44865</v>
      </c>
      <c r="M399" s="18">
        <v>45477</v>
      </c>
      <c r="N399" s="1"/>
      <c r="O399" s="19">
        <v>448885.8</v>
      </c>
      <c r="P399" s="18">
        <v>45477</v>
      </c>
      <c r="Q399" s="19">
        <v>448885.8</v>
      </c>
      <c r="R399" s="772" t="s">
        <v>539</v>
      </c>
      <c r="S399" s="18">
        <v>44866</v>
      </c>
      <c r="T399" s="2"/>
      <c r="U399" s="2"/>
      <c r="V399" s="2" t="s">
        <v>3091</v>
      </c>
      <c r="W399" s="2"/>
      <c r="X399" s="2" t="s">
        <v>3368</v>
      </c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12.75" customHeight="1">
      <c r="A400" s="15">
        <v>399</v>
      </c>
      <c r="B400" s="736" t="s">
        <v>1555</v>
      </c>
      <c r="C400" s="16" t="s">
        <v>1651</v>
      </c>
      <c r="D400" s="20" t="s">
        <v>3087</v>
      </c>
      <c r="E400" s="2" t="s">
        <v>3202</v>
      </c>
      <c r="F400" s="15" t="s">
        <v>3424</v>
      </c>
      <c r="G400" s="17">
        <v>27529053</v>
      </c>
      <c r="H400" s="2" t="s">
        <v>546</v>
      </c>
      <c r="I400" s="2" t="s">
        <v>1652</v>
      </c>
      <c r="J400" s="2"/>
      <c r="K400" s="18">
        <v>44354</v>
      </c>
      <c r="L400" s="18">
        <v>44354</v>
      </c>
      <c r="M400" s="18">
        <v>45083</v>
      </c>
      <c r="N400" s="1"/>
      <c r="O400" s="19">
        <v>1990000</v>
      </c>
      <c r="P400" s="18">
        <v>45083</v>
      </c>
      <c r="Q400" s="19"/>
      <c r="R400" s="772"/>
      <c r="S400" s="18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12.75" customHeight="1">
      <c r="A401" s="15">
        <v>400</v>
      </c>
      <c r="B401" s="736" t="s">
        <v>1555</v>
      </c>
      <c r="C401" s="16" t="s">
        <v>936</v>
      </c>
      <c r="D401" s="15" t="s">
        <v>4667</v>
      </c>
      <c r="E401" s="2" t="s">
        <v>3197</v>
      </c>
      <c r="F401" s="2" t="s">
        <v>3425</v>
      </c>
      <c r="G401" s="17">
        <v>27502864</v>
      </c>
      <c r="H401" s="2" t="s">
        <v>546</v>
      </c>
      <c r="I401" s="2" t="s">
        <v>937</v>
      </c>
      <c r="J401" s="2"/>
      <c r="K401" s="18">
        <v>45329</v>
      </c>
      <c r="L401" s="18">
        <v>45329</v>
      </c>
      <c r="M401" s="18">
        <v>45337</v>
      </c>
      <c r="N401" s="1">
        <v>7</v>
      </c>
      <c r="O401" s="19">
        <v>502392</v>
      </c>
      <c r="P401" s="18">
        <v>45337</v>
      </c>
      <c r="Q401" s="19">
        <v>502392</v>
      </c>
      <c r="R401" s="772" t="s">
        <v>938</v>
      </c>
      <c r="S401" s="18">
        <v>45330</v>
      </c>
      <c r="T401" s="2"/>
      <c r="U401" s="2"/>
      <c r="V401" s="2" t="s">
        <v>3091</v>
      </c>
      <c r="W401" s="2"/>
      <c r="X401" s="2" t="s">
        <v>3426</v>
      </c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12.75" customHeight="1">
      <c r="A402" s="15">
        <v>401</v>
      </c>
      <c r="B402" s="736" t="s">
        <v>1555</v>
      </c>
      <c r="C402" s="16" t="s">
        <v>944</v>
      </c>
      <c r="D402" s="20" t="s">
        <v>3110</v>
      </c>
      <c r="E402" s="2" t="s">
        <v>3225</v>
      </c>
      <c r="F402" s="2" t="s">
        <v>3427</v>
      </c>
      <c r="G402" s="17">
        <v>27430961</v>
      </c>
      <c r="H402" s="2" t="s">
        <v>943</v>
      </c>
      <c r="I402" s="2" t="s">
        <v>945</v>
      </c>
      <c r="J402" s="2"/>
      <c r="K402" s="18">
        <v>45322</v>
      </c>
      <c r="L402" s="18">
        <v>45322</v>
      </c>
      <c r="M402" s="18">
        <v>45332</v>
      </c>
      <c r="N402" s="1">
        <v>7</v>
      </c>
      <c r="O402" s="19">
        <v>161000</v>
      </c>
      <c r="P402" s="18">
        <v>45332</v>
      </c>
      <c r="Q402" s="19">
        <v>161000</v>
      </c>
      <c r="R402" s="772" t="s">
        <v>946</v>
      </c>
      <c r="S402" s="18">
        <v>45322</v>
      </c>
      <c r="T402" s="2"/>
      <c r="U402" s="2"/>
      <c r="V402" s="2" t="s">
        <v>3091</v>
      </c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12.75" customHeight="1">
      <c r="A403" s="15">
        <v>402</v>
      </c>
      <c r="B403" s="736" t="s">
        <v>1555</v>
      </c>
      <c r="C403" s="16" t="s">
        <v>809</v>
      </c>
      <c r="D403" s="15" t="s">
        <v>3110</v>
      </c>
      <c r="E403" s="2" t="s">
        <v>3225</v>
      </c>
      <c r="F403" s="2" t="s">
        <v>3427</v>
      </c>
      <c r="G403" s="17">
        <v>27430961</v>
      </c>
      <c r="H403" s="2" t="s">
        <v>482</v>
      </c>
      <c r="I403" s="2" t="s">
        <v>810</v>
      </c>
      <c r="J403" s="2"/>
      <c r="K403" s="30">
        <v>45226</v>
      </c>
      <c r="L403" s="30">
        <v>45226</v>
      </c>
      <c r="M403" s="30">
        <v>45322</v>
      </c>
      <c r="N403" s="35"/>
      <c r="O403" s="32" t="s">
        <v>3428</v>
      </c>
      <c r="P403" s="30">
        <v>45322</v>
      </c>
      <c r="Q403" s="19">
        <v>275000</v>
      </c>
      <c r="R403" s="775" t="s">
        <v>811</v>
      </c>
      <c r="S403" s="34">
        <v>45229</v>
      </c>
      <c r="T403" s="35"/>
      <c r="U403" s="35"/>
      <c r="V403" s="35" t="s">
        <v>3091</v>
      </c>
      <c r="W403" s="35"/>
      <c r="X403" s="2" t="s">
        <v>3429</v>
      </c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12.75" customHeight="1">
      <c r="A404" s="15">
        <v>403</v>
      </c>
      <c r="B404" s="736" t="s">
        <v>1555</v>
      </c>
      <c r="C404" s="16" t="s">
        <v>858</v>
      </c>
      <c r="D404" s="15" t="s">
        <v>3110</v>
      </c>
      <c r="E404" s="2" t="s">
        <v>3225</v>
      </c>
      <c r="F404" s="2" t="s">
        <v>3427</v>
      </c>
      <c r="G404" s="17">
        <v>27430961</v>
      </c>
      <c r="H404" s="2" t="s">
        <v>482</v>
      </c>
      <c r="I404" s="2" t="s">
        <v>859</v>
      </c>
      <c r="J404" s="2"/>
      <c r="K404" s="18">
        <v>45251</v>
      </c>
      <c r="L404" s="18">
        <v>45251</v>
      </c>
      <c r="M404" s="18">
        <v>45382</v>
      </c>
      <c r="N404" s="1"/>
      <c r="O404" s="19">
        <v>148000</v>
      </c>
      <c r="P404" s="18">
        <v>45382</v>
      </c>
      <c r="Q404" s="40">
        <v>148000</v>
      </c>
      <c r="R404" s="31" t="s">
        <v>860</v>
      </c>
      <c r="S404" s="37">
        <v>45252</v>
      </c>
      <c r="V404" s="15" t="s">
        <v>3091</v>
      </c>
      <c r="W404" s="15"/>
    </row>
    <row r="405" spans="1:38" ht="12.75" customHeight="1">
      <c r="A405" s="15">
        <v>404</v>
      </c>
      <c r="B405" s="736" t="s">
        <v>1555</v>
      </c>
      <c r="C405" s="16" t="s">
        <v>2590</v>
      </c>
      <c r="D405" s="15" t="s">
        <v>3110</v>
      </c>
      <c r="E405" s="2" t="s">
        <v>3225</v>
      </c>
      <c r="F405" s="2" t="s">
        <v>3427</v>
      </c>
      <c r="G405" s="17">
        <v>27430961</v>
      </c>
      <c r="H405" s="2" t="s">
        <v>482</v>
      </c>
      <c r="I405" s="2" t="s">
        <v>2591</v>
      </c>
      <c r="J405" s="2"/>
      <c r="K405" s="18">
        <v>44952</v>
      </c>
      <c r="L405" s="18">
        <v>44952</v>
      </c>
      <c r="M405" s="18">
        <v>45050</v>
      </c>
      <c r="N405" s="1"/>
      <c r="O405" s="19">
        <v>190000</v>
      </c>
      <c r="P405" s="18">
        <v>45050</v>
      </c>
      <c r="Q405" s="19"/>
      <c r="R405" s="772"/>
      <c r="S405" s="18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12.75" customHeight="1">
      <c r="A406" s="15">
        <v>405</v>
      </c>
      <c r="B406" s="736" t="s">
        <v>1555</v>
      </c>
      <c r="C406" s="16" t="s">
        <v>2725</v>
      </c>
      <c r="D406" s="15" t="s">
        <v>3110</v>
      </c>
      <c r="E406" s="2" t="s">
        <v>3197</v>
      </c>
      <c r="F406" s="2" t="s">
        <v>3427</v>
      </c>
      <c r="G406" s="17">
        <v>27430961</v>
      </c>
      <c r="H406" s="2" t="s">
        <v>546</v>
      </c>
      <c r="I406" s="2" t="s">
        <v>2726</v>
      </c>
      <c r="J406" s="2"/>
      <c r="K406" s="18">
        <v>45040</v>
      </c>
      <c r="L406" s="18">
        <v>45040</v>
      </c>
      <c r="M406" s="18">
        <v>45125</v>
      </c>
      <c r="N406" s="1"/>
      <c r="O406" s="19">
        <v>308773</v>
      </c>
      <c r="P406" s="18">
        <v>45125</v>
      </c>
      <c r="Q406" s="19"/>
      <c r="R406" s="772"/>
      <c r="S406" s="18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12.75" customHeight="1">
      <c r="A407" s="15">
        <v>406</v>
      </c>
      <c r="B407" s="736" t="s">
        <v>1555</v>
      </c>
      <c r="C407" s="16" t="s">
        <v>2749</v>
      </c>
      <c r="D407" s="15" t="s">
        <v>3110</v>
      </c>
      <c r="E407" s="2" t="s">
        <v>3197</v>
      </c>
      <c r="F407" s="2" t="s">
        <v>3427</v>
      </c>
      <c r="G407" s="17">
        <v>27430961</v>
      </c>
      <c r="H407" s="2" t="s">
        <v>546</v>
      </c>
      <c r="I407" s="2" t="s">
        <v>2750</v>
      </c>
      <c r="J407" s="2"/>
      <c r="K407" s="18">
        <v>45051</v>
      </c>
      <c r="L407" s="18">
        <v>45051</v>
      </c>
      <c r="M407" s="18"/>
      <c r="N407" s="1"/>
      <c r="O407" s="19">
        <v>308773</v>
      </c>
      <c r="P407" s="18">
        <v>45125</v>
      </c>
      <c r="Q407" s="19"/>
      <c r="R407" s="772"/>
      <c r="S407" s="18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12.75" customHeight="1">
      <c r="A408" s="15">
        <v>407</v>
      </c>
      <c r="B408" s="736" t="s">
        <v>1555</v>
      </c>
      <c r="C408" s="16" t="s">
        <v>2773</v>
      </c>
      <c r="D408" s="15" t="s">
        <v>3110</v>
      </c>
      <c r="E408" s="2" t="s">
        <v>3225</v>
      </c>
      <c r="F408" s="2" t="s">
        <v>3427</v>
      </c>
      <c r="G408" s="17">
        <v>27430961</v>
      </c>
      <c r="H408" s="2" t="s">
        <v>482</v>
      </c>
      <c r="I408" s="2" t="s">
        <v>2774</v>
      </c>
      <c r="J408" s="2"/>
      <c r="K408" s="18">
        <v>45069</v>
      </c>
      <c r="L408" s="18">
        <v>45069</v>
      </c>
      <c r="M408" s="18">
        <v>45161</v>
      </c>
      <c r="N408" s="1"/>
      <c r="O408" s="19">
        <v>200000</v>
      </c>
      <c r="P408" s="18">
        <v>45161</v>
      </c>
      <c r="Q408" s="19"/>
      <c r="R408" s="772"/>
      <c r="S408" s="18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12.75" customHeight="1">
      <c r="A409" s="15">
        <v>408</v>
      </c>
      <c r="B409" s="736" t="s">
        <v>1555</v>
      </c>
      <c r="C409" s="16" t="s">
        <v>2778</v>
      </c>
      <c r="D409" s="15" t="s">
        <v>3110</v>
      </c>
      <c r="E409" s="2" t="s">
        <v>3225</v>
      </c>
      <c r="F409" s="2" t="s">
        <v>3427</v>
      </c>
      <c r="G409" s="17">
        <v>27430961</v>
      </c>
      <c r="H409" s="2" t="s">
        <v>482</v>
      </c>
      <c r="I409" s="2" t="s">
        <v>2779</v>
      </c>
      <c r="J409" s="2"/>
      <c r="K409" s="18">
        <v>45070</v>
      </c>
      <c r="L409" s="18">
        <v>45075</v>
      </c>
      <c r="M409" s="18">
        <v>45169</v>
      </c>
      <c r="N409" s="1"/>
      <c r="O409" s="19">
        <v>250000</v>
      </c>
      <c r="P409" s="18">
        <v>45169</v>
      </c>
      <c r="Q409" s="19"/>
      <c r="R409" s="772"/>
      <c r="S409" s="18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12.75" customHeight="1">
      <c r="A410" s="15">
        <v>409</v>
      </c>
      <c r="B410" s="736" t="s">
        <v>1555</v>
      </c>
      <c r="C410" s="16" t="s">
        <v>2862</v>
      </c>
      <c r="D410" s="15" t="s">
        <v>3110</v>
      </c>
      <c r="E410" s="2" t="s">
        <v>3197</v>
      </c>
      <c r="F410" s="2" t="s">
        <v>3427</v>
      </c>
      <c r="G410" s="17">
        <v>27430961</v>
      </c>
      <c r="H410" s="2" t="s">
        <v>546</v>
      </c>
      <c r="I410" s="2" t="s">
        <v>2863</v>
      </c>
      <c r="J410" s="2"/>
      <c r="K410" s="18">
        <v>45118</v>
      </c>
      <c r="L410" s="18">
        <v>45118</v>
      </c>
      <c r="M410" s="18">
        <v>45212</v>
      </c>
      <c r="N410" s="1"/>
      <c r="O410" s="19">
        <v>332119</v>
      </c>
      <c r="P410" s="18">
        <v>45212</v>
      </c>
      <c r="Q410" s="19"/>
      <c r="R410" s="772"/>
      <c r="S410" s="18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12.75" customHeight="1">
      <c r="A411" s="15">
        <v>410</v>
      </c>
      <c r="B411" s="736" t="s">
        <v>1555</v>
      </c>
      <c r="C411" s="16" t="s">
        <v>2943</v>
      </c>
      <c r="D411" s="15" t="s">
        <v>3110</v>
      </c>
      <c r="E411" s="2" t="s">
        <v>3197</v>
      </c>
      <c r="F411" s="2" t="s">
        <v>3427</v>
      </c>
      <c r="G411" s="17">
        <v>27430961</v>
      </c>
      <c r="H411" s="2" t="s">
        <v>546</v>
      </c>
      <c r="I411" s="2" t="s">
        <v>2944</v>
      </c>
      <c r="J411" s="2"/>
      <c r="K411" s="18">
        <v>45182</v>
      </c>
      <c r="L411" s="18">
        <v>45182</v>
      </c>
      <c r="M411" s="18">
        <v>45243</v>
      </c>
      <c r="N411" s="1"/>
      <c r="O411" s="19">
        <v>136863.1</v>
      </c>
      <c r="P411" s="18">
        <v>45243</v>
      </c>
      <c r="Q411" s="19"/>
      <c r="R411" s="772"/>
      <c r="S411" s="18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12.75" customHeight="1">
      <c r="A412" s="15">
        <v>411</v>
      </c>
      <c r="B412" s="736" t="s">
        <v>1555</v>
      </c>
      <c r="C412" s="16" t="s">
        <v>2949</v>
      </c>
      <c r="D412" s="15" t="s">
        <v>3110</v>
      </c>
      <c r="E412" s="2" t="s">
        <v>3225</v>
      </c>
      <c r="F412" s="2" t="s">
        <v>3427</v>
      </c>
      <c r="G412" s="17">
        <v>27430961</v>
      </c>
      <c r="H412" s="2" t="s">
        <v>482</v>
      </c>
      <c r="I412" s="2" t="s">
        <v>2950</v>
      </c>
      <c r="J412" s="2"/>
      <c r="K412" s="18">
        <v>45182</v>
      </c>
      <c r="L412" s="18">
        <v>45182</v>
      </c>
      <c r="M412" s="18">
        <v>45260</v>
      </c>
      <c r="N412" s="1"/>
      <c r="O412" s="19">
        <v>252000</v>
      </c>
      <c r="P412" s="18">
        <v>45260</v>
      </c>
      <c r="Q412" s="19"/>
      <c r="R412" s="772"/>
      <c r="S412" s="18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12.75" customHeight="1">
      <c r="A413" s="15">
        <v>412</v>
      </c>
      <c r="B413" s="736" t="s">
        <v>1555</v>
      </c>
      <c r="C413" s="16" t="s">
        <v>2951</v>
      </c>
      <c r="D413" s="15" t="s">
        <v>3110</v>
      </c>
      <c r="E413" s="2" t="s">
        <v>3225</v>
      </c>
      <c r="F413" s="2" t="s">
        <v>3427</v>
      </c>
      <c r="G413" s="17">
        <v>27430961</v>
      </c>
      <c r="H413" s="2" t="s">
        <v>482</v>
      </c>
      <c r="I413" s="2" t="s">
        <v>2952</v>
      </c>
      <c r="J413" s="2"/>
      <c r="K413" s="18">
        <v>45182</v>
      </c>
      <c r="L413" s="18">
        <v>45182</v>
      </c>
      <c r="M413" s="18">
        <v>45260</v>
      </c>
      <c r="N413" s="1"/>
      <c r="O413" s="19">
        <v>156000</v>
      </c>
      <c r="P413" s="18">
        <v>45260</v>
      </c>
      <c r="Q413" s="19"/>
      <c r="R413" s="772"/>
      <c r="S413" s="18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12.75" customHeight="1">
      <c r="A414" s="15">
        <v>413</v>
      </c>
      <c r="B414" s="736" t="s">
        <v>1555</v>
      </c>
      <c r="C414" s="16" t="s">
        <v>2953</v>
      </c>
      <c r="D414" s="15" t="s">
        <v>3110</v>
      </c>
      <c r="E414" s="2" t="s">
        <v>3225</v>
      </c>
      <c r="F414" s="2" t="s">
        <v>3427</v>
      </c>
      <c r="G414" s="17">
        <v>27430961</v>
      </c>
      <c r="H414" s="2" t="s">
        <v>482</v>
      </c>
      <c r="I414" s="2" t="s">
        <v>2954</v>
      </c>
      <c r="J414" s="2"/>
      <c r="K414" s="18">
        <v>45182</v>
      </c>
      <c r="L414" s="18">
        <v>45182</v>
      </c>
      <c r="M414" s="18">
        <v>45260</v>
      </c>
      <c r="N414" s="1"/>
      <c r="O414" s="19">
        <v>152000</v>
      </c>
      <c r="P414" s="18">
        <v>45260</v>
      </c>
      <c r="Q414" s="19"/>
      <c r="R414" s="772"/>
      <c r="S414" s="18"/>
    </row>
    <row r="415" spans="1:38" ht="12.75" customHeight="1">
      <c r="A415" s="15">
        <v>414</v>
      </c>
      <c r="B415" s="736" t="s">
        <v>1555</v>
      </c>
      <c r="C415" s="16" t="s">
        <v>2442</v>
      </c>
      <c r="D415" s="20" t="s">
        <v>3110</v>
      </c>
      <c r="E415" s="2" t="s">
        <v>3225</v>
      </c>
      <c r="F415" s="2" t="s">
        <v>3427</v>
      </c>
      <c r="G415" s="17">
        <v>27430961</v>
      </c>
      <c r="H415" s="2" t="s">
        <v>482</v>
      </c>
      <c r="I415" s="2" t="s">
        <v>2443</v>
      </c>
      <c r="J415" s="2"/>
      <c r="K415" s="18">
        <v>44872</v>
      </c>
      <c r="L415" s="18">
        <v>44872</v>
      </c>
      <c r="M415" s="18">
        <v>44985</v>
      </c>
      <c r="N415" s="1"/>
      <c r="O415" s="19">
        <v>248000</v>
      </c>
      <c r="P415" s="18">
        <v>44985</v>
      </c>
      <c r="Q415" s="19"/>
      <c r="R415" s="772"/>
      <c r="S415" s="18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12.75" customHeight="1">
      <c r="A416" s="15">
        <v>415</v>
      </c>
      <c r="B416" s="736" t="s">
        <v>1555</v>
      </c>
      <c r="C416" s="16" t="s">
        <v>2517</v>
      </c>
      <c r="D416" s="20" t="s">
        <v>3110</v>
      </c>
      <c r="E416" s="2" t="s">
        <v>3225</v>
      </c>
      <c r="F416" s="2" t="s">
        <v>3427</v>
      </c>
      <c r="G416" s="17">
        <v>27430961</v>
      </c>
      <c r="H416" s="2" t="s">
        <v>482</v>
      </c>
      <c r="I416" s="2" t="s">
        <v>2518</v>
      </c>
      <c r="J416" s="2"/>
      <c r="K416" s="18">
        <v>44908</v>
      </c>
      <c r="L416" s="18">
        <v>44908</v>
      </c>
      <c r="M416" s="18"/>
      <c r="N416" s="1"/>
      <c r="O416" s="19">
        <v>180000</v>
      </c>
      <c r="P416" s="18">
        <v>45016</v>
      </c>
      <c r="Q416" s="19"/>
      <c r="R416" s="772"/>
      <c r="S416" s="18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12.75" customHeight="1">
      <c r="A417" s="15">
        <v>416</v>
      </c>
      <c r="B417" s="738" t="s">
        <v>3086</v>
      </c>
      <c r="C417" s="16" t="s">
        <v>229</v>
      </c>
      <c r="D417" s="3" t="s">
        <v>3139</v>
      </c>
      <c r="E417" s="3" t="s">
        <v>3117</v>
      </c>
      <c r="F417" s="3" t="s">
        <v>3430</v>
      </c>
      <c r="G417" s="17">
        <v>27429741</v>
      </c>
      <c r="H417" s="2" t="s">
        <v>228</v>
      </c>
      <c r="I417" s="2" t="s">
        <v>230</v>
      </c>
      <c r="J417" s="2" t="s">
        <v>230</v>
      </c>
      <c r="K417" s="30">
        <v>43868</v>
      </c>
      <c r="L417" s="30">
        <v>43868</v>
      </c>
      <c r="M417" s="34">
        <v>2958465</v>
      </c>
      <c r="N417" s="35"/>
      <c r="O417" s="32">
        <v>1</v>
      </c>
      <c r="P417" s="34">
        <v>2958465</v>
      </c>
      <c r="Q417" s="32">
        <v>1</v>
      </c>
      <c r="R417" s="31" t="s">
        <v>231</v>
      </c>
      <c r="S417" s="30">
        <v>43871</v>
      </c>
      <c r="T417" s="35"/>
      <c r="U417" s="35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12.75" customHeight="1">
      <c r="A418" s="15">
        <v>417</v>
      </c>
      <c r="B418" s="736" t="s">
        <v>3086</v>
      </c>
      <c r="C418" s="16" t="s">
        <v>369</v>
      </c>
      <c r="D418" s="20" t="s">
        <v>3087</v>
      </c>
      <c r="E418" s="2" t="s">
        <v>3117</v>
      </c>
      <c r="F418" s="2" t="s">
        <v>3431</v>
      </c>
      <c r="G418" s="17">
        <v>27421821</v>
      </c>
      <c r="H418" s="2" t="s">
        <v>368</v>
      </c>
      <c r="I418" s="2" t="s">
        <v>370</v>
      </c>
      <c r="J418" s="2"/>
      <c r="K418" s="18">
        <v>44540</v>
      </c>
      <c r="L418" s="18">
        <v>44540</v>
      </c>
      <c r="M418" s="18">
        <v>2958465</v>
      </c>
      <c r="N418" s="1"/>
      <c r="O418" s="19"/>
      <c r="P418" s="18">
        <v>2958465</v>
      </c>
      <c r="Q418" s="19"/>
      <c r="R418" s="772"/>
      <c r="S418" s="18"/>
      <c r="T418" s="2"/>
      <c r="U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12.75" customHeight="1">
      <c r="A419" s="15">
        <v>418</v>
      </c>
      <c r="B419" s="736" t="s">
        <v>1555</v>
      </c>
      <c r="C419" s="16" t="s">
        <v>1693</v>
      </c>
      <c r="D419" s="20" t="s">
        <v>3087</v>
      </c>
      <c r="E419" s="2" t="s">
        <v>3103</v>
      </c>
      <c r="F419" s="2" t="s">
        <v>3432</v>
      </c>
      <c r="G419" s="17">
        <v>27380068</v>
      </c>
      <c r="H419" s="2" t="s">
        <v>180</v>
      </c>
      <c r="I419" s="2" t="s">
        <v>1694</v>
      </c>
      <c r="J419" s="2"/>
      <c r="K419" s="18">
        <v>44372</v>
      </c>
      <c r="L419" s="18">
        <v>44443</v>
      </c>
      <c r="M419" s="18">
        <v>44443</v>
      </c>
      <c r="N419" s="1"/>
      <c r="O419" s="19">
        <v>16230</v>
      </c>
      <c r="P419" s="18">
        <v>44443</v>
      </c>
      <c r="Q419" s="19"/>
      <c r="R419" s="772"/>
      <c r="S419" s="18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12.75" customHeight="1">
      <c r="A420" s="15">
        <v>419</v>
      </c>
      <c r="B420" s="736" t="s">
        <v>1555</v>
      </c>
      <c r="C420" s="16" t="s">
        <v>340</v>
      </c>
      <c r="D420" s="20" t="s">
        <v>3110</v>
      </c>
      <c r="E420" s="2" t="s">
        <v>3117</v>
      </c>
      <c r="F420" s="2" t="s">
        <v>3433</v>
      </c>
      <c r="G420" s="17">
        <v>27359875</v>
      </c>
      <c r="H420" s="2" t="s">
        <v>339</v>
      </c>
      <c r="I420" s="2" t="s">
        <v>341</v>
      </c>
      <c r="J420" s="2"/>
      <c r="K420" s="18">
        <v>44456</v>
      </c>
      <c r="L420" s="18">
        <v>44456</v>
      </c>
      <c r="M420" s="18">
        <v>45169</v>
      </c>
      <c r="N420" s="1"/>
      <c r="O420" s="19">
        <v>249406</v>
      </c>
      <c r="P420" s="18">
        <v>45169</v>
      </c>
      <c r="Q420" s="19">
        <v>249406</v>
      </c>
      <c r="R420" s="772" t="s">
        <v>3434</v>
      </c>
      <c r="S420" s="18">
        <v>44456</v>
      </c>
      <c r="T420" s="2"/>
      <c r="U420" s="2"/>
      <c r="V420" s="2" t="s">
        <v>3091</v>
      </c>
      <c r="W420" s="2"/>
      <c r="X420" s="2"/>
      <c r="Y420" s="2" t="s">
        <v>4998</v>
      </c>
      <c r="Z420" s="2"/>
      <c r="AA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12.75" customHeight="1">
      <c r="A421" s="15">
        <v>420</v>
      </c>
      <c r="B421" s="738" t="s">
        <v>3086</v>
      </c>
      <c r="C421" s="16" t="s">
        <v>1393</v>
      </c>
      <c r="D421" s="2" t="s">
        <v>3110</v>
      </c>
      <c r="E421" s="3" t="s">
        <v>3141</v>
      </c>
      <c r="F421" s="3" t="s">
        <v>3435</v>
      </c>
      <c r="G421" s="17">
        <v>27309941</v>
      </c>
      <c r="H421" s="2" t="s">
        <v>1012</v>
      </c>
      <c r="I421" s="2" t="s">
        <v>1394</v>
      </c>
      <c r="J421" s="2" t="s">
        <v>1394</v>
      </c>
      <c r="K421" s="30">
        <v>42073</v>
      </c>
      <c r="L421" s="30">
        <v>42073</v>
      </c>
      <c r="M421" s="30">
        <v>46022</v>
      </c>
      <c r="N421" s="35"/>
      <c r="O421" s="32">
        <v>0</v>
      </c>
      <c r="P421" s="30">
        <v>46022</v>
      </c>
      <c r="Q421" s="32" t="s">
        <v>3436</v>
      </c>
      <c r="R421" s="31">
        <v>10279300.3380991</v>
      </c>
      <c r="S421" s="93" t="s">
        <v>6604</v>
      </c>
      <c r="T421" s="35"/>
      <c r="U421" s="2">
        <v>3</v>
      </c>
      <c r="V421" s="3" t="s">
        <v>4625</v>
      </c>
      <c r="W421" s="3" t="s">
        <v>4625</v>
      </c>
      <c r="X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12.75" customHeight="1">
      <c r="A422" s="15">
        <v>421</v>
      </c>
      <c r="B422" s="736" t="s">
        <v>3086</v>
      </c>
      <c r="C422" s="16" t="s">
        <v>814</v>
      </c>
      <c r="D422" s="20" t="s">
        <v>3087</v>
      </c>
      <c r="E422" s="2" t="s">
        <v>3202</v>
      </c>
      <c r="F422" s="3" t="s">
        <v>3437</v>
      </c>
      <c r="G422" s="17">
        <v>27301800</v>
      </c>
      <c r="H422" s="2" t="s">
        <v>361</v>
      </c>
      <c r="I422" s="2" t="s">
        <v>815</v>
      </c>
      <c r="J422" s="2"/>
      <c r="K422" s="18">
        <v>45237</v>
      </c>
      <c r="L422" s="18">
        <v>45237</v>
      </c>
      <c r="M422" s="30">
        <v>45967</v>
      </c>
      <c r="N422" s="35"/>
      <c r="O422" s="32" t="s">
        <v>3418</v>
      </c>
      <c r="P422" s="30">
        <v>45967</v>
      </c>
      <c r="Q422" s="40">
        <v>907500</v>
      </c>
      <c r="R422" s="775" t="s">
        <v>816</v>
      </c>
      <c r="S422" s="34">
        <v>45237</v>
      </c>
      <c r="T422" s="35"/>
      <c r="U422" s="35">
        <v>3</v>
      </c>
      <c r="V422" s="35"/>
      <c r="W422" s="35"/>
      <c r="X422" s="2" t="s">
        <v>3368</v>
      </c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12.75" customHeight="1">
      <c r="A423" s="15">
        <v>422</v>
      </c>
      <c r="B423" s="736" t="s">
        <v>1555</v>
      </c>
      <c r="C423" s="16" t="s">
        <v>1649</v>
      </c>
      <c r="D423" s="20" t="s">
        <v>3087</v>
      </c>
      <c r="E423" s="2" t="s">
        <v>3202</v>
      </c>
      <c r="F423" s="3" t="s">
        <v>3437</v>
      </c>
      <c r="G423" s="17">
        <v>27301800</v>
      </c>
      <c r="H423" s="2" t="s">
        <v>546</v>
      </c>
      <c r="I423" s="2" t="s">
        <v>1650</v>
      </c>
      <c r="J423" s="2"/>
      <c r="K423" s="18">
        <v>44354</v>
      </c>
      <c r="L423" s="18">
        <v>44354</v>
      </c>
      <c r="M423" s="18">
        <v>45083</v>
      </c>
      <c r="N423" s="1"/>
      <c r="O423" s="19">
        <v>575000</v>
      </c>
      <c r="P423" s="18">
        <v>45083</v>
      </c>
      <c r="Q423" s="19"/>
      <c r="R423" s="772"/>
      <c r="S423" s="18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12.75" customHeight="1">
      <c r="A424" s="15">
        <v>423</v>
      </c>
      <c r="B424" s="736" t="s">
        <v>1555</v>
      </c>
      <c r="C424" s="16" t="s">
        <v>2883</v>
      </c>
      <c r="D424" s="20" t="s">
        <v>3087</v>
      </c>
      <c r="E424" s="2" t="s">
        <v>3197</v>
      </c>
      <c r="F424" s="3" t="s">
        <v>3437</v>
      </c>
      <c r="G424" s="17">
        <v>27301800</v>
      </c>
      <c r="H424" s="2" t="s">
        <v>546</v>
      </c>
      <c r="I424" s="2" t="s">
        <v>2884</v>
      </c>
      <c r="J424" s="2"/>
      <c r="K424" s="18">
        <v>45133</v>
      </c>
      <c r="L424" s="18">
        <v>45133</v>
      </c>
      <c r="M424" s="18">
        <v>45230</v>
      </c>
      <c r="N424" s="1"/>
      <c r="O424" s="19">
        <v>580800</v>
      </c>
      <c r="P424" s="18">
        <v>45230</v>
      </c>
      <c r="Q424" s="19"/>
      <c r="R424" s="772"/>
      <c r="S424" s="18"/>
    </row>
    <row r="425" spans="1:38" ht="12.75" customHeight="1">
      <c r="A425" s="15">
        <v>424</v>
      </c>
      <c r="B425" s="736" t="s">
        <v>1555</v>
      </c>
      <c r="C425" s="16" t="s">
        <v>3019</v>
      </c>
      <c r="D425" s="20" t="s">
        <v>3087</v>
      </c>
      <c r="E425" s="2" t="s">
        <v>3197</v>
      </c>
      <c r="F425" s="3" t="s">
        <v>3437</v>
      </c>
      <c r="G425" s="17">
        <v>27301800</v>
      </c>
      <c r="H425" s="2" t="s">
        <v>677</v>
      </c>
      <c r="I425" s="2" t="s">
        <v>3020</v>
      </c>
      <c r="J425" s="2"/>
      <c r="K425" s="18">
        <v>45252</v>
      </c>
      <c r="L425" s="18">
        <v>45252</v>
      </c>
      <c r="M425" s="18">
        <v>45322</v>
      </c>
      <c r="N425" s="1"/>
      <c r="O425" s="19">
        <v>2417144</v>
      </c>
      <c r="P425" s="18">
        <v>45322</v>
      </c>
      <c r="Q425" s="19"/>
      <c r="R425" s="772"/>
      <c r="S425" s="18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12.75" customHeight="1">
      <c r="A426" s="15">
        <v>425</v>
      </c>
      <c r="B426" s="738" t="s">
        <v>3086</v>
      </c>
      <c r="C426" s="16" t="s">
        <v>1454</v>
      </c>
      <c r="D426" s="2" t="s">
        <v>3110</v>
      </c>
      <c r="E426" s="3" t="s">
        <v>3141</v>
      </c>
      <c r="F426" s="3" t="s">
        <v>3438</v>
      </c>
      <c r="G426" s="17">
        <v>27295567</v>
      </c>
      <c r="H426" s="2" t="s">
        <v>1455</v>
      </c>
      <c r="I426" s="2" t="s">
        <v>1456</v>
      </c>
      <c r="J426" s="2" t="s">
        <v>1457</v>
      </c>
      <c r="K426" s="18">
        <v>42333</v>
      </c>
      <c r="L426" s="18">
        <v>42333</v>
      </c>
      <c r="M426" s="18">
        <v>2958465</v>
      </c>
      <c r="N426" s="1"/>
      <c r="O426" s="19">
        <v>0</v>
      </c>
      <c r="P426" s="18">
        <v>2958465</v>
      </c>
      <c r="Q426" s="19"/>
      <c r="R426" s="773"/>
      <c r="S426" s="18"/>
      <c r="T426" s="2"/>
      <c r="U426" s="2">
        <v>3</v>
      </c>
      <c r="V426" s="3" t="s">
        <v>4625</v>
      </c>
      <c r="W426" s="3" t="s">
        <v>4625</v>
      </c>
      <c r="X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12.75" customHeight="1">
      <c r="A427" s="15">
        <v>426</v>
      </c>
      <c r="B427" s="736" t="s">
        <v>3086</v>
      </c>
      <c r="C427" s="16" t="s">
        <v>541</v>
      </c>
      <c r="D427" s="2" t="s">
        <v>3110</v>
      </c>
      <c r="E427" s="3" t="s">
        <v>3141</v>
      </c>
      <c r="F427" s="3" t="s">
        <v>3438</v>
      </c>
      <c r="G427" s="17">
        <v>27295567</v>
      </c>
      <c r="H427" s="2" t="s">
        <v>540</v>
      </c>
      <c r="I427" s="2" t="s">
        <v>542</v>
      </c>
      <c r="J427" s="2"/>
      <c r="K427" s="18">
        <v>44846</v>
      </c>
      <c r="L427" s="18">
        <v>44846</v>
      </c>
      <c r="M427" s="18">
        <v>2958465</v>
      </c>
      <c r="N427" s="1"/>
      <c r="O427" s="19"/>
      <c r="P427" s="18">
        <v>2958465</v>
      </c>
      <c r="Q427" s="19"/>
      <c r="R427" s="772"/>
      <c r="S427" s="18"/>
      <c r="T427" s="2"/>
      <c r="U427" s="2">
        <v>3</v>
      </c>
      <c r="V427" s="3" t="s">
        <v>4625</v>
      </c>
      <c r="W427" s="3" t="s">
        <v>4625</v>
      </c>
      <c r="X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12.75" customHeight="1">
      <c r="A428" s="15">
        <v>427</v>
      </c>
      <c r="B428" s="738" t="s">
        <v>3086</v>
      </c>
      <c r="C428" s="16" t="s">
        <v>1079</v>
      </c>
      <c r="D428" s="2" t="s">
        <v>3110</v>
      </c>
      <c r="E428" s="3" t="s">
        <v>3093</v>
      </c>
      <c r="F428" s="3" t="s">
        <v>3439</v>
      </c>
      <c r="G428" s="17">
        <v>27256537</v>
      </c>
      <c r="H428" s="96" t="s">
        <v>510</v>
      </c>
      <c r="I428" s="2" t="s">
        <v>1080</v>
      </c>
      <c r="J428" s="2" t="s">
        <v>1081</v>
      </c>
      <c r="K428" s="30">
        <v>39157</v>
      </c>
      <c r="L428" s="30">
        <v>39157</v>
      </c>
      <c r="M428" s="34">
        <v>2958465</v>
      </c>
      <c r="N428" s="31">
        <v>4</v>
      </c>
      <c r="O428" s="56" t="s">
        <v>3440</v>
      </c>
      <c r="P428" s="34">
        <v>2958465</v>
      </c>
      <c r="Q428" s="32"/>
      <c r="R428" s="31"/>
      <c r="S428" s="37"/>
      <c r="T428" s="35"/>
      <c r="U428" s="35"/>
      <c r="V428" s="2"/>
      <c r="W428" s="2"/>
      <c r="X428" s="38" t="s">
        <v>3441</v>
      </c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12.75" customHeight="1">
      <c r="A429" s="15">
        <v>428</v>
      </c>
      <c r="B429" s="738" t="s">
        <v>3086</v>
      </c>
      <c r="C429" s="16" t="s">
        <v>1132</v>
      </c>
      <c r="D429" s="20" t="s">
        <v>3116</v>
      </c>
      <c r="E429" s="3" t="s">
        <v>3132</v>
      </c>
      <c r="F429" s="3" t="s">
        <v>3439</v>
      </c>
      <c r="G429" s="17">
        <v>27256537</v>
      </c>
      <c r="H429" s="2" t="s">
        <v>48</v>
      </c>
      <c r="I429" s="2" t="s">
        <v>1133</v>
      </c>
      <c r="J429" s="2" t="s">
        <v>1134</v>
      </c>
      <c r="K429" s="30">
        <v>39925</v>
      </c>
      <c r="L429" s="30">
        <v>39925</v>
      </c>
      <c r="M429" s="37">
        <v>2958465</v>
      </c>
      <c r="N429" s="35"/>
      <c r="O429" s="32">
        <v>0</v>
      </c>
      <c r="P429" s="37">
        <v>2958465</v>
      </c>
      <c r="Q429" s="32"/>
      <c r="R429" s="31"/>
      <c r="S429" s="37"/>
      <c r="T429" s="35"/>
      <c r="U429" s="35"/>
      <c r="V429" s="35"/>
      <c r="W429" s="35"/>
      <c r="X429" s="25" t="s">
        <v>3442</v>
      </c>
      <c r="Y429" s="2" t="s">
        <v>4735</v>
      </c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12.75" customHeight="1">
      <c r="A430" s="15">
        <v>429</v>
      </c>
      <c r="B430" s="738" t="s">
        <v>3086</v>
      </c>
      <c r="C430" s="16" t="s">
        <v>1154</v>
      </c>
      <c r="D430" s="20" t="s">
        <v>3127</v>
      </c>
      <c r="E430" s="3" t="s">
        <v>3142</v>
      </c>
      <c r="F430" s="3" t="s">
        <v>3439</v>
      </c>
      <c r="G430" s="17">
        <v>27256537</v>
      </c>
      <c r="H430" s="2" t="s">
        <v>118</v>
      </c>
      <c r="I430" s="2" t="s">
        <v>1155</v>
      </c>
      <c r="J430" s="2" t="s">
        <v>1156</v>
      </c>
      <c r="K430" s="30">
        <v>40322</v>
      </c>
      <c r="L430" s="30">
        <v>40322</v>
      </c>
      <c r="M430" s="34">
        <v>2958465</v>
      </c>
      <c r="N430" s="35"/>
      <c r="O430" s="32">
        <v>0</v>
      </c>
      <c r="P430" s="34">
        <v>2958465</v>
      </c>
      <c r="Q430" s="32">
        <v>0</v>
      </c>
      <c r="R430" s="31"/>
      <c r="S430" s="37"/>
      <c r="T430" s="35"/>
      <c r="U430" s="35"/>
      <c r="V430" s="35"/>
      <c r="W430" s="35"/>
      <c r="X430" s="38"/>
      <c r="Y430" s="2" t="s">
        <v>4736</v>
      </c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12.75" customHeight="1">
      <c r="A431" s="15">
        <v>430</v>
      </c>
      <c r="B431" s="738" t="s">
        <v>3086</v>
      </c>
      <c r="C431" s="16" t="s">
        <v>1219</v>
      </c>
      <c r="D431" s="2" t="s">
        <v>3110</v>
      </c>
      <c r="E431" s="2" t="s">
        <v>3184</v>
      </c>
      <c r="F431" s="3" t="s">
        <v>3439</v>
      </c>
      <c r="G431" s="17">
        <v>27256537</v>
      </c>
      <c r="H431" s="2" t="s">
        <v>255</v>
      </c>
      <c r="I431" s="2" t="s">
        <v>1220</v>
      </c>
      <c r="J431" s="2" t="s">
        <v>1221</v>
      </c>
      <c r="K431" s="30">
        <v>40808</v>
      </c>
      <c r="L431" s="30">
        <v>40808</v>
      </c>
      <c r="M431" s="30">
        <v>2958465</v>
      </c>
      <c r="N431" s="35"/>
      <c r="O431" s="32">
        <v>0</v>
      </c>
      <c r="P431" s="30">
        <v>2958465</v>
      </c>
      <c r="Q431" s="32">
        <v>0</v>
      </c>
      <c r="R431" s="31"/>
      <c r="S431" s="37"/>
      <c r="T431" s="35"/>
      <c r="U431" s="2"/>
      <c r="V431" s="2" t="s">
        <v>4625</v>
      </c>
      <c r="W431" s="2" t="s">
        <v>4625</v>
      </c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12.75" customHeight="1">
      <c r="A432" s="15">
        <v>431</v>
      </c>
      <c r="B432" s="738" t="s">
        <v>3086</v>
      </c>
      <c r="C432" s="16" t="s">
        <v>1496</v>
      </c>
      <c r="D432" s="20" t="s">
        <v>3087</v>
      </c>
      <c r="E432" s="3" t="s">
        <v>3088</v>
      </c>
      <c r="F432" s="3" t="s">
        <v>3439</v>
      </c>
      <c r="G432" s="17">
        <v>27256537</v>
      </c>
      <c r="H432" s="2" t="s">
        <v>48</v>
      </c>
      <c r="I432" s="2" t="s">
        <v>1497</v>
      </c>
      <c r="J432" s="2" t="s">
        <v>1498</v>
      </c>
      <c r="K432" s="30">
        <v>42438</v>
      </c>
      <c r="L432" s="30">
        <v>42438</v>
      </c>
      <c r="M432" s="30">
        <v>46089</v>
      </c>
      <c r="N432" s="35"/>
      <c r="O432" s="32">
        <v>0</v>
      </c>
      <c r="P432" s="30">
        <v>46089</v>
      </c>
      <c r="Q432" s="32">
        <v>0</v>
      </c>
      <c r="R432" s="31"/>
      <c r="S432" s="37"/>
      <c r="T432" s="35"/>
      <c r="U432" s="35">
        <v>3</v>
      </c>
      <c r="V432" s="35" t="s">
        <v>4625</v>
      </c>
      <c r="W432" s="35"/>
      <c r="X432" s="38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12.75" customHeight="1">
      <c r="A433" s="15">
        <v>432</v>
      </c>
      <c r="B433" s="738" t="s">
        <v>3086</v>
      </c>
      <c r="C433" s="16" t="s">
        <v>135</v>
      </c>
      <c r="D433" s="20" t="s">
        <v>3087</v>
      </c>
      <c r="E433" s="3" t="s">
        <v>3142</v>
      </c>
      <c r="F433" s="3" t="s">
        <v>3439</v>
      </c>
      <c r="G433" s="17">
        <v>27256537</v>
      </c>
      <c r="H433" s="2" t="s">
        <v>118</v>
      </c>
      <c r="I433" s="2" t="s">
        <v>120</v>
      </c>
      <c r="K433" s="30">
        <v>43361</v>
      </c>
      <c r="L433" s="30">
        <v>43361</v>
      </c>
      <c r="M433" s="34">
        <v>2958465</v>
      </c>
      <c r="N433" s="35"/>
      <c r="O433" s="32">
        <v>0</v>
      </c>
      <c r="P433" s="34">
        <v>2958465</v>
      </c>
      <c r="Q433" s="40"/>
      <c r="R433" s="31"/>
      <c r="S433" s="18"/>
      <c r="T433" s="2"/>
      <c r="U433" s="2">
        <v>3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12.75" customHeight="1">
      <c r="A434" s="15">
        <v>433</v>
      </c>
      <c r="B434" s="742" t="s">
        <v>1555</v>
      </c>
      <c r="C434" s="71" t="s">
        <v>306</v>
      </c>
      <c r="D434" s="739" t="s">
        <v>5353</v>
      </c>
      <c r="E434" s="77" t="s">
        <v>3443</v>
      </c>
      <c r="F434" s="75" t="s">
        <v>3439</v>
      </c>
      <c r="G434" s="76">
        <v>27256537</v>
      </c>
      <c r="H434" s="77" t="s">
        <v>305</v>
      </c>
      <c r="I434" s="77" t="s">
        <v>307</v>
      </c>
      <c r="J434" s="2"/>
      <c r="K434" s="30">
        <v>44250</v>
      </c>
      <c r="L434" s="30">
        <v>44251</v>
      </c>
      <c r="M434" s="37">
        <v>44316</v>
      </c>
      <c r="N434" s="35"/>
      <c r="O434" s="32" t="s">
        <v>3444</v>
      </c>
      <c r="P434" s="37">
        <v>44316</v>
      </c>
      <c r="Q434" s="40">
        <v>138315.09</v>
      </c>
      <c r="R434" s="775" t="s">
        <v>308</v>
      </c>
      <c r="S434" s="34">
        <v>44266</v>
      </c>
      <c r="T434" s="35"/>
      <c r="U434" s="35"/>
      <c r="V434" s="2" t="s">
        <v>3091</v>
      </c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12.75" customHeight="1">
      <c r="A435" s="15">
        <v>434</v>
      </c>
      <c r="B435" s="736" t="s">
        <v>3086</v>
      </c>
      <c r="C435" s="16" t="s">
        <v>634</v>
      </c>
      <c r="D435" s="20" t="s">
        <v>3110</v>
      </c>
      <c r="E435" s="2" t="s">
        <v>3123</v>
      </c>
      <c r="F435" s="3" t="s">
        <v>3439</v>
      </c>
      <c r="G435" s="17">
        <v>27256537</v>
      </c>
      <c r="H435" s="2" t="s">
        <v>250</v>
      </c>
      <c r="I435" s="2" t="s">
        <v>635</v>
      </c>
      <c r="J435" s="2"/>
      <c r="K435" s="30">
        <v>44956</v>
      </c>
      <c r="L435" s="30">
        <v>44956</v>
      </c>
      <c r="M435" s="30">
        <v>46387</v>
      </c>
      <c r="N435" s="31">
        <v>1</v>
      </c>
      <c r="O435" s="32" t="s">
        <v>3445</v>
      </c>
      <c r="P435" s="30">
        <v>46387</v>
      </c>
      <c r="Q435" s="40"/>
      <c r="R435" s="31"/>
      <c r="S435" s="37"/>
      <c r="T435" s="35"/>
      <c r="U435" s="35"/>
      <c r="V435" s="35"/>
      <c r="W435" s="35"/>
      <c r="Y435" s="2" t="s">
        <v>4727</v>
      </c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12.75" customHeight="1">
      <c r="A436" s="15">
        <v>435</v>
      </c>
      <c r="B436" s="736" t="s">
        <v>1555</v>
      </c>
      <c r="C436" s="16" t="s">
        <v>513</v>
      </c>
      <c r="D436" s="20" t="s">
        <v>3087</v>
      </c>
      <c r="E436" s="2" t="s">
        <v>3088</v>
      </c>
      <c r="F436" s="3" t="s">
        <v>3439</v>
      </c>
      <c r="G436" s="17">
        <v>27256537</v>
      </c>
      <c r="H436" s="2" t="s">
        <v>48</v>
      </c>
      <c r="I436" s="2" t="s">
        <v>514</v>
      </c>
      <c r="J436" s="2"/>
      <c r="K436" s="18">
        <v>44812</v>
      </c>
      <c r="L436" s="18">
        <v>44812</v>
      </c>
      <c r="M436" s="18">
        <v>45341</v>
      </c>
      <c r="N436" s="1"/>
      <c r="O436" s="19"/>
      <c r="P436" s="18">
        <v>45341</v>
      </c>
      <c r="Q436" s="19"/>
      <c r="R436" s="772"/>
      <c r="S436" s="18"/>
      <c r="V436" s="15" t="s">
        <v>3091</v>
      </c>
      <c r="W436" s="15"/>
    </row>
    <row r="437" spans="1:38" ht="12.75" customHeight="1">
      <c r="A437" s="15">
        <v>436</v>
      </c>
      <c r="B437" s="736" t="s">
        <v>1555</v>
      </c>
      <c r="C437" s="16" t="s">
        <v>2167</v>
      </c>
      <c r="D437" s="21" t="s">
        <v>3168</v>
      </c>
      <c r="E437" s="2" t="s">
        <v>3093</v>
      </c>
      <c r="F437" s="3" t="s">
        <v>3439</v>
      </c>
      <c r="G437" s="17">
        <v>27256537</v>
      </c>
      <c r="H437" s="96" t="s">
        <v>510</v>
      </c>
      <c r="I437" s="2" t="s">
        <v>2168</v>
      </c>
      <c r="J437" s="2"/>
      <c r="K437" s="18">
        <v>44726</v>
      </c>
      <c r="L437" s="18">
        <v>44726</v>
      </c>
      <c r="M437" s="18">
        <v>45107</v>
      </c>
      <c r="N437" s="1"/>
      <c r="O437" s="19"/>
      <c r="P437" s="18">
        <v>45107</v>
      </c>
      <c r="Q437" s="19"/>
      <c r="R437" s="772"/>
      <c r="S437" s="18"/>
    </row>
    <row r="438" spans="1:38" ht="12.75" customHeight="1">
      <c r="A438" s="15">
        <v>437</v>
      </c>
      <c r="B438" s="738" t="s">
        <v>3086</v>
      </c>
      <c r="C438" s="16" t="s">
        <v>1053</v>
      </c>
      <c r="D438" s="2" t="s">
        <v>3110</v>
      </c>
      <c r="E438" s="3" t="s">
        <v>3141</v>
      </c>
      <c r="F438" s="3" t="s">
        <v>3446</v>
      </c>
      <c r="G438" s="17">
        <v>27256456</v>
      </c>
      <c r="H438" s="2" t="s">
        <v>147</v>
      </c>
      <c r="I438" s="2" t="s">
        <v>1054</v>
      </c>
      <c r="J438" s="35" t="s">
        <v>1055</v>
      </c>
      <c r="K438" s="30">
        <v>38672</v>
      </c>
      <c r="L438" s="30">
        <v>38672</v>
      </c>
      <c r="M438" s="34">
        <v>2958465</v>
      </c>
      <c r="N438" s="35"/>
      <c r="O438" s="32">
        <v>0</v>
      </c>
      <c r="P438" s="34">
        <v>2958465</v>
      </c>
      <c r="Q438" s="32"/>
      <c r="R438" s="31"/>
      <c r="S438" s="37"/>
      <c r="T438" s="35"/>
      <c r="U438" s="2">
        <v>3</v>
      </c>
      <c r="V438" s="3" t="s">
        <v>4625</v>
      </c>
      <c r="W438" s="3" t="s">
        <v>4625</v>
      </c>
      <c r="X438" s="38"/>
    </row>
    <row r="439" spans="1:38" ht="12.75" customHeight="1">
      <c r="A439" s="15">
        <v>438</v>
      </c>
      <c r="B439" s="738" t="s">
        <v>3086</v>
      </c>
      <c r="C439" s="16" t="s">
        <v>1229</v>
      </c>
      <c r="D439" s="20" t="s">
        <v>3087</v>
      </c>
      <c r="E439" s="3" t="s">
        <v>3132</v>
      </c>
      <c r="F439" s="3" t="s">
        <v>3446</v>
      </c>
      <c r="G439" s="17">
        <v>27256456</v>
      </c>
      <c r="H439" s="2" t="s">
        <v>48</v>
      </c>
      <c r="I439" s="2" t="s">
        <v>1230</v>
      </c>
      <c r="J439" s="2" t="s">
        <v>1231</v>
      </c>
      <c r="K439" s="30">
        <v>40850</v>
      </c>
      <c r="L439" s="30">
        <v>40850</v>
      </c>
      <c r="M439" s="37">
        <v>2958465</v>
      </c>
      <c r="N439" s="35"/>
      <c r="O439" s="32">
        <v>0</v>
      </c>
      <c r="P439" s="37">
        <v>2958465</v>
      </c>
      <c r="Q439" s="32"/>
      <c r="R439" s="31"/>
      <c r="S439" s="37"/>
      <c r="T439" s="35"/>
      <c r="U439" s="35">
        <v>3</v>
      </c>
      <c r="V439" s="35"/>
      <c r="W439" s="35"/>
      <c r="X439" s="38"/>
      <c r="Y439" s="2" t="s">
        <v>4738</v>
      </c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12.75" customHeight="1">
      <c r="A440" s="15">
        <v>439</v>
      </c>
      <c r="B440" s="738" t="s">
        <v>3086</v>
      </c>
      <c r="C440" s="16" t="s">
        <v>121</v>
      </c>
      <c r="D440" s="20" t="s">
        <v>3087</v>
      </c>
      <c r="E440" s="3" t="s">
        <v>3142</v>
      </c>
      <c r="F440" s="3" t="s">
        <v>3446</v>
      </c>
      <c r="G440" s="17">
        <v>27256456</v>
      </c>
      <c r="H440" s="2" t="s">
        <v>118</v>
      </c>
      <c r="I440" s="2" t="s">
        <v>120</v>
      </c>
      <c r="K440" s="30">
        <v>43263</v>
      </c>
      <c r="L440" s="30">
        <v>43263</v>
      </c>
      <c r="M440" s="30">
        <v>2958465</v>
      </c>
      <c r="N440" s="35"/>
      <c r="O440" s="32">
        <v>0</v>
      </c>
      <c r="P440" s="30">
        <v>2958465</v>
      </c>
      <c r="Q440" s="40"/>
      <c r="R440" s="31"/>
      <c r="S440" s="37"/>
      <c r="T440" s="35"/>
      <c r="U440" s="35">
        <v>3</v>
      </c>
      <c r="V440" s="35"/>
      <c r="W440" s="35"/>
      <c r="Y440" t="s">
        <v>4739</v>
      </c>
    </row>
    <row r="441" spans="1:38" ht="12.75" customHeight="1">
      <c r="A441" s="15">
        <v>440</v>
      </c>
      <c r="B441" s="738" t="s">
        <v>3086</v>
      </c>
      <c r="C441" s="16" t="s">
        <v>1447</v>
      </c>
      <c r="D441" s="21" t="s">
        <v>3116</v>
      </c>
      <c r="E441" s="3" t="s">
        <v>3447</v>
      </c>
      <c r="F441" s="3" t="s">
        <v>3446</v>
      </c>
      <c r="G441" s="17">
        <v>27256456</v>
      </c>
      <c r="H441" s="2" t="s">
        <v>1444</v>
      </c>
      <c r="I441" s="2" t="s">
        <v>1448</v>
      </c>
      <c r="J441" s="2" t="s">
        <v>1449</v>
      </c>
      <c r="K441" s="30">
        <v>42331</v>
      </c>
      <c r="L441" s="30">
        <v>42331</v>
      </c>
      <c r="M441" s="30">
        <v>2958465</v>
      </c>
      <c r="N441" s="35"/>
      <c r="O441" s="32">
        <v>0</v>
      </c>
      <c r="P441" s="30">
        <v>2958465</v>
      </c>
      <c r="Q441" s="32"/>
      <c r="R441" s="31"/>
      <c r="S441" s="37"/>
      <c r="T441" s="35"/>
      <c r="U441" s="3">
        <v>3</v>
      </c>
      <c r="V441" s="35" t="s">
        <v>4625</v>
      </c>
      <c r="W441" s="35" t="s">
        <v>4625</v>
      </c>
      <c r="X441" s="2"/>
      <c r="Y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12.75" customHeight="1">
      <c r="A442" s="15">
        <v>441</v>
      </c>
      <c r="B442" s="736" t="s">
        <v>3086</v>
      </c>
      <c r="C442" s="16" t="s">
        <v>941</v>
      </c>
      <c r="D442" s="2" t="s">
        <v>3110</v>
      </c>
      <c r="E442" s="2" t="s">
        <v>3088</v>
      </c>
      <c r="F442" s="3" t="s">
        <v>3446</v>
      </c>
      <c r="G442" s="17">
        <v>27256456</v>
      </c>
      <c r="H442" s="2" t="s">
        <v>48</v>
      </c>
      <c r="I442" s="2" t="s">
        <v>942</v>
      </c>
      <c r="J442" s="2"/>
      <c r="K442" s="30">
        <v>45317</v>
      </c>
      <c r="L442" s="30">
        <v>45315</v>
      </c>
      <c r="M442" s="30">
        <v>2958465</v>
      </c>
      <c r="N442" s="31">
        <v>7</v>
      </c>
      <c r="O442" s="32">
        <v>0</v>
      </c>
      <c r="P442" s="30">
        <v>2958465</v>
      </c>
      <c r="Q442" s="40"/>
      <c r="R442" s="31"/>
      <c r="S442" s="37"/>
      <c r="T442" s="35"/>
      <c r="U442" s="35"/>
      <c r="V442" s="35"/>
      <c r="W442" s="35"/>
      <c r="X442" s="2"/>
      <c r="Y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12.75" customHeight="1">
      <c r="A443" s="15">
        <v>442</v>
      </c>
      <c r="B443" s="736" t="s">
        <v>3086</v>
      </c>
      <c r="C443" s="16" t="s">
        <v>951</v>
      </c>
      <c r="D443" s="20" t="s">
        <v>3094</v>
      </c>
      <c r="E443" s="2" t="s">
        <v>3093</v>
      </c>
      <c r="F443" s="3" t="s">
        <v>3446</v>
      </c>
      <c r="G443" s="17">
        <v>27256456</v>
      </c>
      <c r="H443" s="2" t="s">
        <v>950</v>
      </c>
      <c r="I443" s="2" t="s">
        <v>952</v>
      </c>
      <c r="J443" s="2"/>
      <c r="K443" s="30">
        <v>45322</v>
      </c>
      <c r="L443" s="30">
        <v>45322</v>
      </c>
      <c r="M443" s="30">
        <v>2958465</v>
      </c>
      <c r="N443" s="31">
        <v>7</v>
      </c>
      <c r="O443" s="32">
        <v>0</v>
      </c>
      <c r="P443" s="30">
        <v>2958465</v>
      </c>
      <c r="Q443" s="40"/>
      <c r="R443" s="31"/>
      <c r="S443" s="37"/>
      <c r="T443" s="35"/>
      <c r="U443" s="35"/>
      <c r="V443" s="35"/>
      <c r="W443" s="3" t="s">
        <v>4625</v>
      </c>
      <c r="X443" s="3"/>
      <c r="Y443" t="s">
        <v>4740</v>
      </c>
    </row>
    <row r="444" spans="1:38" ht="12.75" customHeight="1">
      <c r="A444" s="15">
        <v>443</v>
      </c>
      <c r="B444" s="736" t="s">
        <v>3086</v>
      </c>
      <c r="C444" s="16" t="s">
        <v>621</v>
      </c>
      <c r="D444" s="2" t="s">
        <v>3110</v>
      </c>
      <c r="E444" s="2" t="s">
        <v>3111</v>
      </c>
      <c r="F444" s="3" t="s">
        <v>3446</v>
      </c>
      <c r="G444" s="17">
        <v>27256456</v>
      </c>
      <c r="H444" s="2" t="s">
        <v>55</v>
      </c>
      <c r="I444" s="2" t="s">
        <v>622</v>
      </c>
      <c r="J444" s="2"/>
      <c r="K444" s="30">
        <v>45008</v>
      </c>
      <c r="L444" s="30">
        <v>45008</v>
      </c>
      <c r="M444" s="30">
        <v>46142</v>
      </c>
      <c r="N444" s="45">
        <v>2</v>
      </c>
      <c r="O444" s="32" t="s">
        <v>3448</v>
      </c>
      <c r="P444" s="30">
        <v>46142</v>
      </c>
      <c r="Q444" s="40">
        <v>416030.4</v>
      </c>
      <c r="R444" s="775" t="s">
        <v>623</v>
      </c>
      <c r="S444" s="34">
        <v>45008</v>
      </c>
      <c r="T444" s="35"/>
      <c r="U444" s="35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12.75" customHeight="1">
      <c r="A445" s="15">
        <v>444</v>
      </c>
      <c r="B445" s="738" t="s">
        <v>3086</v>
      </c>
      <c r="C445" s="16" t="s">
        <v>235</v>
      </c>
      <c r="D445" s="2" t="s">
        <v>3110</v>
      </c>
      <c r="E445" s="3" t="s">
        <v>3132</v>
      </c>
      <c r="F445" s="3" t="s">
        <v>3446</v>
      </c>
      <c r="G445" s="17">
        <v>27256456</v>
      </c>
      <c r="H445" s="2" t="s">
        <v>48</v>
      </c>
      <c r="I445" s="2" t="s">
        <v>236</v>
      </c>
      <c r="J445" s="2" t="s">
        <v>236</v>
      </c>
      <c r="K445" s="30">
        <v>43901</v>
      </c>
      <c r="L445" s="30">
        <v>43901</v>
      </c>
      <c r="M445" s="30">
        <v>46082</v>
      </c>
      <c r="N445" s="35"/>
      <c r="O445" s="32" t="s">
        <v>3449</v>
      </c>
      <c r="P445" s="30">
        <v>46082</v>
      </c>
      <c r="Q445" s="32" t="s">
        <v>3450</v>
      </c>
      <c r="R445" s="31" t="s">
        <v>237</v>
      </c>
      <c r="S445" s="30">
        <v>43901</v>
      </c>
      <c r="T445" s="35"/>
      <c r="U445" s="35"/>
      <c r="V445" s="36"/>
      <c r="W445" s="36"/>
      <c r="X445" s="38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12.75" customHeight="1">
      <c r="A446" s="15">
        <v>445</v>
      </c>
      <c r="B446" s="736" t="s">
        <v>1555</v>
      </c>
      <c r="C446" s="16" t="s">
        <v>685</v>
      </c>
      <c r="D446" s="2" t="s">
        <v>3110</v>
      </c>
      <c r="E446" s="2" t="s">
        <v>3092</v>
      </c>
      <c r="F446" s="3" t="s">
        <v>3446</v>
      </c>
      <c r="G446" s="17">
        <v>27256456</v>
      </c>
      <c r="H446" s="2" t="s">
        <v>684</v>
      </c>
      <c r="I446" s="2" t="s">
        <v>686</v>
      </c>
      <c r="J446" s="2"/>
      <c r="K446" s="30">
        <v>45055</v>
      </c>
      <c r="L446" s="30">
        <v>45055</v>
      </c>
      <c r="M446" s="30">
        <v>45061</v>
      </c>
      <c r="N446" s="35"/>
      <c r="O446" s="32" t="s">
        <v>3451</v>
      </c>
      <c r="P446" s="30">
        <v>45061</v>
      </c>
      <c r="Q446" s="40">
        <v>185000</v>
      </c>
      <c r="R446" s="775" t="s">
        <v>687</v>
      </c>
      <c r="S446" s="34">
        <v>45061</v>
      </c>
      <c r="T446" s="35"/>
      <c r="U446" s="35"/>
      <c r="V446" s="3" t="s">
        <v>3091</v>
      </c>
      <c r="W446" s="3" t="s">
        <v>3091</v>
      </c>
      <c r="X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12.75" customHeight="1">
      <c r="A447" s="15">
        <v>446</v>
      </c>
      <c r="B447" s="738" t="s">
        <v>3086</v>
      </c>
      <c r="C447" s="16" t="s">
        <v>276</v>
      </c>
      <c r="D447" s="20" t="s">
        <v>3110</v>
      </c>
      <c r="E447" s="3" t="s">
        <v>3132</v>
      </c>
      <c r="F447" s="3" t="s">
        <v>3446</v>
      </c>
      <c r="G447" s="17">
        <v>27256456</v>
      </c>
      <c r="H447" s="2" t="s">
        <v>48</v>
      </c>
      <c r="I447" s="2" t="s">
        <v>277</v>
      </c>
      <c r="J447" s="2" t="s">
        <v>277</v>
      </c>
      <c r="K447" s="30">
        <v>44124</v>
      </c>
      <c r="L447" s="30">
        <v>44124</v>
      </c>
      <c r="M447" s="30">
        <v>46306</v>
      </c>
      <c r="N447" s="35"/>
      <c r="O447" s="40">
        <v>0</v>
      </c>
      <c r="P447" s="30">
        <v>46306</v>
      </c>
      <c r="Q447" s="40">
        <v>1</v>
      </c>
      <c r="R447" s="31" t="s">
        <v>278</v>
      </c>
      <c r="S447" s="30">
        <v>44124</v>
      </c>
      <c r="T447" s="35"/>
      <c r="U447" s="35"/>
      <c r="V447" s="36" t="s">
        <v>4625</v>
      </c>
      <c r="W447" s="36" t="s">
        <v>4625</v>
      </c>
      <c r="X447" s="38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12.75" customHeight="1">
      <c r="A448" s="15">
        <v>447</v>
      </c>
      <c r="B448" s="738" t="s">
        <v>3086</v>
      </c>
      <c r="C448" s="16" t="s">
        <v>279</v>
      </c>
      <c r="D448" s="20" t="s">
        <v>3110</v>
      </c>
      <c r="E448" s="3" t="s">
        <v>3132</v>
      </c>
      <c r="F448" s="3" t="s">
        <v>3446</v>
      </c>
      <c r="G448" s="17">
        <v>27256456</v>
      </c>
      <c r="H448" s="2" t="s">
        <v>48</v>
      </c>
      <c r="I448" s="2" t="s">
        <v>280</v>
      </c>
      <c r="J448" s="2" t="s">
        <v>280</v>
      </c>
      <c r="K448" s="18">
        <v>44124</v>
      </c>
      <c r="L448" s="18">
        <v>44124</v>
      </c>
      <c r="M448" s="30">
        <v>46306</v>
      </c>
      <c r="N448" s="1"/>
      <c r="O448" s="19">
        <v>0</v>
      </c>
      <c r="P448" s="30">
        <v>46306</v>
      </c>
      <c r="Q448" s="19">
        <v>1</v>
      </c>
      <c r="R448" s="772" t="s">
        <v>281</v>
      </c>
      <c r="S448" s="18">
        <v>44124</v>
      </c>
      <c r="T448" s="2"/>
      <c r="U448" s="2"/>
      <c r="V448" s="2"/>
      <c r="W448" s="2" t="s">
        <v>4625</v>
      </c>
      <c r="X448" s="38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12.75" customHeight="1">
      <c r="A449" s="15">
        <v>448</v>
      </c>
      <c r="B449" s="736" t="s">
        <v>3086</v>
      </c>
      <c r="C449" s="16" t="s">
        <v>765</v>
      </c>
      <c r="D449" s="2" t="s">
        <v>3110</v>
      </c>
      <c r="E449" s="2" t="s">
        <v>3228</v>
      </c>
      <c r="F449" s="3" t="s">
        <v>3446</v>
      </c>
      <c r="G449" s="17">
        <v>27256456</v>
      </c>
      <c r="H449" s="2" t="s">
        <v>947</v>
      </c>
      <c r="I449" s="2" t="s">
        <v>766</v>
      </c>
      <c r="J449" s="2"/>
      <c r="K449" s="30">
        <v>45105</v>
      </c>
      <c r="L449" s="30">
        <v>45105</v>
      </c>
      <c r="M449" s="30">
        <v>2958465</v>
      </c>
      <c r="N449" s="31">
        <v>1</v>
      </c>
      <c r="O449" s="32" t="s">
        <v>3452</v>
      </c>
      <c r="P449" s="30">
        <v>2958465</v>
      </c>
      <c r="Q449" s="40">
        <v>111120.55</v>
      </c>
      <c r="R449" s="775" t="s">
        <v>767</v>
      </c>
      <c r="S449" s="34">
        <v>45162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12.75" customHeight="1">
      <c r="A450" s="15">
        <v>449</v>
      </c>
      <c r="B450" s="736" t="s">
        <v>3086</v>
      </c>
      <c r="C450" s="16" t="s">
        <v>869</v>
      </c>
      <c r="D450" s="2" t="s">
        <v>3110</v>
      </c>
      <c r="E450" s="2" t="s">
        <v>3088</v>
      </c>
      <c r="F450" s="3" t="s">
        <v>3446</v>
      </c>
      <c r="G450" s="17">
        <v>27256456</v>
      </c>
      <c r="H450" s="2" t="s">
        <v>48</v>
      </c>
      <c r="I450" s="2" t="s">
        <v>870</v>
      </c>
      <c r="J450" s="2"/>
      <c r="K450" s="30">
        <v>45260</v>
      </c>
      <c r="L450" s="30">
        <v>45260</v>
      </c>
      <c r="M450" s="30">
        <v>45990</v>
      </c>
      <c r="N450" s="35"/>
      <c r="O450" s="32" t="s">
        <v>3453</v>
      </c>
      <c r="P450" s="30">
        <v>45990</v>
      </c>
      <c r="Q450" s="40">
        <v>2758975.56</v>
      </c>
      <c r="R450" s="775" t="s">
        <v>871</v>
      </c>
      <c r="S450" s="34">
        <v>45260</v>
      </c>
      <c r="T450" s="35"/>
      <c r="U450" s="35"/>
      <c r="V450" s="36"/>
      <c r="W450" s="36" t="s">
        <v>4625</v>
      </c>
      <c r="X450" s="38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12.75" customHeight="1">
      <c r="A451" s="15">
        <v>450</v>
      </c>
      <c r="B451" s="736" t="s">
        <v>1555</v>
      </c>
      <c r="C451" s="16" t="s">
        <v>1955</v>
      </c>
      <c r="D451" s="15" t="s">
        <v>3116</v>
      </c>
      <c r="E451" s="2" t="s">
        <v>3093</v>
      </c>
      <c r="F451" s="3" t="s">
        <v>3446</v>
      </c>
      <c r="G451" s="17">
        <v>27256456</v>
      </c>
      <c r="H451" s="2" t="s">
        <v>1954</v>
      </c>
      <c r="I451" s="2" t="s">
        <v>1956</v>
      </c>
      <c r="J451" s="2"/>
      <c r="K451" s="18">
        <v>44579</v>
      </c>
      <c r="L451" s="18">
        <v>44579</v>
      </c>
      <c r="M451" s="18">
        <v>44951</v>
      </c>
      <c r="N451" s="1"/>
      <c r="O451" s="19"/>
      <c r="P451" s="18">
        <v>44951</v>
      </c>
      <c r="Q451" s="19"/>
      <c r="R451" s="772"/>
      <c r="S451" s="18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12.75" customHeight="1">
      <c r="A452" s="15">
        <v>451</v>
      </c>
      <c r="B452" s="736" t="s">
        <v>1555</v>
      </c>
      <c r="C452" s="16" t="s">
        <v>1617</v>
      </c>
      <c r="D452" s="20" t="s">
        <v>3110</v>
      </c>
      <c r="E452" s="2" t="s">
        <v>3233</v>
      </c>
      <c r="F452" s="3" t="s">
        <v>3446</v>
      </c>
      <c r="G452" s="17">
        <v>27256456</v>
      </c>
      <c r="H452" s="2" t="s">
        <v>250</v>
      </c>
      <c r="I452" s="2" t="s">
        <v>1618</v>
      </c>
      <c r="J452" s="2"/>
      <c r="K452" s="18">
        <v>44315</v>
      </c>
      <c r="L452" s="18">
        <v>44317</v>
      </c>
      <c r="M452" s="18">
        <v>44944</v>
      </c>
      <c r="N452" s="1"/>
      <c r="O452" s="19">
        <v>208015.2</v>
      </c>
      <c r="P452" s="18">
        <v>44944</v>
      </c>
      <c r="Q452" s="19"/>
      <c r="R452" s="772"/>
      <c r="S452" s="18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12.75" customHeight="1">
      <c r="A453" s="15">
        <v>452</v>
      </c>
      <c r="B453" s="736" t="s">
        <v>1555</v>
      </c>
      <c r="C453" s="16" t="s">
        <v>1676</v>
      </c>
      <c r="D453" s="20" t="s">
        <v>3110</v>
      </c>
      <c r="E453" s="2" t="s">
        <v>3126</v>
      </c>
      <c r="F453" s="3" t="s">
        <v>3446</v>
      </c>
      <c r="G453" s="17">
        <v>27256456</v>
      </c>
      <c r="H453" s="2" t="s">
        <v>588</v>
      </c>
      <c r="I453" s="2" t="s">
        <v>1677</v>
      </c>
      <c r="J453" s="2"/>
      <c r="K453" s="18">
        <v>44363</v>
      </c>
      <c r="L453" s="18">
        <v>44363</v>
      </c>
      <c r="M453" s="18">
        <v>44363</v>
      </c>
      <c r="N453" s="1"/>
      <c r="O453" s="19"/>
      <c r="P453" s="18">
        <v>44363</v>
      </c>
      <c r="Q453" s="19"/>
      <c r="R453" s="772"/>
      <c r="S453" s="18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12.75" customHeight="1">
      <c r="A454" s="15">
        <v>453</v>
      </c>
      <c r="B454" s="736" t="s">
        <v>1555</v>
      </c>
      <c r="C454" s="16" t="s">
        <v>1725</v>
      </c>
      <c r="D454" s="20" t="s">
        <v>3110</v>
      </c>
      <c r="E454" s="2" t="s">
        <v>3228</v>
      </c>
      <c r="F454" s="3" t="s">
        <v>3446</v>
      </c>
      <c r="G454" s="17">
        <v>27256456</v>
      </c>
      <c r="H454" s="2" t="s">
        <v>245</v>
      </c>
      <c r="I454" s="2" t="s">
        <v>1726</v>
      </c>
      <c r="J454" s="2"/>
      <c r="K454" s="18">
        <v>44378</v>
      </c>
      <c r="L454" s="18">
        <v>44378</v>
      </c>
      <c r="M454" s="18">
        <v>45107</v>
      </c>
      <c r="N454" s="1"/>
      <c r="O454" s="19">
        <v>48000</v>
      </c>
      <c r="P454" s="18">
        <v>45107</v>
      </c>
      <c r="Q454" s="19"/>
      <c r="R454" s="772"/>
      <c r="S454" s="18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12.75" customHeight="1">
      <c r="A455" s="15">
        <v>454</v>
      </c>
      <c r="B455" s="736" t="s">
        <v>1555</v>
      </c>
      <c r="C455" s="16" t="s">
        <v>1916</v>
      </c>
      <c r="D455" s="20" t="s">
        <v>3110</v>
      </c>
      <c r="E455" s="2" t="s">
        <v>3114</v>
      </c>
      <c r="F455" s="3" t="s">
        <v>3446</v>
      </c>
      <c r="G455" s="17">
        <v>27256456</v>
      </c>
      <c r="H455" s="2" t="s">
        <v>1905</v>
      </c>
      <c r="I455" s="2" t="s">
        <v>1917</v>
      </c>
      <c r="J455" s="2"/>
      <c r="K455" s="18">
        <v>44558</v>
      </c>
      <c r="L455" s="18">
        <v>44558</v>
      </c>
      <c r="M455" s="18">
        <v>44561</v>
      </c>
      <c r="N455" s="1"/>
      <c r="O455" s="19">
        <v>1</v>
      </c>
      <c r="P455" s="18">
        <v>44561</v>
      </c>
      <c r="Q455" s="19"/>
      <c r="R455" s="772"/>
      <c r="S455" s="18"/>
    </row>
    <row r="456" spans="1:38" ht="12.75" customHeight="1">
      <c r="A456" s="15">
        <v>455</v>
      </c>
      <c r="B456" s="736" t="s">
        <v>1555</v>
      </c>
      <c r="C456" s="16" t="s">
        <v>1920</v>
      </c>
      <c r="D456" s="20" t="s">
        <v>3110</v>
      </c>
      <c r="E456" s="2" t="s">
        <v>3111</v>
      </c>
      <c r="F456" s="3" t="s">
        <v>3446</v>
      </c>
      <c r="G456" s="17">
        <v>27256456</v>
      </c>
      <c r="H456" s="2" t="s">
        <v>55</v>
      </c>
      <c r="I456" s="2" t="s">
        <v>1921</v>
      </c>
      <c r="J456" s="2"/>
      <c r="K456" s="18">
        <v>44559</v>
      </c>
      <c r="L456" s="18">
        <v>44562</v>
      </c>
      <c r="M456" s="18">
        <v>45036</v>
      </c>
      <c r="N456" s="1"/>
      <c r="O456" s="19">
        <v>29615.200000000001</v>
      </c>
      <c r="P456" s="18">
        <v>45036</v>
      </c>
      <c r="Q456" s="19"/>
      <c r="R456" s="772"/>
      <c r="S456" s="18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12.75" customHeight="1">
      <c r="A457" s="15">
        <v>456</v>
      </c>
      <c r="B457" s="738" t="s">
        <v>3086</v>
      </c>
      <c r="C457" s="16" t="s">
        <v>185</v>
      </c>
      <c r="D457" s="20" t="s">
        <v>3087</v>
      </c>
      <c r="E457" s="2" t="s">
        <v>4702</v>
      </c>
      <c r="F457" s="3" t="s">
        <v>3454</v>
      </c>
      <c r="G457" s="17">
        <v>27256391</v>
      </c>
      <c r="H457" s="2" t="s">
        <v>4697</v>
      </c>
      <c r="I457" s="2" t="s">
        <v>184</v>
      </c>
      <c r="K457" s="18">
        <v>43538</v>
      </c>
      <c r="L457" s="18">
        <v>43538</v>
      </c>
      <c r="M457" s="18">
        <v>2958465</v>
      </c>
      <c r="N457" s="1"/>
      <c r="O457" s="19"/>
      <c r="P457" s="18">
        <v>2958465</v>
      </c>
      <c r="Q457" s="19"/>
      <c r="R457" s="773"/>
      <c r="S457" s="18"/>
      <c r="T457" s="2"/>
      <c r="U457" s="2">
        <v>3</v>
      </c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12.75" customHeight="1">
      <c r="A458" s="15">
        <v>457</v>
      </c>
      <c r="B458" s="738" t="s">
        <v>3086</v>
      </c>
      <c r="C458" s="16" t="s">
        <v>1142</v>
      </c>
      <c r="D458" s="2" t="s">
        <v>3110</v>
      </c>
      <c r="E458" s="3" t="s">
        <v>3228</v>
      </c>
      <c r="F458" s="3" t="s">
        <v>3454</v>
      </c>
      <c r="G458" s="17">
        <v>27256391</v>
      </c>
      <c r="H458" s="2" t="s">
        <v>64</v>
      </c>
      <c r="I458" s="2" t="s">
        <v>1143</v>
      </c>
      <c r="J458" s="2" t="s">
        <v>1144</v>
      </c>
      <c r="K458" s="30">
        <v>40179</v>
      </c>
      <c r="L458" s="30">
        <v>40179</v>
      </c>
      <c r="M458" s="30">
        <v>2958465</v>
      </c>
      <c r="N458" s="35"/>
      <c r="O458" s="32">
        <v>0</v>
      </c>
      <c r="P458" s="30">
        <v>2958465</v>
      </c>
      <c r="Q458" s="32"/>
      <c r="R458" s="31"/>
      <c r="S458" s="37"/>
      <c r="T458" s="35"/>
      <c r="U458" s="35"/>
      <c r="V458" s="35"/>
      <c r="W458" s="35"/>
      <c r="X458" s="38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12.75" customHeight="1">
      <c r="A459" s="15">
        <v>458</v>
      </c>
      <c r="B459" s="738" t="s">
        <v>3086</v>
      </c>
      <c r="C459" s="16" t="s">
        <v>1206</v>
      </c>
      <c r="D459" s="2" t="s">
        <v>3110</v>
      </c>
      <c r="E459" s="3" t="s">
        <v>3141</v>
      </c>
      <c r="F459" s="3" t="s">
        <v>3454</v>
      </c>
      <c r="G459" s="17">
        <v>27256391</v>
      </c>
      <c r="H459" s="2" t="s">
        <v>147</v>
      </c>
      <c r="I459" s="2" t="s">
        <v>1207</v>
      </c>
      <c r="J459" s="2" t="s">
        <v>1208</v>
      </c>
      <c r="K459" s="30">
        <v>40652</v>
      </c>
      <c r="L459" s="30">
        <v>40652</v>
      </c>
      <c r="M459" s="30">
        <v>2958465</v>
      </c>
      <c r="N459" s="31">
        <v>3</v>
      </c>
      <c r="O459" s="32" t="s">
        <v>3455</v>
      </c>
      <c r="P459" s="30">
        <v>2958465</v>
      </c>
      <c r="Q459" s="32" t="s">
        <v>3456</v>
      </c>
      <c r="R459" s="31" t="s">
        <v>1209</v>
      </c>
      <c r="S459" s="30">
        <v>42934</v>
      </c>
      <c r="T459" s="35"/>
      <c r="U459" s="2">
        <v>3</v>
      </c>
      <c r="V459" s="3" t="s">
        <v>4625</v>
      </c>
      <c r="W459" s="3" t="s">
        <v>4625</v>
      </c>
      <c r="X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12.75" customHeight="1">
      <c r="A460" s="15">
        <v>459</v>
      </c>
      <c r="B460" s="738" t="s">
        <v>3086</v>
      </c>
      <c r="C460" s="16" t="s">
        <v>1258</v>
      </c>
      <c r="D460" s="2" t="s">
        <v>3110</v>
      </c>
      <c r="E460" s="3" t="s">
        <v>3141</v>
      </c>
      <c r="F460" s="3" t="s">
        <v>3454</v>
      </c>
      <c r="G460" s="17">
        <v>27256391</v>
      </c>
      <c r="H460" s="2" t="s">
        <v>1057</v>
      </c>
      <c r="I460" s="2" t="s">
        <v>1259</v>
      </c>
      <c r="J460" s="2" t="s">
        <v>1259</v>
      </c>
      <c r="K460" s="30">
        <v>41260</v>
      </c>
      <c r="L460" s="30">
        <v>41260</v>
      </c>
      <c r="M460" s="30">
        <v>2958465</v>
      </c>
      <c r="N460" s="31">
        <v>1</v>
      </c>
      <c r="O460" s="32">
        <v>0</v>
      </c>
      <c r="P460" s="30">
        <v>2958465</v>
      </c>
      <c r="Q460" s="32"/>
      <c r="R460" s="31"/>
      <c r="S460" s="37"/>
      <c r="T460" s="2"/>
      <c r="U460" s="2">
        <v>3</v>
      </c>
      <c r="V460" s="3" t="s">
        <v>4625</v>
      </c>
      <c r="W460" s="3" t="s">
        <v>4625</v>
      </c>
      <c r="X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12.75" customHeight="1">
      <c r="A461" s="15">
        <v>460</v>
      </c>
      <c r="B461" s="738" t="s">
        <v>3086</v>
      </c>
      <c r="C461" s="16" t="s">
        <v>123</v>
      </c>
      <c r="D461" s="20" t="s">
        <v>3087</v>
      </c>
      <c r="E461" s="3" t="s">
        <v>3142</v>
      </c>
      <c r="F461" s="3" t="s">
        <v>3454</v>
      </c>
      <c r="G461" s="17">
        <v>27256391</v>
      </c>
      <c r="H461" s="2" t="s">
        <v>118</v>
      </c>
      <c r="I461" s="2" t="s">
        <v>120</v>
      </c>
      <c r="K461" s="30">
        <v>43293</v>
      </c>
      <c r="L461" s="30">
        <v>43293</v>
      </c>
      <c r="M461" s="30">
        <v>2958465</v>
      </c>
      <c r="N461" s="35"/>
      <c r="O461" s="32">
        <v>0</v>
      </c>
      <c r="P461" s="30">
        <v>2958465</v>
      </c>
      <c r="Q461" s="40"/>
      <c r="R461" s="31"/>
      <c r="S461" s="37"/>
      <c r="T461" s="35"/>
      <c r="U461" s="35">
        <v>3</v>
      </c>
      <c r="V461" s="35"/>
      <c r="W461" s="35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12.75" customHeight="1">
      <c r="A462" s="15">
        <v>461</v>
      </c>
      <c r="B462" s="738" t="s">
        <v>1555</v>
      </c>
      <c r="C462" s="16" t="s">
        <v>131</v>
      </c>
      <c r="D462" s="15" t="s">
        <v>3094</v>
      </c>
      <c r="E462" s="3" t="s">
        <v>3095</v>
      </c>
      <c r="F462" s="3" t="s">
        <v>3454</v>
      </c>
      <c r="G462" s="17">
        <v>27256391</v>
      </c>
      <c r="H462" s="2" t="s">
        <v>100</v>
      </c>
      <c r="I462" s="2" t="s">
        <v>132</v>
      </c>
      <c r="J462" s="2" t="s">
        <v>133</v>
      </c>
      <c r="K462" s="30">
        <v>43326</v>
      </c>
      <c r="L462" s="30">
        <v>43326</v>
      </c>
      <c r="M462" s="30">
        <v>45443</v>
      </c>
      <c r="N462" s="35"/>
      <c r="O462" s="32">
        <v>500</v>
      </c>
      <c r="P462" s="30">
        <v>45443</v>
      </c>
      <c r="Q462" s="32">
        <v>500</v>
      </c>
      <c r="R462" s="31" t="s">
        <v>134</v>
      </c>
      <c r="S462" s="30">
        <v>43329</v>
      </c>
      <c r="T462" s="35"/>
      <c r="U462" s="107"/>
      <c r="V462" s="1729"/>
      <c r="W462" s="1729"/>
      <c r="X462" s="1728"/>
      <c r="Y462" s="2" t="s">
        <v>4691</v>
      </c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12.75" customHeight="1">
      <c r="A463" s="15">
        <v>462</v>
      </c>
      <c r="B463" s="738" t="s">
        <v>3086</v>
      </c>
      <c r="C463" s="16" t="s">
        <v>1552</v>
      </c>
      <c r="D463" s="2" t="s">
        <v>3110</v>
      </c>
      <c r="E463" s="3" t="s">
        <v>3123</v>
      </c>
      <c r="F463" s="3" t="s">
        <v>3454</v>
      </c>
      <c r="G463" s="17">
        <v>27256391</v>
      </c>
      <c r="H463" s="2" t="s">
        <v>250</v>
      </c>
      <c r="I463" s="2" t="s">
        <v>1553</v>
      </c>
      <c r="J463" s="2" t="s">
        <v>1554</v>
      </c>
      <c r="K463" s="30">
        <v>36433</v>
      </c>
      <c r="L463" s="30">
        <v>36433</v>
      </c>
      <c r="M463" s="30">
        <v>47391</v>
      </c>
      <c r="N463" s="35"/>
      <c r="O463" s="32">
        <v>0</v>
      </c>
      <c r="P463" s="30">
        <v>47391</v>
      </c>
      <c r="Q463" s="32">
        <v>0</v>
      </c>
      <c r="R463" s="31"/>
      <c r="S463" s="37"/>
      <c r="T463" s="35"/>
      <c r="U463" s="35"/>
      <c r="V463" s="35"/>
      <c r="W463" s="35"/>
      <c r="X463" s="38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12.75" customHeight="1">
      <c r="A464" s="15">
        <v>463</v>
      </c>
      <c r="B464" s="736" t="s">
        <v>1555</v>
      </c>
      <c r="C464" s="16" t="s">
        <v>1878</v>
      </c>
      <c r="D464" s="2" t="s">
        <v>3110</v>
      </c>
      <c r="E464" s="96" t="s">
        <v>5143</v>
      </c>
      <c r="F464" s="3" t="s">
        <v>3454</v>
      </c>
      <c r="G464" s="17">
        <v>27256391</v>
      </c>
      <c r="H464" s="2" t="s">
        <v>1729</v>
      </c>
      <c r="I464" s="2" t="s">
        <v>1879</v>
      </c>
      <c r="J464" s="2"/>
      <c r="K464" s="18">
        <v>44525</v>
      </c>
      <c r="L464" s="18">
        <v>44525</v>
      </c>
      <c r="M464" s="18">
        <v>44561</v>
      </c>
      <c r="N464" s="1"/>
      <c r="O464" s="19">
        <v>1</v>
      </c>
      <c r="P464" s="18">
        <v>44561</v>
      </c>
      <c r="Q464" s="19"/>
      <c r="R464" s="772"/>
      <c r="S464" s="18"/>
      <c r="T464" s="2"/>
      <c r="U464" s="2"/>
      <c r="V464" s="2" t="s">
        <v>4625</v>
      </c>
      <c r="W464" s="2" t="s">
        <v>4625</v>
      </c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12.75" customHeight="1">
      <c r="A465" s="15">
        <v>464</v>
      </c>
      <c r="B465" s="738" t="s">
        <v>3086</v>
      </c>
      <c r="C465" s="16" t="s">
        <v>991</v>
      </c>
      <c r="D465" s="2" t="s">
        <v>3110</v>
      </c>
      <c r="E465" s="3" t="s">
        <v>3141</v>
      </c>
      <c r="F465" s="3" t="s">
        <v>3457</v>
      </c>
      <c r="G465" s="17">
        <v>27253236</v>
      </c>
      <c r="H465" s="2" t="s">
        <v>147</v>
      </c>
      <c r="I465" s="2" t="s">
        <v>992</v>
      </c>
      <c r="J465" s="2" t="s">
        <v>147</v>
      </c>
      <c r="K465" s="30">
        <v>37734</v>
      </c>
      <c r="L465" s="30">
        <v>37734</v>
      </c>
      <c r="M465" s="30">
        <v>2958465</v>
      </c>
      <c r="N465" s="31">
        <v>1</v>
      </c>
      <c r="O465" s="32">
        <v>0</v>
      </c>
      <c r="P465" s="30">
        <v>2958465</v>
      </c>
      <c r="Q465" s="32">
        <v>0</v>
      </c>
      <c r="R465" s="31"/>
      <c r="S465" s="37"/>
      <c r="T465" s="35"/>
      <c r="U465" s="2">
        <v>3</v>
      </c>
      <c r="V465" s="3" t="s">
        <v>4625</v>
      </c>
      <c r="W465" s="3" t="s">
        <v>4625</v>
      </c>
      <c r="X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12.75" customHeight="1">
      <c r="A466" s="15">
        <v>465</v>
      </c>
      <c r="B466" s="738" t="s">
        <v>3086</v>
      </c>
      <c r="C466" s="16" t="s">
        <v>1117</v>
      </c>
      <c r="D466" s="2" t="s">
        <v>3110</v>
      </c>
      <c r="E466" s="3" t="s">
        <v>3141</v>
      </c>
      <c r="F466" s="3" t="s">
        <v>3457</v>
      </c>
      <c r="G466" s="17">
        <v>27253236</v>
      </c>
      <c r="H466" s="2" t="s">
        <v>1012</v>
      </c>
      <c r="I466" s="2" t="s">
        <v>1118</v>
      </c>
      <c r="J466" s="2" t="s">
        <v>1118</v>
      </c>
      <c r="K466" s="30">
        <v>39565</v>
      </c>
      <c r="L466" s="30">
        <v>39565</v>
      </c>
      <c r="M466" s="30">
        <v>2958465</v>
      </c>
      <c r="N466" s="35"/>
      <c r="O466" s="32">
        <v>0</v>
      </c>
      <c r="P466" s="30">
        <v>2958465</v>
      </c>
      <c r="Q466" s="32">
        <v>0</v>
      </c>
      <c r="R466" s="31"/>
      <c r="S466" s="37"/>
      <c r="T466" s="35"/>
      <c r="U466" s="2">
        <v>3</v>
      </c>
      <c r="V466" s="3" t="s">
        <v>4625</v>
      </c>
      <c r="W466" s="3" t="s">
        <v>4625</v>
      </c>
      <c r="X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12.75" customHeight="1">
      <c r="A467" s="15">
        <v>466</v>
      </c>
      <c r="B467" s="738" t="s">
        <v>3086</v>
      </c>
      <c r="C467" s="16" t="s">
        <v>1190</v>
      </c>
      <c r="D467" s="2" t="s">
        <v>3110</v>
      </c>
      <c r="E467" s="3" t="s">
        <v>3228</v>
      </c>
      <c r="F467" s="3" t="s">
        <v>3457</v>
      </c>
      <c r="G467" s="17">
        <v>27253236</v>
      </c>
      <c r="H467" s="2" t="s">
        <v>64</v>
      </c>
      <c r="I467" s="2" t="s">
        <v>1191</v>
      </c>
      <c r="J467" s="2" t="s">
        <v>1192</v>
      </c>
      <c r="K467" s="30">
        <v>40529</v>
      </c>
      <c r="L467" s="30">
        <v>40529</v>
      </c>
      <c r="M467" s="30">
        <v>2958465</v>
      </c>
      <c r="N467" s="35"/>
      <c r="O467" s="32">
        <v>0</v>
      </c>
      <c r="P467" s="30">
        <v>2958465</v>
      </c>
      <c r="Q467" s="32">
        <v>0</v>
      </c>
      <c r="R467" s="31"/>
      <c r="S467" s="37"/>
      <c r="T467" s="35"/>
      <c r="U467" s="35"/>
      <c r="V467" s="35"/>
      <c r="W467" s="35"/>
      <c r="X467" s="38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12.75" customHeight="1">
      <c r="A468" s="15">
        <v>467</v>
      </c>
      <c r="B468" s="736" t="s">
        <v>3086</v>
      </c>
      <c r="C468" s="16" t="s">
        <v>752</v>
      </c>
      <c r="D468" s="2" t="s">
        <v>3110</v>
      </c>
      <c r="E468" s="3" t="s">
        <v>3123</v>
      </c>
      <c r="F468" s="3" t="s">
        <v>3457</v>
      </c>
      <c r="G468" s="17">
        <v>27253236</v>
      </c>
      <c r="H468" s="2" t="s">
        <v>606</v>
      </c>
      <c r="I468" s="2" t="s">
        <v>606</v>
      </c>
      <c r="J468" s="2"/>
      <c r="K468" s="30">
        <v>45131</v>
      </c>
      <c r="L468" s="30">
        <v>45131</v>
      </c>
      <c r="M468" s="30">
        <v>46022</v>
      </c>
      <c r="N468" s="35"/>
      <c r="O468" s="40"/>
      <c r="P468" s="30">
        <v>46022</v>
      </c>
      <c r="Q468" s="40"/>
      <c r="R468" s="31"/>
      <c r="S468" s="37"/>
      <c r="T468" s="35"/>
      <c r="U468" s="35"/>
      <c r="V468" s="35"/>
      <c r="W468" s="35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12.75" customHeight="1">
      <c r="A469" s="15">
        <v>468</v>
      </c>
      <c r="B469" s="738" t="s">
        <v>3086</v>
      </c>
      <c r="C469" s="16" t="s">
        <v>206</v>
      </c>
      <c r="D469" s="2" t="s">
        <v>3110</v>
      </c>
      <c r="E469" s="3" t="s">
        <v>3132</v>
      </c>
      <c r="F469" s="3" t="s">
        <v>3457</v>
      </c>
      <c r="G469" s="17">
        <v>27253236</v>
      </c>
      <c r="H469" s="2" t="s">
        <v>48</v>
      </c>
      <c r="I469" s="2" t="s">
        <v>207</v>
      </c>
      <c r="J469" s="2" t="s">
        <v>208</v>
      </c>
      <c r="K469" s="30">
        <v>43776</v>
      </c>
      <c r="L469" s="30">
        <v>43777</v>
      </c>
      <c r="M469" s="30">
        <v>45968</v>
      </c>
      <c r="N469" s="31">
        <v>1</v>
      </c>
      <c r="O469" s="32">
        <v>1</v>
      </c>
      <c r="P469" s="30">
        <v>45968</v>
      </c>
      <c r="Q469" s="40">
        <v>1</v>
      </c>
      <c r="R469" s="31" t="s">
        <v>209</v>
      </c>
      <c r="S469" s="30">
        <v>43780</v>
      </c>
      <c r="T469" s="35"/>
      <c r="U469" s="35"/>
      <c r="V469" s="35"/>
      <c r="W469" s="35" t="s">
        <v>4625</v>
      </c>
      <c r="X469" s="26"/>
      <c r="AB469" s="1"/>
      <c r="AE469" s="1"/>
    </row>
    <row r="470" spans="1:38" ht="12.75" customHeight="1">
      <c r="A470" s="15">
        <v>469</v>
      </c>
      <c r="B470" s="736" t="s">
        <v>1555</v>
      </c>
      <c r="C470" s="16" t="s">
        <v>2703</v>
      </c>
      <c r="D470" s="20" t="s">
        <v>3087</v>
      </c>
      <c r="E470" s="2" t="s">
        <v>3097</v>
      </c>
      <c r="F470" s="3" t="s">
        <v>3457</v>
      </c>
      <c r="G470" s="17">
        <v>27253236</v>
      </c>
      <c r="H470" s="96" t="s">
        <v>830</v>
      </c>
      <c r="I470" s="2" t="s">
        <v>2704</v>
      </c>
      <c r="J470" s="2"/>
      <c r="K470" s="18">
        <v>45020</v>
      </c>
      <c r="L470" s="18">
        <v>45017</v>
      </c>
      <c r="M470" s="18">
        <v>45046</v>
      </c>
      <c r="N470" s="1"/>
      <c r="O470" s="19">
        <v>4500</v>
      </c>
      <c r="P470" s="18">
        <v>45046</v>
      </c>
      <c r="Q470" s="19"/>
      <c r="R470" s="772"/>
      <c r="S470" s="18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12.75" customHeight="1">
      <c r="A471" s="15">
        <v>470</v>
      </c>
      <c r="B471" s="736" t="s">
        <v>1555</v>
      </c>
      <c r="C471" s="16" t="s">
        <v>2711</v>
      </c>
      <c r="D471" s="20" t="s">
        <v>3110</v>
      </c>
      <c r="E471" s="2" t="s">
        <v>3092</v>
      </c>
      <c r="F471" s="3" t="s">
        <v>3457</v>
      </c>
      <c r="G471" s="17">
        <v>27253236</v>
      </c>
      <c r="H471" s="2" t="s">
        <v>684</v>
      </c>
      <c r="I471" s="2" t="s">
        <v>2712</v>
      </c>
      <c r="J471" s="2"/>
      <c r="K471" s="18">
        <v>45035</v>
      </c>
      <c r="L471" s="18">
        <v>45035</v>
      </c>
      <c r="M471" s="18">
        <v>45096</v>
      </c>
      <c r="N471" s="1"/>
      <c r="O471" s="19">
        <v>42350</v>
      </c>
      <c r="P471" s="18">
        <v>45096</v>
      </c>
      <c r="Q471" s="19"/>
      <c r="R471" s="772"/>
      <c r="S471" s="18"/>
      <c r="T471" s="2"/>
      <c r="U471" s="2"/>
      <c r="V471" s="3" t="s">
        <v>3091</v>
      </c>
      <c r="W471" s="3" t="s">
        <v>3091</v>
      </c>
      <c r="X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12.75" customHeight="1">
      <c r="A472" s="15">
        <v>471</v>
      </c>
      <c r="B472" s="736" t="s">
        <v>1555</v>
      </c>
      <c r="C472" s="16" t="s">
        <v>2737</v>
      </c>
      <c r="D472" s="20" t="s">
        <v>3087</v>
      </c>
      <c r="E472" s="2" t="s">
        <v>3097</v>
      </c>
      <c r="F472" s="3" t="s">
        <v>3457</v>
      </c>
      <c r="G472" s="17">
        <v>27253236</v>
      </c>
      <c r="H472" s="96" t="s">
        <v>830</v>
      </c>
      <c r="I472" s="2" t="s">
        <v>2738</v>
      </c>
      <c r="J472" s="2"/>
      <c r="K472" s="18">
        <v>45042</v>
      </c>
      <c r="L472" s="18">
        <v>45042</v>
      </c>
      <c r="M472" s="18">
        <v>45107</v>
      </c>
      <c r="N472" s="1"/>
      <c r="O472" s="19">
        <v>4750</v>
      </c>
      <c r="P472" s="18">
        <v>45107</v>
      </c>
      <c r="Q472" s="19"/>
      <c r="R472" s="772"/>
      <c r="S472" s="18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12.75" customHeight="1">
      <c r="A473" s="15">
        <v>472</v>
      </c>
      <c r="B473" s="736" t="s">
        <v>1555</v>
      </c>
      <c r="C473" s="16" t="s">
        <v>2871</v>
      </c>
      <c r="D473" s="20" t="s">
        <v>3110</v>
      </c>
      <c r="E473" s="2" t="s">
        <v>3092</v>
      </c>
      <c r="F473" s="3" t="s">
        <v>3457</v>
      </c>
      <c r="G473" s="17">
        <v>27253236</v>
      </c>
      <c r="H473" s="2" t="s">
        <v>592</v>
      </c>
      <c r="I473" s="2" t="s">
        <v>2872</v>
      </c>
      <c r="J473" s="2"/>
      <c r="K473" s="18">
        <v>45148</v>
      </c>
      <c r="L473" s="18">
        <v>45148</v>
      </c>
      <c r="M473" s="18">
        <v>45156</v>
      </c>
      <c r="N473" s="1"/>
      <c r="O473" s="19">
        <v>65000</v>
      </c>
      <c r="P473" s="18">
        <v>45156</v>
      </c>
      <c r="Q473" s="19"/>
      <c r="R473" s="772"/>
      <c r="S473" s="18"/>
      <c r="T473" s="2"/>
      <c r="U473" s="2"/>
      <c r="V473" s="3" t="s">
        <v>3091</v>
      </c>
      <c r="W473" s="3" t="s">
        <v>3091</v>
      </c>
      <c r="X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12.75" customHeight="1">
      <c r="A474" s="15">
        <v>473</v>
      </c>
      <c r="B474" s="736" t="s">
        <v>1555</v>
      </c>
      <c r="C474" s="16" t="s">
        <v>2380</v>
      </c>
      <c r="D474" s="20" t="s">
        <v>3110</v>
      </c>
      <c r="E474" s="2" t="s">
        <v>3092</v>
      </c>
      <c r="F474" s="3" t="s">
        <v>3457</v>
      </c>
      <c r="G474" s="17">
        <v>27253236</v>
      </c>
      <c r="H474" s="2" t="s">
        <v>592</v>
      </c>
      <c r="I474" s="2" t="s">
        <v>2381</v>
      </c>
      <c r="J474" s="2"/>
      <c r="K474" s="18">
        <v>44855</v>
      </c>
      <c r="L474" s="18">
        <v>44855</v>
      </c>
      <c r="M474" s="18">
        <v>44926</v>
      </c>
      <c r="N474" s="1"/>
      <c r="O474" s="19"/>
      <c r="P474" s="18">
        <v>44926</v>
      </c>
      <c r="Q474" s="19"/>
      <c r="R474" s="772"/>
      <c r="S474" s="18"/>
      <c r="T474" s="2"/>
      <c r="U474" s="2"/>
      <c r="V474" s="3" t="s">
        <v>3091</v>
      </c>
      <c r="W474" s="3" t="s">
        <v>3091</v>
      </c>
      <c r="X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12.75" customHeight="1">
      <c r="A475" s="15">
        <v>474</v>
      </c>
      <c r="B475" s="736" t="s">
        <v>3086</v>
      </c>
      <c r="C475" s="16" t="s">
        <v>503</v>
      </c>
      <c r="D475" s="21" t="s">
        <v>3116</v>
      </c>
      <c r="E475" s="2" t="s">
        <v>3166</v>
      </c>
      <c r="F475" s="2" t="s">
        <v>3458</v>
      </c>
      <c r="G475" s="17">
        <v>27237800</v>
      </c>
      <c r="H475" s="2" t="s">
        <v>502</v>
      </c>
      <c r="I475" s="2" t="s">
        <v>504</v>
      </c>
      <c r="J475" s="2"/>
      <c r="K475" s="30">
        <v>44803</v>
      </c>
      <c r="L475" s="30">
        <v>44803</v>
      </c>
      <c r="M475" s="30">
        <v>2958465</v>
      </c>
      <c r="N475" s="31">
        <v>1</v>
      </c>
      <c r="O475" s="32" t="s">
        <v>3459</v>
      </c>
      <c r="P475" s="30">
        <v>2958465</v>
      </c>
      <c r="Q475" s="40">
        <v>48000</v>
      </c>
      <c r="R475" s="31" t="s">
        <v>505</v>
      </c>
      <c r="S475" s="30">
        <v>44810</v>
      </c>
      <c r="T475" s="35"/>
      <c r="U475" s="3">
        <v>3</v>
      </c>
      <c r="V475" s="35" t="s">
        <v>4625</v>
      </c>
      <c r="W475" s="35" t="s">
        <v>4625</v>
      </c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12.75" customHeight="1">
      <c r="A476" s="15">
        <v>475</v>
      </c>
      <c r="B476" s="736" t="s">
        <v>1555</v>
      </c>
      <c r="C476" s="16" t="s">
        <v>769</v>
      </c>
      <c r="D476" s="20" t="s">
        <v>3087</v>
      </c>
      <c r="E476" s="2" t="s">
        <v>3097</v>
      </c>
      <c r="F476" s="2" t="s">
        <v>3460</v>
      </c>
      <c r="G476" s="17">
        <v>27235530</v>
      </c>
      <c r="H476" s="96" t="s">
        <v>830</v>
      </c>
      <c r="I476" s="2" t="s">
        <v>770</v>
      </c>
      <c r="J476" s="2"/>
      <c r="K476" s="30">
        <v>45169</v>
      </c>
      <c r="L476" s="30">
        <v>45200</v>
      </c>
      <c r="M476" s="30">
        <v>45565</v>
      </c>
      <c r="N476" s="35"/>
      <c r="O476" s="32" t="s">
        <v>3461</v>
      </c>
      <c r="P476" s="30">
        <v>45565</v>
      </c>
      <c r="Q476" s="40">
        <v>100000</v>
      </c>
      <c r="R476" s="31" t="s">
        <v>771</v>
      </c>
      <c r="S476" s="30">
        <v>45181</v>
      </c>
      <c r="T476" s="35"/>
      <c r="U476" s="35"/>
      <c r="V476" s="36" t="s">
        <v>4625</v>
      </c>
      <c r="W476" s="36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12.75" customHeight="1">
      <c r="A477" s="15">
        <v>476</v>
      </c>
      <c r="B477" s="736" t="s">
        <v>1555</v>
      </c>
      <c r="C477" s="16" t="s">
        <v>872</v>
      </c>
      <c r="D477" s="20" t="s">
        <v>3087</v>
      </c>
      <c r="E477" s="2" t="s">
        <v>3162</v>
      </c>
      <c r="F477" s="2" t="s">
        <v>3460</v>
      </c>
      <c r="G477" s="17">
        <v>27235530</v>
      </c>
      <c r="H477" s="96" t="s">
        <v>830</v>
      </c>
      <c r="I477" s="2" t="s">
        <v>873</v>
      </c>
      <c r="J477" s="2"/>
      <c r="K477" s="30">
        <v>45257</v>
      </c>
      <c r="L477" s="30">
        <v>45200</v>
      </c>
      <c r="M477" s="30">
        <v>45473</v>
      </c>
      <c r="N477" s="35"/>
      <c r="O477" s="32" t="s">
        <v>3462</v>
      </c>
      <c r="P477" s="30">
        <v>45473</v>
      </c>
      <c r="Q477" s="40"/>
      <c r="R477" s="31"/>
      <c r="S477" s="37"/>
      <c r="T477" s="35"/>
      <c r="U477" s="35"/>
      <c r="V477" s="36" t="s">
        <v>3091</v>
      </c>
      <c r="W477" s="36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12.75" customHeight="1">
      <c r="A478" s="15">
        <v>477</v>
      </c>
      <c r="B478" s="736" t="s">
        <v>1555</v>
      </c>
      <c r="C478" s="16" t="s">
        <v>1824</v>
      </c>
      <c r="D478" s="20" t="s">
        <v>3087</v>
      </c>
      <c r="E478" s="2" t="s">
        <v>3097</v>
      </c>
      <c r="F478" s="2" t="s">
        <v>3460</v>
      </c>
      <c r="G478" s="17">
        <v>27235530</v>
      </c>
      <c r="H478" s="96" t="s">
        <v>830</v>
      </c>
      <c r="I478" s="2" t="s">
        <v>1825</v>
      </c>
      <c r="J478" s="2"/>
      <c r="K478" s="18">
        <v>44483</v>
      </c>
      <c r="L478" s="18">
        <v>44483</v>
      </c>
      <c r="M478" s="18">
        <v>44834</v>
      </c>
      <c r="N478" s="1"/>
      <c r="O478" s="19"/>
      <c r="P478" s="18">
        <v>44834</v>
      </c>
      <c r="Q478" s="19"/>
      <c r="R478" s="772"/>
      <c r="S478" s="18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12.75" customHeight="1">
      <c r="A479" s="15">
        <v>478</v>
      </c>
      <c r="B479" s="736" t="s">
        <v>1555</v>
      </c>
      <c r="C479" s="16" t="s">
        <v>2396</v>
      </c>
      <c r="D479" s="20" t="s">
        <v>3087</v>
      </c>
      <c r="E479" s="2" t="s">
        <v>3097</v>
      </c>
      <c r="F479" s="2" t="s">
        <v>3460</v>
      </c>
      <c r="G479" s="17">
        <v>27235530</v>
      </c>
      <c r="H479" s="2" t="s">
        <v>2395</v>
      </c>
      <c r="I479" s="2" t="s">
        <v>2397</v>
      </c>
      <c r="J479" s="2"/>
      <c r="K479" s="18">
        <v>44834</v>
      </c>
      <c r="L479" s="18">
        <v>44835</v>
      </c>
      <c r="M479" s="18">
        <v>45199</v>
      </c>
      <c r="N479" s="1"/>
      <c r="O479" s="19">
        <v>78750</v>
      </c>
      <c r="P479" s="18">
        <v>45199</v>
      </c>
      <c r="Q479" s="19"/>
      <c r="R479" s="772"/>
      <c r="S479" s="18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12.75" customHeight="1">
      <c r="A480" s="15">
        <v>479</v>
      </c>
      <c r="B480" s="736" t="s">
        <v>3086</v>
      </c>
      <c r="C480" s="16" t="s">
        <v>519</v>
      </c>
      <c r="D480" s="2" t="s">
        <v>3110</v>
      </c>
      <c r="E480" s="2" t="s">
        <v>3141</v>
      </c>
      <c r="F480" s="3" t="s">
        <v>3463</v>
      </c>
      <c r="G480" s="17">
        <v>27232433</v>
      </c>
      <c r="H480" s="2" t="s">
        <v>518</v>
      </c>
      <c r="I480" s="2" t="s">
        <v>520</v>
      </c>
      <c r="J480" s="2"/>
      <c r="K480" s="30">
        <v>44809</v>
      </c>
      <c r="L480" s="30">
        <v>44809</v>
      </c>
      <c r="M480" s="30">
        <v>2958465</v>
      </c>
      <c r="N480" s="31">
        <v>1</v>
      </c>
      <c r="O480" s="32" t="s">
        <v>3464</v>
      </c>
      <c r="P480" s="30">
        <v>2958465</v>
      </c>
      <c r="Q480" s="40"/>
      <c r="R480" s="31"/>
      <c r="S480" s="37"/>
      <c r="U480" s="2">
        <v>3</v>
      </c>
      <c r="V480" s="3" t="s">
        <v>4625</v>
      </c>
      <c r="W480" s="3" t="s">
        <v>4625</v>
      </c>
    </row>
    <row r="481" spans="1:38" ht="12.75" customHeight="1">
      <c r="A481" s="15">
        <v>480</v>
      </c>
      <c r="B481" s="736" t="s">
        <v>3086</v>
      </c>
      <c r="C481" s="16" t="s">
        <v>522</v>
      </c>
      <c r="D481" s="2" t="s">
        <v>3110</v>
      </c>
      <c r="E481" s="2" t="s">
        <v>3141</v>
      </c>
      <c r="F481" s="3" t="s">
        <v>3463</v>
      </c>
      <c r="G481" s="17">
        <v>27232433</v>
      </c>
      <c r="H481" s="2" t="s">
        <v>521</v>
      </c>
      <c r="I481" s="2" t="s">
        <v>523</v>
      </c>
      <c r="J481" s="2"/>
      <c r="K481" s="30">
        <v>44809</v>
      </c>
      <c r="L481" s="30">
        <v>44809</v>
      </c>
      <c r="M481" s="30">
        <v>2958465</v>
      </c>
      <c r="N481" s="31">
        <v>4</v>
      </c>
      <c r="O481" s="32" t="s">
        <v>3449</v>
      </c>
      <c r="P481" s="30">
        <v>2958465</v>
      </c>
      <c r="Q481" s="40"/>
      <c r="R481" s="31"/>
      <c r="S481" s="37"/>
      <c r="T481" s="35"/>
      <c r="U481" s="2">
        <v>3</v>
      </c>
      <c r="V481" s="3" t="s">
        <v>4625</v>
      </c>
      <c r="W481" s="3" t="s">
        <v>4625</v>
      </c>
    </row>
    <row r="482" spans="1:38" ht="12.75" customHeight="1">
      <c r="A482" s="15">
        <v>481</v>
      </c>
      <c r="B482" s="736" t="s">
        <v>1555</v>
      </c>
      <c r="C482" s="16" t="s">
        <v>1934</v>
      </c>
      <c r="D482" s="20" t="s">
        <v>3110</v>
      </c>
      <c r="E482" s="2" t="s">
        <v>3312</v>
      </c>
      <c r="F482" s="2" t="s">
        <v>3465</v>
      </c>
      <c r="G482" s="17">
        <v>27212777</v>
      </c>
      <c r="H482" s="2" t="s">
        <v>482</v>
      </c>
      <c r="I482" s="2" t="s">
        <v>1935</v>
      </c>
      <c r="J482" s="2"/>
      <c r="K482" s="18">
        <v>44572</v>
      </c>
      <c r="L482" s="18">
        <v>44593</v>
      </c>
      <c r="M482" s="18">
        <v>44926</v>
      </c>
      <c r="N482" s="1"/>
      <c r="O482" s="19"/>
      <c r="P482" s="18">
        <v>44926</v>
      </c>
      <c r="Q482" s="19"/>
      <c r="R482" s="772"/>
      <c r="S482" s="18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12.75" customHeight="1">
      <c r="A483" s="15">
        <v>482</v>
      </c>
      <c r="B483" s="736" t="s">
        <v>1555</v>
      </c>
      <c r="C483" s="16" t="s">
        <v>2142</v>
      </c>
      <c r="D483" s="20" t="s">
        <v>3087</v>
      </c>
      <c r="E483" s="2" t="s">
        <v>3097</v>
      </c>
      <c r="F483" s="2" t="s">
        <v>3466</v>
      </c>
      <c r="G483" s="17">
        <v>27194051</v>
      </c>
      <c r="H483" s="96" t="s">
        <v>830</v>
      </c>
      <c r="I483" s="2" t="s">
        <v>2143</v>
      </c>
      <c r="J483" s="2"/>
      <c r="K483" s="18">
        <v>44704</v>
      </c>
      <c r="L483" s="18">
        <v>44704</v>
      </c>
      <c r="M483" s="18">
        <v>44865</v>
      </c>
      <c r="N483" s="1"/>
      <c r="O483" s="19">
        <v>2450</v>
      </c>
      <c r="P483" s="18">
        <v>44865</v>
      </c>
      <c r="Q483" s="19"/>
      <c r="R483" s="772"/>
      <c r="S483" s="18"/>
    </row>
    <row r="484" spans="1:38" ht="12.75" customHeight="1">
      <c r="A484" s="15">
        <v>483</v>
      </c>
      <c r="B484" s="736" t="s">
        <v>3086</v>
      </c>
      <c r="C484" s="16" t="s">
        <v>913</v>
      </c>
      <c r="D484" s="15" t="s">
        <v>3168</v>
      </c>
      <c r="E484" s="2" t="s">
        <v>3202</v>
      </c>
      <c r="F484" s="2" t="s">
        <v>3467</v>
      </c>
      <c r="G484" s="17">
        <v>27190935</v>
      </c>
      <c r="H484" s="2" t="s">
        <v>912</v>
      </c>
      <c r="I484" s="2" t="s">
        <v>914</v>
      </c>
      <c r="J484" s="2"/>
      <c r="K484" s="30">
        <v>45309</v>
      </c>
      <c r="L484" s="30">
        <v>45309</v>
      </c>
      <c r="M484" s="30">
        <v>46039</v>
      </c>
      <c r="N484" s="31">
        <v>6</v>
      </c>
      <c r="O484" s="32" t="s">
        <v>3468</v>
      </c>
      <c r="P484" s="30">
        <v>46039</v>
      </c>
      <c r="Q484" s="40">
        <v>786500</v>
      </c>
      <c r="R484" s="775" t="s">
        <v>915</v>
      </c>
      <c r="S484" s="34">
        <v>45309</v>
      </c>
      <c r="T484" s="35"/>
      <c r="U484" s="35"/>
      <c r="V484" s="35"/>
      <c r="W484" s="35"/>
      <c r="X484" s="2" t="s">
        <v>3368</v>
      </c>
      <c r="Y484" s="2" t="s">
        <v>5064</v>
      </c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12.75" customHeight="1">
      <c r="A485" s="15">
        <v>484</v>
      </c>
      <c r="B485" s="736" t="s">
        <v>1555</v>
      </c>
      <c r="C485" s="16" t="s">
        <v>2241</v>
      </c>
      <c r="D485" s="15" t="s">
        <v>3110</v>
      </c>
      <c r="E485" s="2" t="s">
        <v>3197</v>
      </c>
      <c r="F485" s="2" t="s">
        <v>3469</v>
      </c>
      <c r="G485" s="17">
        <v>27183408</v>
      </c>
      <c r="H485" s="2" t="s">
        <v>2240</v>
      </c>
      <c r="I485" s="2" t="s">
        <v>2242</v>
      </c>
      <c r="J485" s="2"/>
      <c r="K485" s="18">
        <v>44781</v>
      </c>
      <c r="L485" s="18">
        <v>44781</v>
      </c>
      <c r="M485" s="18">
        <v>44903</v>
      </c>
      <c r="N485" s="1"/>
      <c r="O485" s="19">
        <v>951000</v>
      </c>
      <c r="P485" s="18">
        <v>44903</v>
      </c>
      <c r="Q485" s="19"/>
      <c r="R485" s="772"/>
      <c r="S485" s="18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12.75" customHeight="1">
      <c r="A486" s="15">
        <v>485</v>
      </c>
      <c r="B486" s="736" t="s">
        <v>3086</v>
      </c>
      <c r="C486" s="16" t="s">
        <v>324</v>
      </c>
      <c r="D486" s="2" t="s">
        <v>3110</v>
      </c>
      <c r="E486" s="2" t="s">
        <v>3123</v>
      </c>
      <c r="F486" s="2" t="s">
        <v>3470</v>
      </c>
      <c r="G486" s="17">
        <v>27174824</v>
      </c>
      <c r="H486" s="2" t="s">
        <v>323</v>
      </c>
      <c r="I486" s="2" t="s">
        <v>325</v>
      </c>
      <c r="J486" s="2"/>
      <c r="K486" s="30">
        <v>44322</v>
      </c>
      <c r="L486" s="30">
        <v>44322</v>
      </c>
      <c r="M486" s="30">
        <v>2958465</v>
      </c>
      <c r="N486" s="31">
        <v>4</v>
      </c>
      <c r="O486" s="32" t="s">
        <v>3471</v>
      </c>
      <c r="P486" s="30">
        <v>2958465</v>
      </c>
      <c r="Q486" s="40">
        <v>41000</v>
      </c>
      <c r="R486" s="775" t="s">
        <v>326</v>
      </c>
      <c r="S486" s="34">
        <v>44323</v>
      </c>
      <c r="T486" s="35"/>
      <c r="U486" s="35"/>
      <c r="V486" s="35"/>
      <c r="W486" s="35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12.75" customHeight="1">
      <c r="A487" s="15">
        <v>486</v>
      </c>
      <c r="B487" s="736" t="s">
        <v>1555</v>
      </c>
      <c r="C487" s="16" t="s">
        <v>455</v>
      </c>
      <c r="D487" s="20" t="s">
        <v>3110</v>
      </c>
      <c r="E487" s="2" t="s">
        <v>3228</v>
      </c>
      <c r="F487" s="2" t="s">
        <v>3472</v>
      </c>
      <c r="G487" s="17">
        <v>27167127</v>
      </c>
      <c r="H487" s="2" t="s">
        <v>158</v>
      </c>
      <c r="I487" s="2" t="s">
        <v>456</v>
      </c>
      <c r="J487" s="2"/>
      <c r="K487" s="30">
        <v>44729</v>
      </c>
      <c r="L487" s="30">
        <v>44743</v>
      </c>
      <c r="M487" s="30">
        <v>45473</v>
      </c>
      <c r="N487" s="35"/>
      <c r="O487" s="32" t="s">
        <v>3473</v>
      </c>
      <c r="P487" s="30">
        <v>45473</v>
      </c>
      <c r="Q487" s="40">
        <v>60000</v>
      </c>
      <c r="R487" s="775" t="s">
        <v>457</v>
      </c>
      <c r="S487" s="34">
        <v>44729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12.75" customHeight="1">
      <c r="A488" s="15">
        <v>487</v>
      </c>
      <c r="B488" s="738" t="s">
        <v>3086</v>
      </c>
      <c r="C488" s="16" t="s">
        <v>1395</v>
      </c>
      <c r="D488" s="2" t="s">
        <v>3110</v>
      </c>
      <c r="E488" s="3" t="s">
        <v>3228</v>
      </c>
      <c r="F488" s="3" t="s">
        <v>3474</v>
      </c>
      <c r="G488" s="17">
        <v>27161838</v>
      </c>
      <c r="H488" s="2" t="s">
        <v>64</v>
      </c>
      <c r="I488" s="2" t="s">
        <v>1396</v>
      </c>
      <c r="J488" s="2" t="s">
        <v>1026</v>
      </c>
      <c r="K488" s="30">
        <v>42095</v>
      </c>
      <c r="L488" s="30">
        <v>42095</v>
      </c>
      <c r="M488" s="55" t="s">
        <v>3414</v>
      </c>
      <c r="N488" s="35"/>
      <c r="O488" s="32">
        <v>290</v>
      </c>
      <c r="P488" s="55" t="s">
        <v>3414</v>
      </c>
      <c r="Q488" s="32"/>
      <c r="R488" s="31"/>
      <c r="S488" s="37"/>
      <c r="T488" s="35"/>
      <c r="U488" s="35"/>
      <c r="V488" s="35"/>
      <c r="W488" s="35"/>
      <c r="X488" s="57" t="s">
        <v>3475</v>
      </c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12.75" customHeight="1">
      <c r="A489" s="15">
        <v>488</v>
      </c>
      <c r="B489" s="738" t="s">
        <v>3086</v>
      </c>
      <c r="C489" s="16" t="s">
        <v>1178</v>
      </c>
      <c r="D489" s="2" t="s">
        <v>3110</v>
      </c>
      <c r="E489" s="3" t="s">
        <v>3273</v>
      </c>
      <c r="F489" s="3" t="s">
        <v>3476</v>
      </c>
      <c r="G489" s="17">
        <v>27127010</v>
      </c>
      <c r="H489" s="2" t="s">
        <v>271</v>
      </c>
      <c r="I489" s="2" t="s">
        <v>1179</v>
      </c>
      <c r="J489" s="2" t="s">
        <v>1180</v>
      </c>
      <c r="K489" s="30">
        <v>40399</v>
      </c>
      <c r="L489" s="30">
        <v>40413</v>
      </c>
      <c r="M489" s="30">
        <v>46256</v>
      </c>
      <c r="N489" s="35"/>
      <c r="O489" s="32">
        <v>0</v>
      </c>
      <c r="P489" s="30">
        <v>46256</v>
      </c>
      <c r="Q489" s="32">
        <v>0</v>
      </c>
      <c r="R489" s="31" t="s">
        <v>1181</v>
      </c>
      <c r="S489" s="30">
        <v>42877</v>
      </c>
      <c r="T489" s="35"/>
      <c r="U489" s="35"/>
      <c r="V489" s="35"/>
      <c r="W489" s="35"/>
      <c r="X489" s="26" t="s">
        <v>3477</v>
      </c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12.75" customHeight="1">
      <c r="A490" s="15">
        <v>489</v>
      </c>
      <c r="B490" s="738" t="s">
        <v>3086</v>
      </c>
      <c r="C490" s="16" t="s">
        <v>1182</v>
      </c>
      <c r="D490" s="2" t="s">
        <v>3110</v>
      </c>
      <c r="E490" s="3" t="s">
        <v>3273</v>
      </c>
      <c r="F490" s="3" t="s">
        <v>3476</v>
      </c>
      <c r="G490" s="17">
        <v>27127010</v>
      </c>
      <c r="H490" s="2" t="s">
        <v>271</v>
      </c>
      <c r="I490" s="2" t="s">
        <v>1183</v>
      </c>
      <c r="J490" s="2" t="s">
        <v>1184</v>
      </c>
      <c r="K490" s="30">
        <v>40399</v>
      </c>
      <c r="L490" s="30">
        <v>40413</v>
      </c>
      <c r="M490" s="30">
        <v>46256</v>
      </c>
      <c r="N490" s="35"/>
      <c r="O490" s="32">
        <v>0</v>
      </c>
      <c r="P490" s="30">
        <v>46256</v>
      </c>
      <c r="Q490" s="32">
        <v>0</v>
      </c>
      <c r="R490" s="31" t="s">
        <v>1185</v>
      </c>
      <c r="S490" s="30">
        <v>42877</v>
      </c>
      <c r="T490" s="35"/>
      <c r="U490" s="35"/>
      <c r="V490" s="35"/>
      <c r="W490" s="35"/>
      <c r="X490" s="26" t="s">
        <v>3477</v>
      </c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12.75" customHeight="1">
      <c r="A491" s="15">
        <v>490</v>
      </c>
      <c r="B491" s="736" t="s">
        <v>3086</v>
      </c>
      <c r="C491" s="16" t="s">
        <v>663</v>
      </c>
      <c r="D491" s="20" t="s">
        <v>3087</v>
      </c>
      <c r="E491" s="2" t="s">
        <v>3202</v>
      </c>
      <c r="F491" s="3" t="s">
        <v>3478</v>
      </c>
      <c r="G491" s="17">
        <v>27094987</v>
      </c>
      <c r="H491" s="2" t="s">
        <v>271</v>
      </c>
      <c r="I491" s="2" t="s">
        <v>664</v>
      </c>
      <c r="J491" s="2"/>
      <c r="K491" s="30">
        <v>44995</v>
      </c>
      <c r="L491" s="30">
        <v>44995</v>
      </c>
      <c r="M491" s="30">
        <v>46455</v>
      </c>
      <c r="N491" s="35"/>
      <c r="O491" s="32" t="s">
        <v>3479</v>
      </c>
      <c r="P491" s="30">
        <v>46455</v>
      </c>
      <c r="Q491" s="40">
        <v>1210096.8</v>
      </c>
      <c r="R491" s="775" t="s">
        <v>665</v>
      </c>
      <c r="S491" s="34">
        <v>44998</v>
      </c>
      <c r="T491" s="35"/>
      <c r="U491" s="35">
        <v>6</v>
      </c>
      <c r="V491" s="35" t="s">
        <v>4625</v>
      </c>
      <c r="W491" s="35"/>
      <c r="X491" s="25" t="s">
        <v>3480</v>
      </c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12.75" customHeight="1">
      <c r="A492" s="15">
        <v>491</v>
      </c>
      <c r="B492" s="736" t="s">
        <v>3086</v>
      </c>
      <c r="C492" s="16" t="s">
        <v>733</v>
      </c>
      <c r="D492" s="20" t="s">
        <v>3087</v>
      </c>
      <c r="E492" s="2" t="s">
        <v>3202</v>
      </c>
      <c r="F492" s="3" t="s">
        <v>3478</v>
      </c>
      <c r="G492" s="17">
        <v>27094987</v>
      </c>
      <c r="H492" s="2" t="s">
        <v>361</v>
      </c>
      <c r="I492" s="2" t="s">
        <v>734</v>
      </c>
      <c r="J492" s="2"/>
      <c r="K492" s="30">
        <v>45127</v>
      </c>
      <c r="L492" s="30">
        <v>45127</v>
      </c>
      <c r="M492" s="30">
        <v>46587</v>
      </c>
      <c r="N492" s="35"/>
      <c r="O492" s="32" t="s">
        <v>3481</v>
      </c>
      <c r="P492" s="30">
        <v>46587</v>
      </c>
      <c r="Q492" s="40">
        <v>726000</v>
      </c>
      <c r="R492" s="775" t="s">
        <v>735</v>
      </c>
      <c r="S492" s="34">
        <v>45128</v>
      </c>
      <c r="T492" s="35"/>
      <c r="U492" s="35">
        <v>3</v>
      </c>
      <c r="V492" s="35" t="s">
        <v>4625</v>
      </c>
      <c r="W492" s="35"/>
      <c r="X492" s="25" t="s">
        <v>3368</v>
      </c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12.75" customHeight="1">
      <c r="A493" s="15">
        <v>492</v>
      </c>
      <c r="B493" s="736" t="s">
        <v>3086</v>
      </c>
      <c r="C493" s="16" t="s">
        <v>736</v>
      </c>
      <c r="D493" s="20" t="s">
        <v>3087</v>
      </c>
      <c r="E493" s="2" t="s">
        <v>3202</v>
      </c>
      <c r="F493" s="3" t="s">
        <v>3478</v>
      </c>
      <c r="G493" s="17">
        <v>27094987</v>
      </c>
      <c r="H493" s="2" t="s">
        <v>361</v>
      </c>
      <c r="I493" s="2" t="s">
        <v>737</v>
      </c>
      <c r="J493" s="2"/>
      <c r="K493" s="30">
        <v>45127</v>
      </c>
      <c r="L493" s="30">
        <v>45127</v>
      </c>
      <c r="M493" s="30">
        <v>46587</v>
      </c>
      <c r="N493" s="35"/>
      <c r="O493" s="32" t="s">
        <v>3482</v>
      </c>
      <c r="P493" s="30">
        <v>46587</v>
      </c>
      <c r="Q493" s="40">
        <v>72600</v>
      </c>
      <c r="R493" s="775" t="s">
        <v>738</v>
      </c>
      <c r="S493" s="34">
        <v>45128</v>
      </c>
      <c r="T493" s="35"/>
      <c r="U493" s="35">
        <v>3</v>
      </c>
      <c r="V493" s="35" t="s">
        <v>4625</v>
      </c>
      <c r="W493" s="35"/>
      <c r="X493" s="25" t="s">
        <v>3368</v>
      </c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12.75" customHeight="1">
      <c r="A494" s="15">
        <v>493</v>
      </c>
      <c r="B494" s="736" t="s">
        <v>3086</v>
      </c>
      <c r="C494" s="16" t="s">
        <v>739</v>
      </c>
      <c r="D494" s="20" t="s">
        <v>3087</v>
      </c>
      <c r="E494" s="2" t="s">
        <v>3202</v>
      </c>
      <c r="F494" s="3" t="s">
        <v>3478</v>
      </c>
      <c r="G494" s="17">
        <v>27094987</v>
      </c>
      <c r="H494" s="2" t="s">
        <v>361</v>
      </c>
      <c r="I494" s="2" t="s">
        <v>740</v>
      </c>
      <c r="J494" s="2"/>
      <c r="K494" s="30">
        <v>45127</v>
      </c>
      <c r="L494" s="30">
        <v>45127</v>
      </c>
      <c r="M494" s="30">
        <v>46587</v>
      </c>
      <c r="N494" s="35"/>
      <c r="O494" s="32" t="s">
        <v>3334</v>
      </c>
      <c r="P494" s="30">
        <v>46587</v>
      </c>
      <c r="Q494" s="40">
        <v>217800</v>
      </c>
      <c r="R494" s="775" t="s">
        <v>741</v>
      </c>
      <c r="S494" s="34">
        <v>45128</v>
      </c>
      <c r="T494" s="35"/>
      <c r="U494" s="35">
        <v>3</v>
      </c>
      <c r="V494" s="2" t="s">
        <v>4625</v>
      </c>
      <c r="W494" s="2"/>
      <c r="X494" s="25" t="s">
        <v>3368</v>
      </c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12.75" customHeight="1">
      <c r="A495" s="15">
        <v>494</v>
      </c>
      <c r="B495" s="736" t="s">
        <v>3086</v>
      </c>
      <c r="C495" s="16" t="s">
        <v>742</v>
      </c>
      <c r="D495" s="20" t="s">
        <v>3087</v>
      </c>
      <c r="E495" s="2" t="s">
        <v>3202</v>
      </c>
      <c r="F495" s="3" t="s">
        <v>3478</v>
      </c>
      <c r="G495" s="17">
        <v>27094987</v>
      </c>
      <c r="H495" s="2" t="s">
        <v>361</v>
      </c>
      <c r="I495" s="2" t="s">
        <v>743</v>
      </c>
      <c r="J495" s="2"/>
      <c r="K495" s="30">
        <v>45127</v>
      </c>
      <c r="L495" s="30">
        <v>45127</v>
      </c>
      <c r="M495" s="30">
        <v>46587</v>
      </c>
      <c r="N495" s="35"/>
      <c r="O495" s="32" t="s">
        <v>3483</v>
      </c>
      <c r="P495" s="30">
        <v>46587</v>
      </c>
      <c r="Q495" s="58">
        <v>84700</v>
      </c>
      <c r="R495" s="775" t="s">
        <v>744</v>
      </c>
      <c r="S495" s="34">
        <v>45128</v>
      </c>
      <c r="T495" s="35"/>
      <c r="U495" s="35">
        <v>3</v>
      </c>
      <c r="V495" s="15" t="s">
        <v>4625</v>
      </c>
      <c r="W495" s="15"/>
      <c r="X495" s="46" t="s">
        <v>3484</v>
      </c>
      <c r="Y495" s="59" t="s">
        <v>3485</v>
      </c>
      <c r="Z495" s="2" t="s">
        <v>4742</v>
      </c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12.75" customHeight="1">
      <c r="A496" s="15">
        <v>495</v>
      </c>
      <c r="B496" s="736" t="s">
        <v>3086</v>
      </c>
      <c r="C496" s="16" t="s">
        <v>528</v>
      </c>
      <c r="D496" s="20" t="s">
        <v>3087</v>
      </c>
      <c r="E496" s="2" t="s">
        <v>3202</v>
      </c>
      <c r="F496" s="3" t="s">
        <v>3478</v>
      </c>
      <c r="G496" s="17">
        <v>27094987</v>
      </c>
      <c r="H496" s="2" t="s">
        <v>361</v>
      </c>
      <c r="I496" s="2" t="s">
        <v>529</v>
      </c>
      <c r="J496" s="2"/>
      <c r="K496" s="30">
        <v>44838</v>
      </c>
      <c r="L496" s="30">
        <v>44838</v>
      </c>
      <c r="M496" s="30">
        <v>46299</v>
      </c>
      <c r="N496" s="35"/>
      <c r="O496" s="33">
        <v>907500</v>
      </c>
      <c r="P496" s="30">
        <v>46299</v>
      </c>
      <c r="Q496" s="60" t="s">
        <v>3486</v>
      </c>
      <c r="R496" s="775" t="s">
        <v>530</v>
      </c>
      <c r="S496" s="34">
        <v>44838</v>
      </c>
      <c r="T496" s="35"/>
      <c r="U496" s="35">
        <v>3</v>
      </c>
      <c r="V496" s="15"/>
      <c r="W496" s="15"/>
      <c r="X496" s="46" t="s">
        <v>3487</v>
      </c>
      <c r="Y496" s="61" t="s">
        <v>3485</v>
      </c>
      <c r="Z496" s="2" t="s">
        <v>4742</v>
      </c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12.75" customHeight="1">
      <c r="A497" s="15">
        <v>496</v>
      </c>
      <c r="B497" s="736" t="s">
        <v>1555</v>
      </c>
      <c r="C497" s="16" t="s">
        <v>1775</v>
      </c>
      <c r="D497" s="20" t="s">
        <v>3087</v>
      </c>
      <c r="E497" s="2" t="s">
        <v>3197</v>
      </c>
      <c r="F497" s="3" t="s">
        <v>3478</v>
      </c>
      <c r="G497" s="17">
        <v>27094987</v>
      </c>
      <c r="H497" s="2" t="s">
        <v>546</v>
      </c>
      <c r="I497" s="2" t="s">
        <v>1776</v>
      </c>
      <c r="J497" s="2"/>
      <c r="K497" s="18">
        <v>44525</v>
      </c>
      <c r="L497" s="18">
        <v>44525</v>
      </c>
      <c r="M497" s="18">
        <v>44560</v>
      </c>
      <c r="N497" s="1"/>
      <c r="O497" s="19">
        <v>697650</v>
      </c>
      <c r="P497" s="18">
        <v>44560</v>
      </c>
      <c r="Q497" s="19"/>
      <c r="R497" s="772"/>
      <c r="S497" s="18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12.75" customHeight="1">
      <c r="A498" s="15">
        <v>497</v>
      </c>
      <c r="B498" s="736" t="s">
        <v>1555</v>
      </c>
      <c r="C498" s="16" t="s">
        <v>2155</v>
      </c>
      <c r="D498" s="20" t="s">
        <v>3087</v>
      </c>
      <c r="E498" s="2" t="s">
        <v>3197</v>
      </c>
      <c r="F498" s="3" t="s">
        <v>3478</v>
      </c>
      <c r="G498" s="17">
        <v>27094987</v>
      </c>
      <c r="H498" s="2" t="s">
        <v>677</v>
      </c>
      <c r="I498" s="2" t="s">
        <v>2156</v>
      </c>
      <c r="J498" s="2"/>
      <c r="K498" s="18">
        <v>44719</v>
      </c>
      <c r="L498" s="18">
        <v>44719</v>
      </c>
      <c r="M498" s="18">
        <v>44926</v>
      </c>
      <c r="N498" s="1"/>
      <c r="O498" s="19">
        <v>4923187.49</v>
      </c>
      <c r="P498" s="18">
        <v>44926</v>
      </c>
      <c r="Q498" s="19"/>
      <c r="R498" s="772"/>
      <c r="S498" s="18"/>
    </row>
    <row r="499" spans="1:38" ht="12.75" customHeight="1">
      <c r="A499" s="15">
        <v>498</v>
      </c>
      <c r="B499" s="736" t="s">
        <v>1555</v>
      </c>
      <c r="C499" s="16" t="s">
        <v>2288</v>
      </c>
      <c r="D499" s="20" t="s">
        <v>3087</v>
      </c>
      <c r="E499" s="2" t="s">
        <v>3197</v>
      </c>
      <c r="F499" s="3" t="s">
        <v>3478</v>
      </c>
      <c r="G499" s="17">
        <v>27094987</v>
      </c>
      <c r="H499" s="2" t="s">
        <v>546</v>
      </c>
      <c r="I499" s="2" t="s">
        <v>2289</v>
      </c>
      <c r="J499" s="2"/>
      <c r="K499" s="18">
        <v>44810</v>
      </c>
      <c r="L499" s="18">
        <v>44810</v>
      </c>
      <c r="M499" s="18">
        <v>44901</v>
      </c>
      <c r="N499" s="1"/>
      <c r="O499" s="19">
        <v>1749514.8</v>
      </c>
      <c r="P499" s="18">
        <v>44901</v>
      </c>
      <c r="Q499" s="19"/>
      <c r="R499" s="772"/>
      <c r="S499" s="18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12.75" customHeight="1">
      <c r="A500" s="15">
        <v>499</v>
      </c>
      <c r="B500" s="736" t="s">
        <v>1555</v>
      </c>
      <c r="C500" s="16" t="s">
        <v>2398</v>
      </c>
      <c r="D500" s="20" t="s">
        <v>3087</v>
      </c>
      <c r="E500" s="2" t="s">
        <v>3202</v>
      </c>
      <c r="F500" s="3" t="s">
        <v>3478</v>
      </c>
      <c r="G500" s="17">
        <v>27094987</v>
      </c>
      <c r="H500" s="2" t="s">
        <v>361</v>
      </c>
      <c r="I500" s="2" t="s">
        <v>2399</v>
      </c>
      <c r="J500" s="2"/>
      <c r="K500" s="18">
        <v>44846</v>
      </c>
      <c r="L500" s="18">
        <v>44846</v>
      </c>
      <c r="M500" s="18">
        <v>45211</v>
      </c>
      <c r="N500" s="1">
        <v>6</v>
      </c>
      <c r="O500" s="19">
        <v>1667428.64</v>
      </c>
      <c r="P500" s="18">
        <v>45211</v>
      </c>
      <c r="Q500" s="19"/>
      <c r="R500" s="772"/>
      <c r="S500" s="18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12.75" customHeight="1">
      <c r="A501" s="15">
        <v>500</v>
      </c>
      <c r="B501" s="736" t="s">
        <v>1555</v>
      </c>
      <c r="C501" s="16" t="s">
        <v>2451</v>
      </c>
      <c r="D501" s="20" t="s">
        <v>3087</v>
      </c>
      <c r="E501" s="2" t="s">
        <v>3197</v>
      </c>
      <c r="F501" s="3" t="s">
        <v>3478</v>
      </c>
      <c r="G501" s="17">
        <v>27094987</v>
      </c>
      <c r="H501" s="2" t="s">
        <v>677</v>
      </c>
      <c r="I501" s="2" t="s">
        <v>2452</v>
      </c>
      <c r="J501" s="2"/>
      <c r="K501" s="18">
        <v>44872</v>
      </c>
      <c r="L501" s="18">
        <v>44872</v>
      </c>
      <c r="M501" s="18">
        <v>44935</v>
      </c>
      <c r="N501" s="1"/>
      <c r="O501" s="19">
        <v>569111.4</v>
      </c>
      <c r="P501" s="18">
        <v>44935</v>
      </c>
      <c r="Q501" s="19"/>
      <c r="R501" s="772"/>
      <c r="S501" s="18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12.75" customHeight="1">
      <c r="A502" s="15">
        <v>501</v>
      </c>
      <c r="B502" s="738" t="s">
        <v>3086</v>
      </c>
      <c r="C502" s="16" t="s">
        <v>1263</v>
      </c>
      <c r="D502" s="2" t="s">
        <v>3094</v>
      </c>
      <c r="E502" s="3" t="s">
        <v>3095</v>
      </c>
      <c r="F502" s="3" t="s">
        <v>3488</v>
      </c>
      <c r="G502" s="17">
        <v>27085031</v>
      </c>
      <c r="H502" s="2" t="s">
        <v>100</v>
      </c>
      <c r="I502" s="2" t="s">
        <v>1264</v>
      </c>
      <c r="K502" s="30">
        <v>41305</v>
      </c>
      <c r="L502" s="30">
        <v>41364</v>
      </c>
      <c r="M502" s="30">
        <v>2958465</v>
      </c>
      <c r="N502" s="35"/>
      <c r="O502" s="40"/>
      <c r="P502" s="30">
        <v>2958465</v>
      </c>
      <c r="Q502" s="40"/>
      <c r="R502" s="31"/>
      <c r="S502" s="37"/>
      <c r="T502" s="35"/>
      <c r="U502" s="107"/>
      <c r="V502" s="2"/>
      <c r="W502" s="2" t="s">
        <v>4625</v>
      </c>
      <c r="X502" s="2"/>
      <c r="Y502" s="2" t="s">
        <v>4689</v>
      </c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12.75" customHeight="1">
      <c r="A503" s="15">
        <v>502</v>
      </c>
      <c r="B503" s="738" t="s">
        <v>3086</v>
      </c>
      <c r="C503" s="16" t="s">
        <v>119</v>
      </c>
      <c r="D503" s="20" t="s">
        <v>3087</v>
      </c>
      <c r="E503" s="3" t="s">
        <v>3142</v>
      </c>
      <c r="F503" s="3" t="s">
        <v>3488</v>
      </c>
      <c r="G503" s="17">
        <v>27085031</v>
      </c>
      <c r="H503" s="2" t="s">
        <v>118</v>
      </c>
      <c r="I503" s="2" t="s">
        <v>120</v>
      </c>
      <c r="K503" s="30">
        <v>43263</v>
      </c>
      <c r="L503" s="30">
        <v>43263</v>
      </c>
      <c r="M503" s="30">
        <v>2958465</v>
      </c>
      <c r="N503" s="35"/>
      <c r="O503" s="32">
        <v>0</v>
      </c>
      <c r="P503" s="30">
        <v>2958465</v>
      </c>
      <c r="Q503" s="19"/>
      <c r="R503" s="773"/>
      <c r="S503" s="18"/>
      <c r="T503" s="2"/>
      <c r="U503" s="2">
        <v>3</v>
      </c>
      <c r="V503" s="2"/>
      <c r="W503" s="2"/>
      <c r="X503" s="2"/>
      <c r="Y503" s="2" t="s">
        <v>4741</v>
      </c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12.75" customHeight="1">
      <c r="A504" s="15">
        <v>503</v>
      </c>
      <c r="B504" s="736" t="s">
        <v>3086</v>
      </c>
      <c r="C504" s="16" t="s">
        <v>666</v>
      </c>
      <c r="D504" s="2" t="s">
        <v>3094</v>
      </c>
      <c r="E504" s="3" t="s">
        <v>3095</v>
      </c>
      <c r="F504" s="103" t="s">
        <v>3488</v>
      </c>
      <c r="G504" s="17">
        <v>27085031</v>
      </c>
      <c r="H504" s="2" t="s">
        <v>189</v>
      </c>
      <c r="I504" s="2" t="s">
        <v>667</v>
      </c>
      <c r="J504" s="2"/>
      <c r="K504" s="30">
        <v>45083</v>
      </c>
      <c r="L504" s="30">
        <v>45083</v>
      </c>
      <c r="M504" s="30">
        <v>46543</v>
      </c>
      <c r="N504" s="35"/>
      <c r="O504" s="40"/>
      <c r="P504" s="30">
        <v>46543</v>
      </c>
      <c r="Q504" s="40">
        <v>0</v>
      </c>
      <c r="R504" s="775" t="s">
        <v>668</v>
      </c>
      <c r="S504" s="34">
        <v>45083</v>
      </c>
      <c r="T504" s="35"/>
      <c r="U504" s="107">
        <v>3</v>
      </c>
      <c r="V504" s="2"/>
      <c r="W504" s="2" t="s">
        <v>4625</v>
      </c>
      <c r="X504" s="62" t="s">
        <v>3489</v>
      </c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12.75" customHeight="1">
      <c r="A505" s="15">
        <v>504</v>
      </c>
      <c r="B505" s="736" t="s">
        <v>1555</v>
      </c>
      <c r="C505" s="16" t="s">
        <v>2603</v>
      </c>
      <c r="D505" s="20" t="s">
        <v>3110</v>
      </c>
      <c r="E505" s="2" t="s">
        <v>3958</v>
      </c>
      <c r="F505" s="3" t="s">
        <v>3488</v>
      </c>
      <c r="G505" s="17">
        <v>27085031</v>
      </c>
      <c r="H505" s="2" t="s">
        <v>1905</v>
      </c>
      <c r="I505" s="2" t="s">
        <v>2604</v>
      </c>
      <c r="J505" s="2"/>
      <c r="K505" s="18">
        <v>44963</v>
      </c>
      <c r="L505" s="18">
        <v>44963</v>
      </c>
      <c r="M505" s="18">
        <v>44963</v>
      </c>
      <c r="N505" s="1"/>
      <c r="O505" s="19"/>
      <c r="P505" s="18">
        <v>44963</v>
      </c>
      <c r="Q505" s="19"/>
      <c r="R505" s="772"/>
      <c r="S505" s="18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12.75" customHeight="1">
      <c r="A506" s="15">
        <v>505</v>
      </c>
      <c r="B506" s="736" t="s">
        <v>1555</v>
      </c>
      <c r="C506" s="16" t="s">
        <v>1707</v>
      </c>
      <c r="D506" s="20" t="s">
        <v>3087</v>
      </c>
      <c r="E506" s="2" t="s">
        <v>3162</v>
      </c>
      <c r="F506" s="3" t="s">
        <v>3488</v>
      </c>
      <c r="G506" s="17">
        <v>27085031</v>
      </c>
      <c r="H506" s="96" t="s">
        <v>830</v>
      </c>
      <c r="I506" s="2" t="s">
        <v>1708</v>
      </c>
      <c r="J506" s="2"/>
      <c r="K506" s="18">
        <v>44351</v>
      </c>
      <c r="L506" s="18">
        <v>44354</v>
      </c>
      <c r="M506" s="18">
        <v>44365</v>
      </c>
      <c r="N506" s="1"/>
      <c r="O506" s="19">
        <v>3500</v>
      </c>
      <c r="P506" s="18">
        <v>44365</v>
      </c>
      <c r="Q506" s="19"/>
      <c r="R506" s="772"/>
      <c r="S506" s="18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12.75" customHeight="1">
      <c r="A507" s="15">
        <v>506</v>
      </c>
      <c r="B507" s="736" t="s">
        <v>1555</v>
      </c>
      <c r="C507" s="16" t="s">
        <v>3015</v>
      </c>
      <c r="D507" s="20" t="s">
        <v>3087</v>
      </c>
      <c r="E507" s="2" t="s">
        <v>3097</v>
      </c>
      <c r="F507" s="3" t="s">
        <v>3488</v>
      </c>
      <c r="G507" s="17">
        <v>27085031</v>
      </c>
      <c r="H507" s="96" t="s">
        <v>830</v>
      </c>
      <c r="I507" s="2" t="s">
        <v>3016</v>
      </c>
      <c r="J507" s="2"/>
      <c r="K507" s="18">
        <v>45215</v>
      </c>
      <c r="L507" s="18">
        <v>45216</v>
      </c>
      <c r="M507" s="18">
        <v>45233</v>
      </c>
      <c r="N507" s="1"/>
      <c r="O507" s="19">
        <v>4200</v>
      </c>
      <c r="P507" s="18">
        <v>45233</v>
      </c>
      <c r="Q507" s="19"/>
      <c r="R507" s="772"/>
      <c r="S507" s="18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12.75" customHeight="1">
      <c r="A508" s="15">
        <v>507</v>
      </c>
      <c r="B508" s="738" t="s">
        <v>3086</v>
      </c>
      <c r="C508" s="16" t="s">
        <v>1160</v>
      </c>
      <c r="D508" s="20" t="s">
        <v>3110</v>
      </c>
      <c r="E508" s="3" t="s">
        <v>3132</v>
      </c>
      <c r="F508" s="3" t="s">
        <v>3490</v>
      </c>
      <c r="G508" s="17">
        <v>27073467</v>
      </c>
      <c r="H508" s="2" t="s">
        <v>48</v>
      </c>
      <c r="I508" s="2" t="s">
        <v>1161</v>
      </c>
      <c r="J508" s="2" t="s">
        <v>1162</v>
      </c>
      <c r="K508" s="30">
        <v>40311</v>
      </c>
      <c r="L508" s="30">
        <v>40311</v>
      </c>
      <c r="M508" s="37">
        <v>2958465</v>
      </c>
      <c r="N508" s="35"/>
      <c r="O508" s="32">
        <v>0</v>
      </c>
      <c r="P508" s="37">
        <v>2958465</v>
      </c>
      <c r="Q508" s="32"/>
      <c r="R508" s="31"/>
      <c r="S508" s="37"/>
      <c r="T508" s="35"/>
      <c r="U508" s="35"/>
      <c r="V508" s="35"/>
      <c r="W508" s="35"/>
      <c r="X508" s="57"/>
      <c r="Y508" s="2" t="s">
        <v>4726</v>
      </c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12.75" customHeight="1">
      <c r="A509" s="15">
        <v>508</v>
      </c>
      <c r="B509" s="738" t="s">
        <v>3086</v>
      </c>
      <c r="C509" s="16" t="s">
        <v>1297</v>
      </c>
      <c r="D509" s="20" t="s">
        <v>3087</v>
      </c>
      <c r="E509" s="3" t="s">
        <v>3093</v>
      </c>
      <c r="F509" s="3" t="s">
        <v>3491</v>
      </c>
      <c r="G509" s="17">
        <v>27006891</v>
      </c>
      <c r="H509" s="2" t="s">
        <v>1298</v>
      </c>
      <c r="I509" s="2" t="s">
        <v>1298</v>
      </c>
      <c r="J509" s="2" t="s">
        <v>1298</v>
      </c>
      <c r="K509" s="30">
        <v>41639</v>
      </c>
      <c r="L509" s="30">
        <v>41639</v>
      </c>
      <c r="M509" s="30">
        <v>2958465</v>
      </c>
      <c r="N509" s="35"/>
      <c r="O509" s="32">
        <v>0</v>
      </c>
      <c r="P509" s="30">
        <v>2958465</v>
      </c>
      <c r="Q509" s="32">
        <v>0</v>
      </c>
      <c r="R509" s="31"/>
      <c r="S509" s="37"/>
      <c r="T509" s="35"/>
      <c r="U509" s="35"/>
      <c r="V509" s="2" t="s">
        <v>4625</v>
      </c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12.75" customHeight="1">
      <c r="A510" s="15">
        <v>509</v>
      </c>
      <c r="B510" s="736" t="s">
        <v>1555</v>
      </c>
      <c r="C510" s="16" t="s">
        <v>2002</v>
      </c>
      <c r="D510" s="2"/>
      <c r="E510" s="96" t="s">
        <v>5143</v>
      </c>
      <c r="F510" s="2" t="s">
        <v>3492</v>
      </c>
      <c r="G510" s="17">
        <v>26996766</v>
      </c>
      <c r="H510" s="2" t="s">
        <v>1729</v>
      </c>
      <c r="I510" s="2" t="s">
        <v>2003</v>
      </c>
      <c r="J510" s="2"/>
      <c r="K510" s="18">
        <v>44620</v>
      </c>
      <c r="L510" s="18">
        <v>44620</v>
      </c>
      <c r="M510" s="18">
        <v>44926</v>
      </c>
      <c r="N510" s="1"/>
      <c r="O510" s="19">
        <v>71428</v>
      </c>
      <c r="P510" s="18">
        <v>44926</v>
      </c>
      <c r="Q510" s="19"/>
      <c r="R510" s="772"/>
      <c r="S510" s="18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12.75" customHeight="1">
      <c r="A511" s="15">
        <v>510</v>
      </c>
      <c r="B511" s="736" t="s">
        <v>1555</v>
      </c>
      <c r="C511" s="16" t="s">
        <v>903</v>
      </c>
      <c r="D511" s="21" t="s">
        <v>3168</v>
      </c>
      <c r="E511" s="2" t="s">
        <v>3117</v>
      </c>
      <c r="F511" s="2" t="s">
        <v>3493</v>
      </c>
      <c r="G511" s="17">
        <v>26965437</v>
      </c>
      <c r="H511" s="2" t="s">
        <v>902</v>
      </c>
      <c r="I511" s="2" t="s">
        <v>904</v>
      </c>
      <c r="J511" s="2"/>
      <c r="K511" s="30">
        <v>45315</v>
      </c>
      <c r="L511" s="30">
        <v>45426</v>
      </c>
      <c r="M511" s="30">
        <v>45428</v>
      </c>
      <c r="N511" s="31">
        <v>7</v>
      </c>
      <c r="O511" s="32" t="s">
        <v>3494</v>
      </c>
      <c r="P511" s="30">
        <v>45428</v>
      </c>
      <c r="Q511" s="40">
        <v>1055500.27</v>
      </c>
      <c r="R511" s="775" t="s">
        <v>905</v>
      </c>
      <c r="S511" s="34">
        <v>45315</v>
      </c>
      <c r="T511" s="35"/>
      <c r="U511" s="35"/>
      <c r="V511" s="2" t="s">
        <v>3091</v>
      </c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12.75" customHeight="1">
      <c r="A512" s="15">
        <v>511</v>
      </c>
      <c r="B512" s="738" t="s">
        <v>3086</v>
      </c>
      <c r="C512" s="16" t="s">
        <v>1</v>
      </c>
      <c r="D512" s="2" t="s">
        <v>3110</v>
      </c>
      <c r="E512" s="3" t="s">
        <v>3495</v>
      </c>
      <c r="F512" s="15" t="s">
        <v>3496</v>
      </c>
      <c r="G512" s="17">
        <v>26964542</v>
      </c>
      <c r="H512" s="2" t="s">
        <v>0</v>
      </c>
      <c r="I512" s="2" t="s">
        <v>2</v>
      </c>
      <c r="K512" s="18">
        <v>38092</v>
      </c>
      <c r="L512" s="18">
        <v>38092</v>
      </c>
      <c r="M512" s="18">
        <v>2958465</v>
      </c>
      <c r="N512" s="1"/>
      <c r="O512" s="19"/>
      <c r="P512" s="18">
        <v>2958465</v>
      </c>
      <c r="Q512" s="19"/>
      <c r="R512" s="773"/>
      <c r="S512" s="18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12.75" customHeight="1">
      <c r="A513" s="15">
        <v>512</v>
      </c>
      <c r="B513" s="736" t="s">
        <v>1555</v>
      </c>
      <c r="C513" s="16" t="s">
        <v>351</v>
      </c>
      <c r="D513" s="20" t="s">
        <v>3087</v>
      </c>
      <c r="E513" s="2" t="s">
        <v>3202</v>
      </c>
      <c r="F513" s="2" t="s">
        <v>3497</v>
      </c>
      <c r="G513" s="17">
        <v>26869551</v>
      </c>
      <c r="H513" s="2" t="s">
        <v>348</v>
      </c>
      <c r="I513" s="2" t="s">
        <v>352</v>
      </c>
      <c r="J513" s="2"/>
      <c r="K513" s="30">
        <v>44532</v>
      </c>
      <c r="L513" s="30">
        <v>44532</v>
      </c>
      <c r="M513" s="30">
        <v>45992</v>
      </c>
      <c r="N513" s="31">
        <v>6</v>
      </c>
      <c r="O513" s="32">
        <v>5919052.5899999999</v>
      </c>
      <c r="P513" s="30">
        <v>45992</v>
      </c>
      <c r="Q513" s="40">
        <v>4771200</v>
      </c>
      <c r="R513" s="776" t="s">
        <v>353</v>
      </c>
      <c r="S513" s="52">
        <v>44532</v>
      </c>
      <c r="T513" s="35"/>
      <c r="U513" s="35">
        <v>3</v>
      </c>
      <c r="V513" s="35" t="s">
        <v>4625</v>
      </c>
      <c r="W513" s="35"/>
      <c r="X513" s="25" t="s">
        <v>3368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12.75" customHeight="1">
      <c r="A514" s="15">
        <v>513</v>
      </c>
      <c r="B514" s="736" t="s">
        <v>1555</v>
      </c>
      <c r="C514" s="71" t="s">
        <v>2052</v>
      </c>
      <c r="D514" s="77" t="s">
        <v>3498</v>
      </c>
      <c r="E514" s="2" t="s">
        <v>3202</v>
      </c>
      <c r="F514" s="3" t="s">
        <v>3497</v>
      </c>
      <c r="G514" s="17">
        <v>26869551</v>
      </c>
      <c r="H514" s="2" t="s">
        <v>422</v>
      </c>
      <c r="I514" s="2" t="s">
        <v>422</v>
      </c>
      <c r="J514" s="2"/>
      <c r="K514" s="18">
        <v>44670</v>
      </c>
      <c r="L514" s="18">
        <v>44670</v>
      </c>
      <c r="M514" s="18">
        <v>44963</v>
      </c>
      <c r="N514" s="1"/>
      <c r="O514" s="19">
        <v>470448</v>
      </c>
      <c r="P514" s="18">
        <v>44963</v>
      </c>
      <c r="Q514" s="19"/>
      <c r="R514" s="772"/>
      <c r="S514" s="18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12.75" customHeight="1">
      <c r="A515" s="15">
        <v>514</v>
      </c>
      <c r="B515" s="736" t="s">
        <v>1555</v>
      </c>
      <c r="C515" s="16" t="s">
        <v>2222</v>
      </c>
      <c r="D515" s="20" t="s">
        <v>3087</v>
      </c>
      <c r="E515" s="2" t="s">
        <v>3197</v>
      </c>
      <c r="F515" s="2" t="s">
        <v>3497</v>
      </c>
      <c r="G515" s="17">
        <v>26869551</v>
      </c>
      <c r="H515" s="2" t="s">
        <v>546</v>
      </c>
      <c r="I515" s="2" t="s">
        <v>2223</v>
      </c>
      <c r="J515" s="2"/>
      <c r="K515" s="18">
        <v>44771</v>
      </c>
      <c r="L515" s="18">
        <v>44771</v>
      </c>
      <c r="M515" s="18">
        <v>44924</v>
      </c>
      <c r="N515" s="1"/>
      <c r="O515" s="19">
        <v>250470</v>
      </c>
      <c r="P515" s="18">
        <v>44924</v>
      </c>
      <c r="Q515" s="19"/>
      <c r="R515" s="772"/>
      <c r="S515" s="18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12.75" customHeight="1">
      <c r="A516" s="15">
        <v>515</v>
      </c>
      <c r="B516" s="736" t="s">
        <v>1555</v>
      </c>
      <c r="C516" s="16" t="s">
        <v>2255</v>
      </c>
      <c r="D516" s="20" t="s">
        <v>3087</v>
      </c>
      <c r="E516" s="2" t="s">
        <v>3097</v>
      </c>
      <c r="F516" s="2" t="s">
        <v>3499</v>
      </c>
      <c r="G516" s="17">
        <v>26775816</v>
      </c>
      <c r="H516" s="96" t="s">
        <v>830</v>
      </c>
      <c r="I516" s="2" t="s">
        <v>2256</v>
      </c>
      <c r="J516" s="2"/>
      <c r="K516" s="18">
        <v>44782</v>
      </c>
      <c r="L516" s="18">
        <v>44782</v>
      </c>
      <c r="M516" s="18">
        <v>44895</v>
      </c>
      <c r="N516" s="1"/>
      <c r="O516" s="19">
        <v>3500</v>
      </c>
      <c r="P516" s="18">
        <v>44895</v>
      </c>
      <c r="Q516" s="19"/>
      <c r="R516" s="772"/>
      <c r="S516" s="18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12.75" customHeight="1">
      <c r="A517" s="15">
        <v>516</v>
      </c>
      <c r="B517" s="736" t="s">
        <v>1555</v>
      </c>
      <c r="C517" s="16" t="s">
        <v>1615</v>
      </c>
      <c r="D517" s="15" t="s">
        <v>3116</v>
      </c>
      <c r="E517" s="2" t="s">
        <v>3117</v>
      </c>
      <c r="F517" s="2" t="s">
        <v>3500</v>
      </c>
      <c r="G517" s="17">
        <v>26756102</v>
      </c>
      <c r="H517" s="2" t="s">
        <v>1614</v>
      </c>
      <c r="I517" s="2" t="s">
        <v>1616</v>
      </c>
      <c r="J517" s="2"/>
      <c r="K517" s="18">
        <v>44308</v>
      </c>
      <c r="L517" s="18">
        <v>44308</v>
      </c>
      <c r="M517" s="18">
        <v>44340</v>
      </c>
      <c r="N517" s="1"/>
      <c r="O517" s="19">
        <v>85000</v>
      </c>
      <c r="P517" s="18">
        <v>44340</v>
      </c>
      <c r="Q517" s="19"/>
      <c r="R517" s="772"/>
      <c r="S517" s="18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12.75" customHeight="1">
      <c r="A518" s="15">
        <v>517</v>
      </c>
      <c r="B518" s="736" t="s">
        <v>1555</v>
      </c>
      <c r="C518" s="16" t="s">
        <v>1667</v>
      </c>
      <c r="D518" s="20" t="s">
        <v>3087</v>
      </c>
      <c r="E518" s="2" t="s">
        <v>3097</v>
      </c>
      <c r="F518" s="2" t="s">
        <v>3501</v>
      </c>
      <c r="G518" s="17">
        <v>26752051</v>
      </c>
      <c r="H518" s="96" t="s">
        <v>830</v>
      </c>
      <c r="I518" s="2" t="s">
        <v>1668</v>
      </c>
      <c r="J518" s="2"/>
      <c r="K518" s="18">
        <v>44349</v>
      </c>
      <c r="L518" s="18">
        <v>44368</v>
      </c>
      <c r="M518" s="18">
        <v>44376</v>
      </c>
      <c r="N518" s="1"/>
      <c r="O518" s="19">
        <v>2450</v>
      </c>
      <c r="P518" s="18">
        <v>44376</v>
      </c>
      <c r="Q518" s="19"/>
      <c r="R518" s="772"/>
      <c r="S518" s="18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12.75" customHeight="1">
      <c r="A519" s="15">
        <v>518</v>
      </c>
      <c r="B519" s="736" t="s">
        <v>1555</v>
      </c>
      <c r="C519" s="16" t="s">
        <v>773</v>
      </c>
      <c r="D519" s="20" t="s">
        <v>3087</v>
      </c>
      <c r="E519" s="2" t="s">
        <v>3093</v>
      </c>
      <c r="F519" s="2" t="s">
        <v>3502</v>
      </c>
      <c r="G519" s="17">
        <v>26747618</v>
      </c>
      <c r="H519" s="96" t="s">
        <v>510</v>
      </c>
      <c r="I519" s="2" t="s">
        <v>774</v>
      </c>
      <c r="J519" s="2"/>
      <c r="K519" s="18">
        <v>45180</v>
      </c>
      <c r="L519" s="18">
        <v>45180</v>
      </c>
      <c r="M519" s="18">
        <v>45351</v>
      </c>
      <c r="N519" s="1"/>
      <c r="O519" s="19">
        <v>101120</v>
      </c>
      <c r="P519" s="18">
        <v>45351</v>
      </c>
      <c r="Q519" s="19">
        <v>101120</v>
      </c>
      <c r="R519" s="772" t="s">
        <v>775</v>
      </c>
      <c r="S519" s="18">
        <v>45181</v>
      </c>
      <c r="T519" s="2"/>
      <c r="U519" s="2"/>
      <c r="V519" s="2" t="s">
        <v>3091</v>
      </c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12.75" customHeight="1">
      <c r="A520" s="15">
        <v>519</v>
      </c>
      <c r="B520" s="736" t="s">
        <v>1555</v>
      </c>
      <c r="C520" s="16" t="s">
        <v>776</v>
      </c>
      <c r="D520" s="20" t="s">
        <v>3087</v>
      </c>
      <c r="E520" s="2" t="s">
        <v>3093</v>
      </c>
      <c r="F520" s="2" t="s">
        <v>3502</v>
      </c>
      <c r="G520" s="17">
        <v>26747618</v>
      </c>
      <c r="H520" s="96" t="s">
        <v>510</v>
      </c>
      <c r="I520" s="2" t="s">
        <v>774</v>
      </c>
      <c r="J520" s="2"/>
      <c r="K520" s="30">
        <v>45180</v>
      </c>
      <c r="L520" s="30">
        <v>45180</v>
      </c>
      <c r="M520" s="63">
        <v>45443</v>
      </c>
      <c r="N520" s="35"/>
      <c r="O520" s="32" t="s">
        <v>3503</v>
      </c>
      <c r="P520" s="30">
        <v>45443</v>
      </c>
      <c r="Q520" s="40">
        <v>63200</v>
      </c>
      <c r="R520" s="775" t="s">
        <v>777</v>
      </c>
      <c r="S520" s="34">
        <v>45181</v>
      </c>
      <c r="T520" s="35"/>
      <c r="U520" s="35"/>
      <c r="V520" s="36" t="s">
        <v>3091</v>
      </c>
      <c r="W520" s="36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12.75" customHeight="1">
      <c r="A521" s="15">
        <v>520</v>
      </c>
      <c r="B521" s="736" t="s">
        <v>1555</v>
      </c>
      <c r="C521" s="16" t="s">
        <v>1959</v>
      </c>
      <c r="D521" s="20" t="s">
        <v>3087</v>
      </c>
      <c r="E521" s="2" t="s">
        <v>3103</v>
      </c>
      <c r="F521" s="2" t="s">
        <v>3502</v>
      </c>
      <c r="G521" s="17">
        <v>26747618</v>
      </c>
      <c r="H521" s="2" t="s">
        <v>180</v>
      </c>
      <c r="I521" s="2" t="s">
        <v>1960</v>
      </c>
      <c r="J521" s="2"/>
      <c r="K521" s="18">
        <v>44587</v>
      </c>
      <c r="L521" s="18">
        <v>44587</v>
      </c>
      <c r="M521" s="18">
        <v>44619</v>
      </c>
      <c r="N521" s="1"/>
      <c r="O521" s="19">
        <v>55200</v>
      </c>
      <c r="P521" s="18">
        <v>44619</v>
      </c>
      <c r="Q521" s="19"/>
      <c r="R521" s="772"/>
      <c r="S521" s="18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12.75" customHeight="1">
      <c r="A522" s="15">
        <v>521</v>
      </c>
      <c r="B522" s="736" t="s">
        <v>1555</v>
      </c>
      <c r="C522" s="16" t="s">
        <v>1623</v>
      </c>
      <c r="D522" s="20" t="s">
        <v>3087</v>
      </c>
      <c r="E522" s="2" t="s">
        <v>3103</v>
      </c>
      <c r="F522" s="2" t="s">
        <v>3502</v>
      </c>
      <c r="G522" s="17">
        <v>26747618</v>
      </c>
      <c r="H522" s="2" t="s">
        <v>180</v>
      </c>
      <c r="I522" s="2" t="s">
        <v>1624</v>
      </c>
      <c r="J522" s="2"/>
      <c r="K522" s="18">
        <v>44273</v>
      </c>
      <c r="L522" s="18">
        <v>44273</v>
      </c>
      <c r="M522" s="18">
        <v>44299</v>
      </c>
      <c r="N522" s="1"/>
      <c r="O522" s="19">
        <v>27600</v>
      </c>
      <c r="P522" s="18">
        <v>44299</v>
      </c>
      <c r="Q522" s="19"/>
      <c r="R522" s="772"/>
      <c r="S522" s="18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12.75" customHeight="1">
      <c r="A523" s="15">
        <v>522</v>
      </c>
      <c r="B523" s="736" t="s">
        <v>1555</v>
      </c>
      <c r="C523" s="16" t="s">
        <v>2108</v>
      </c>
      <c r="D523" s="20" t="s">
        <v>3087</v>
      </c>
      <c r="E523" s="2" t="s">
        <v>3093</v>
      </c>
      <c r="F523" s="2" t="s">
        <v>3502</v>
      </c>
      <c r="G523" s="17">
        <v>26747618</v>
      </c>
      <c r="H523" s="96" t="s">
        <v>510</v>
      </c>
      <c r="I523" s="2" t="s">
        <v>2109</v>
      </c>
      <c r="J523" s="2"/>
      <c r="K523" s="18">
        <v>44621</v>
      </c>
      <c r="L523" s="18">
        <v>44621</v>
      </c>
      <c r="M523" s="18">
        <v>44773</v>
      </c>
      <c r="N523" s="1"/>
      <c r="O523" s="19">
        <v>33120</v>
      </c>
      <c r="P523" s="18">
        <v>44773</v>
      </c>
      <c r="Q523" s="19"/>
      <c r="R523" s="772"/>
      <c r="S523" s="18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12.75" customHeight="1">
      <c r="A524" s="15">
        <v>523</v>
      </c>
      <c r="B524" s="736" t="s">
        <v>1555</v>
      </c>
      <c r="C524" s="16" t="s">
        <v>2687</v>
      </c>
      <c r="D524" s="20" t="s">
        <v>3087</v>
      </c>
      <c r="E524" s="2" t="s">
        <v>3093</v>
      </c>
      <c r="F524" s="2" t="s">
        <v>3502</v>
      </c>
      <c r="G524" s="17">
        <v>26747618</v>
      </c>
      <c r="H524" s="96" t="s">
        <v>510</v>
      </c>
      <c r="I524" s="2" t="s">
        <v>2688</v>
      </c>
      <c r="J524" s="2"/>
      <c r="K524" s="18">
        <v>44986</v>
      </c>
      <c r="L524" s="18">
        <v>44986</v>
      </c>
      <c r="M524" s="18">
        <v>45076</v>
      </c>
      <c r="N524" s="1"/>
      <c r="O524" s="19">
        <v>12640</v>
      </c>
      <c r="P524" s="18">
        <v>45076</v>
      </c>
      <c r="Q524" s="19"/>
      <c r="R524" s="772"/>
      <c r="S524" s="18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12.75" customHeight="1">
      <c r="A525" s="15">
        <v>524</v>
      </c>
      <c r="B525" s="736" t="s">
        <v>1555</v>
      </c>
      <c r="C525" s="16" t="s">
        <v>1769</v>
      </c>
      <c r="D525" s="20" t="s">
        <v>3087</v>
      </c>
      <c r="E525" s="2" t="s">
        <v>3103</v>
      </c>
      <c r="F525" s="2" t="s">
        <v>3502</v>
      </c>
      <c r="G525" s="17">
        <v>26747618</v>
      </c>
      <c r="H525" s="2" t="s">
        <v>180</v>
      </c>
      <c r="I525" s="2" t="s">
        <v>1770</v>
      </c>
      <c r="J525" s="2"/>
      <c r="K525" s="18">
        <v>44418</v>
      </c>
      <c r="L525" s="18">
        <v>44418</v>
      </c>
      <c r="M525" s="18">
        <v>44436</v>
      </c>
      <c r="N525" s="1"/>
      <c r="O525" s="19">
        <v>22080</v>
      </c>
      <c r="P525" s="18">
        <v>44436</v>
      </c>
      <c r="Q525" s="19"/>
      <c r="R525" s="772"/>
      <c r="S525" s="18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12.75" customHeight="1">
      <c r="A526" s="15">
        <v>525</v>
      </c>
      <c r="B526" s="736" t="s">
        <v>1555</v>
      </c>
      <c r="C526" s="16" t="s">
        <v>1807</v>
      </c>
      <c r="D526" s="20" t="s">
        <v>3087</v>
      </c>
      <c r="E526" s="2" t="s">
        <v>3103</v>
      </c>
      <c r="F526" s="2" t="s">
        <v>3502</v>
      </c>
      <c r="G526" s="17">
        <v>26747618</v>
      </c>
      <c r="H526" s="2" t="s">
        <v>180</v>
      </c>
      <c r="I526" s="2" t="s">
        <v>1808</v>
      </c>
      <c r="J526" s="2"/>
      <c r="K526" s="18">
        <v>44455</v>
      </c>
      <c r="L526" s="18">
        <v>44455</v>
      </c>
      <c r="M526" s="18">
        <v>44560</v>
      </c>
      <c r="N526" s="1"/>
      <c r="O526" s="19">
        <v>99360</v>
      </c>
      <c r="P526" s="18">
        <v>44560</v>
      </c>
      <c r="Q526" s="19"/>
      <c r="R526" s="772"/>
      <c r="S526" s="18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12.75" customHeight="1">
      <c r="A527" s="15">
        <v>526</v>
      </c>
      <c r="B527" s="736" t="s">
        <v>1555</v>
      </c>
      <c r="C527" s="16" t="s">
        <v>2290</v>
      </c>
      <c r="D527" s="20" t="s">
        <v>3087</v>
      </c>
      <c r="E527" s="2" t="s">
        <v>3093</v>
      </c>
      <c r="F527" s="2" t="s">
        <v>3502</v>
      </c>
      <c r="G527" s="17">
        <v>26747618</v>
      </c>
      <c r="H527" s="96" t="s">
        <v>510</v>
      </c>
      <c r="I527" s="2" t="s">
        <v>2291</v>
      </c>
      <c r="J527" s="2"/>
      <c r="K527" s="18">
        <v>44783</v>
      </c>
      <c r="L527" s="18">
        <v>44783</v>
      </c>
      <c r="M527" s="18">
        <v>44926</v>
      </c>
      <c r="N527" s="1"/>
      <c r="O527" s="19">
        <v>25280</v>
      </c>
      <c r="P527" s="18">
        <v>44926</v>
      </c>
      <c r="Q527" s="19"/>
      <c r="R527" s="772"/>
      <c r="S527" s="18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12.75" customHeight="1">
      <c r="A528" s="15">
        <v>527</v>
      </c>
      <c r="B528" s="736" t="s">
        <v>1555</v>
      </c>
      <c r="C528" s="16" t="s">
        <v>2337</v>
      </c>
      <c r="D528" s="20" t="s">
        <v>3087</v>
      </c>
      <c r="E528" s="2" t="s">
        <v>3093</v>
      </c>
      <c r="F528" s="2" t="s">
        <v>3502</v>
      </c>
      <c r="G528" s="17">
        <v>26747618</v>
      </c>
      <c r="H528" s="96" t="s">
        <v>510</v>
      </c>
      <c r="I528" s="2" t="s">
        <v>2338</v>
      </c>
      <c r="J528" s="2"/>
      <c r="K528" s="18">
        <v>44818</v>
      </c>
      <c r="L528" s="18">
        <v>44818</v>
      </c>
      <c r="M528" s="18">
        <v>45046</v>
      </c>
      <c r="N528" s="1"/>
      <c r="O528" s="19">
        <v>101120</v>
      </c>
      <c r="P528" s="18">
        <v>45046</v>
      </c>
      <c r="Q528" s="19"/>
      <c r="R528" s="772"/>
      <c r="S528" s="18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12.75" customHeight="1">
      <c r="A529" s="15">
        <v>528</v>
      </c>
      <c r="B529" s="736" t="s">
        <v>1555</v>
      </c>
      <c r="C529" s="16" t="s">
        <v>2339</v>
      </c>
      <c r="D529" s="20" t="s">
        <v>3087</v>
      </c>
      <c r="E529" s="2" t="s">
        <v>3093</v>
      </c>
      <c r="F529" s="2" t="s">
        <v>3502</v>
      </c>
      <c r="G529" s="17">
        <v>26747618</v>
      </c>
      <c r="H529" s="96" t="s">
        <v>510</v>
      </c>
      <c r="I529" s="2" t="s">
        <v>2340</v>
      </c>
      <c r="J529" s="2"/>
      <c r="K529" s="18">
        <v>44818</v>
      </c>
      <c r="L529" s="18">
        <v>44818</v>
      </c>
      <c r="M529" s="18">
        <v>45138</v>
      </c>
      <c r="N529" s="1"/>
      <c r="O529" s="19">
        <v>63200</v>
      </c>
      <c r="P529" s="18">
        <v>45138</v>
      </c>
      <c r="Q529" s="19"/>
      <c r="R529" s="772"/>
      <c r="S529" s="18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12.75" customHeight="1">
      <c r="A530" s="15">
        <v>529</v>
      </c>
      <c r="B530" s="736" t="s">
        <v>1555</v>
      </c>
      <c r="C530" s="16" t="s">
        <v>2937</v>
      </c>
      <c r="D530" s="20" t="s">
        <v>3087</v>
      </c>
      <c r="E530" s="2" t="s">
        <v>3093</v>
      </c>
      <c r="F530" s="2" t="s">
        <v>3502</v>
      </c>
      <c r="G530" s="17">
        <v>26747618</v>
      </c>
      <c r="H530" s="96" t="s">
        <v>510</v>
      </c>
      <c r="I530" s="2" t="s">
        <v>2938</v>
      </c>
      <c r="J530" s="2"/>
      <c r="K530" s="18">
        <v>45154</v>
      </c>
      <c r="L530" s="18">
        <v>45154</v>
      </c>
      <c r="M530" s="18">
        <v>45230</v>
      </c>
      <c r="N530" s="1"/>
      <c r="O530" s="19">
        <v>18960</v>
      </c>
      <c r="P530" s="18">
        <v>45230</v>
      </c>
      <c r="Q530" s="19"/>
      <c r="R530" s="772"/>
      <c r="S530" s="18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12.75" customHeight="1">
      <c r="A531" s="15">
        <v>530</v>
      </c>
      <c r="B531" s="736" t="s">
        <v>1555</v>
      </c>
      <c r="C531" s="16" t="s">
        <v>892</v>
      </c>
      <c r="D531" s="3" t="s">
        <v>3139</v>
      </c>
      <c r="E531" s="2" t="s">
        <v>3117</v>
      </c>
      <c r="F531" s="3" t="s">
        <v>3504</v>
      </c>
      <c r="G531" s="17">
        <v>26746131</v>
      </c>
      <c r="H531" s="2" t="s">
        <v>4610</v>
      </c>
      <c r="I531" s="2" t="s">
        <v>893</v>
      </c>
      <c r="J531" s="2"/>
      <c r="K531" s="30">
        <v>45280</v>
      </c>
      <c r="L531" s="30">
        <v>45280</v>
      </c>
      <c r="M531" s="30">
        <v>45473</v>
      </c>
      <c r="N531" s="35"/>
      <c r="O531" s="32" t="s">
        <v>3505</v>
      </c>
      <c r="P531" s="30">
        <v>45473</v>
      </c>
      <c r="Q531" s="40">
        <v>181500</v>
      </c>
      <c r="R531" s="775" t="s">
        <v>894</v>
      </c>
      <c r="S531" s="34">
        <v>45282</v>
      </c>
      <c r="T531" s="35"/>
      <c r="U531" s="35"/>
      <c r="V531" s="35"/>
      <c r="W531" s="35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12.75" customHeight="1">
      <c r="A532" s="15">
        <v>531</v>
      </c>
      <c r="B532" s="736" t="s">
        <v>1555</v>
      </c>
      <c r="C532" s="16" t="s">
        <v>2314</v>
      </c>
      <c r="D532" s="15" t="s">
        <v>3116</v>
      </c>
      <c r="E532" s="2" t="s">
        <v>3197</v>
      </c>
      <c r="F532" s="2" t="s">
        <v>3504</v>
      </c>
      <c r="G532" s="17">
        <v>26746131</v>
      </c>
      <c r="H532" s="2" t="s">
        <v>546</v>
      </c>
      <c r="I532" s="2" t="s">
        <v>2315</v>
      </c>
      <c r="J532" s="2"/>
      <c r="K532" s="18">
        <v>44823</v>
      </c>
      <c r="L532" s="18">
        <v>44823</v>
      </c>
      <c r="M532" s="18">
        <v>44985</v>
      </c>
      <c r="N532" s="1"/>
      <c r="O532" s="19">
        <v>5597792.9900000002</v>
      </c>
      <c r="P532" s="18">
        <v>44985</v>
      </c>
      <c r="Q532" s="19"/>
      <c r="R532" s="772"/>
      <c r="S532" s="18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12.75" customHeight="1">
      <c r="A533" s="15">
        <v>532</v>
      </c>
      <c r="B533" s="738" t="s">
        <v>3086</v>
      </c>
      <c r="C533" s="16" t="s">
        <v>98</v>
      </c>
      <c r="D533" s="2" t="s">
        <v>3110</v>
      </c>
      <c r="E533" s="3" t="s">
        <v>3228</v>
      </c>
      <c r="F533" s="3" t="s">
        <v>3506</v>
      </c>
      <c r="G533" s="17">
        <v>26725967</v>
      </c>
      <c r="H533" s="2" t="s">
        <v>97</v>
      </c>
      <c r="I533" s="2" t="s">
        <v>99</v>
      </c>
      <c r="K533" s="30">
        <v>43200</v>
      </c>
      <c r="L533" s="30">
        <v>43200</v>
      </c>
      <c r="M533" s="30">
        <v>2958465</v>
      </c>
      <c r="N533" s="35"/>
      <c r="O533" s="32">
        <v>0</v>
      </c>
      <c r="P533" s="30">
        <v>2958465</v>
      </c>
      <c r="Q533" s="40"/>
      <c r="R533" s="31"/>
      <c r="S533" s="37"/>
      <c r="T533" s="35"/>
      <c r="U533" s="35"/>
      <c r="V533" s="35"/>
      <c r="W533" s="35"/>
      <c r="X533" s="57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12.75" customHeight="1">
      <c r="A534" s="15">
        <v>533</v>
      </c>
      <c r="B534" s="736" t="s">
        <v>1555</v>
      </c>
      <c r="C534" s="16" t="s">
        <v>961</v>
      </c>
      <c r="D534" s="20" t="s">
        <v>3087</v>
      </c>
      <c r="E534" s="2" t="s">
        <v>3097</v>
      </c>
      <c r="F534" s="2" t="s">
        <v>3507</v>
      </c>
      <c r="G534" s="17">
        <v>26722933</v>
      </c>
      <c r="H534" s="96" t="s">
        <v>830</v>
      </c>
      <c r="I534" s="2" t="s">
        <v>962</v>
      </c>
      <c r="J534" s="2"/>
      <c r="K534" s="18">
        <v>45310</v>
      </c>
      <c r="L534" s="18">
        <v>45310</v>
      </c>
      <c r="M534" s="18">
        <v>45351</v>
      </c>
      <c r="N534" s="1">
        <v>7</v>
      </c>
      <c r="O534" s="19">
        <v>4200</v>
      </c>
      <c r="P534" s="18">
        <v>45351</v>
      </c>
      <c r="Q534" s="19"/>
      <c r="R534" s="772"/>
      <c r="S534" s="18"/>
      <c r="T534" s="2"/>
      <c r="U534" s="2"/>
      <c r="V534" s="35" t="s">
        <v>3091</v>
      </c>
      <c r="W534" s="35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12.75" customHeight="1">
      <c r="A535" s="15">
        <v>534</v>
      </c>
      <c r="B535" s="736" t="s">
        <v>1555</v>
      </c>
      <c r="C535" s="16" t="s">
        <v>2829</v>
      </c>
      <c r="D535" s="20" t="s">
        <v>3087</v>
      </c>
      <c r="E535" s="2" t="s">
        <v>3097</v>
      </c>
      <c r="F535" s="2" t="s">
        <v>3507</v>
      </c>
      <c r="G535" s="17">
        <v>26722933</v>
      </c>
      <c r="H535" s="96" t="s">
        <v>830</v>
      </c>
      <c r="I535" s="2" t="s">
        <v>2830</v>
      </c>
      <c r="J535" s="2"/>
      <c r="K535" s="18">
        <v>45091</v>
      </c>
      <c r="L535" s="18">
        <v>45091</v>
      </c>
      <c r="M535" s="18">
        <v>45138</v>
      </c>
      <c r="N535" s="1"/>
      <c r="O535" s="19">
        <v>4200</v>
      </c>
      <c r="P535" s="18">
        <v>45138</v>
      </c>
      <c r="Q535" s="19"/>
      <c r="R535" s="772"/>
      <c r="S535" s="18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12.75" customHeight="1">
      <c r="A536" s="15">
        <v>535</v>
      </c>
      <c r="B536" s="736" t="s">
        <v>1555</v>
      </c>
      <c r="C536" s="16" t="s">
        <v>2903</v>
      </c>
      <c r="D536" s="2" t="s">
        <v>3094</v>
      </c>
      <c r="E536" s="2" t="s">
        <v>3197</v>
      </c>
      <c r="F536" s="2" t="s">
        <v>3508</v>
      </c>
      <c r="G536" s="17">
        <v>26700778</v>
      </c>
      <c r="H536" s="2" t="s">
        <v>546</v>
      </c>
      <c r="I536" s="2" t="s">
        <v>2904</v>
      </c>
      <c r="J536" s="2"/>
      <c r="K536" s="18">
        <v>45159</v>
      </c>
      <c r="L536" s="18">
        <v>45159</v>
      </c>
      <c r="M536" s="18">
        <v>45291</v>
      </c>
      <c r="N536" s="1"/>
      <c r="O536" s="19">
        <v>2236799.61</v>
      </c>
      <c r="P536" s="18">
        <v>45291</v>
      </c>
      <c r="Q536" s="19"/>
      <c r="R536" s="772"/>
      <c r="S536" s="18"/>
      <c r="T536" s="2"/>
      <c r="U536" s="2"/>
      <c r="V536" s="2"/>
      <c r="W536" s="2"/>
      <c r="X536" s="2"/>
      <c r="Y536" s="2" t="s">
        <v>4690</v>
      </c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12.75" customHeight="1">
      <c r="A537" s="15">
        <v>536</v>
      </c>
      <c r="B537" s="736" t="s">
        <v>1555</v>
      </c>
      <c r="C537" s="16" t="s">
        <v>681</v>
      </c>
      <c r="D537" s="20" t="s">
        <v>3087</v>
      </c>
      <c r="E537" s="2" t="s">
        <v>3202</v>
      </c>
      <c r="F537" s="3" t="s">
        <v>3509</v>
      </c>
      <c r="G537" s="17">
        <v>26698293</v>
      </c>
      <c r="H537" s="2" t="s">
        <v>677</v>
      </c>
      <c r="I537" s="2" t="s">
        <v>682</v>
      </c>
      <c r="J537" s="2"/>
      <c r="K537" s="30">
        <v>45033</v>
      </c>
      <c r="L537" s="30">
        <v>45033</v>
      </c>
      <c r="M537" s="30">
        <v>45763</v>
      </c>
      <c r="N537" s="35"/>
      <c r="O537" s="32" t="s">
        <v>3510</v>
      </c>
      <c r="P537" s="30">
        <v>45763</v>
      </c>
      <c r="Q537" s="40">
        <v>563500</v>
      </c>
      <c r="R537" s="775" t="s">
        <v>683</v>
      </c>
      <c r="S537" s="34">
        <v>45033</v>
      </c>
      <c r="T537" s="35"/>
      <c r="U537" s="35">
        <v>3</v>
      </c>
      <c r="V537" s="64" t="s">
        <v>4625</v>
      </c>
      <c r="W537" s="64"/>
      <c r="X537" s="25" t="s">
        <v>3368</v>
      </c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12.75" customHeight="1">
      <c r="A538" s="15">
        <v>537</v>
      </c>
      <c r="B538" s="736" t="s">
        <v>1555</v>
      </c>
      <c r="C538" s="16" t="s">
        <v>2182</v>
      </c>
      <c r="D538" s="20" t="s">
        <v>3087</v>
      </c>
      <c r="E538" s="2" t="s">
        <v>3093</v>
      </c>
      <c r="F538" s="2" t="s">
        <v>3511</v>
      </c>
      <c r="G538" s="17">
        <v>26619032</v>
      </c>
      <c r="H538" s="96" t="s">
        <v>510</v>
      </c>
      <c r="I538" s="2" t="s">
        <v>2183</v>
      </c>
      <c r="J538" s="2"/>
      <c r="K538" s="18">
        <v>44732</v>
      </c>
      <c r="L538" s="18">
        <v>44732</v>
      </c>
      <c r="M538" s="18">
        <v>44804</v>
      </c>
      <c r="N538" s="1"/>
      <c r="O538" s="19"/>
      <c r="P538" s="18">
        <v>44804</v>
      </c>
      <c r="Q538" s="19"/>
      <c r="R538" s="772"/>
      <c r="S538" s="18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12.75" customHeight="1">
      <c r="A539" s="15">
        <v>538</v>
      </c>
      <c r="B539" s="736" t="s">
        <v>1555</v>
      </c>
      <c r="C539" s="16" t="s">
        <v>1730</v>
      </c>
      <c r="D539" s="2"/>
      <c r="E539" s="96" t="s">
        <v>5143</v>
      </c>
      <c r="F539" s="2" t="s">
        <v>3512</v>
      </c>
      <c r="G539" s="17">
        <v>26513528</v>
      </c>
      <c r="H539" s="2" t="s">
        <v>1729</v>
      </c>
      <c r="I539" s="2" t="s">
        <v>1731</v>
      </c>
      <c r="J539" s="2"/>
      <c r="K539" s="18">
        <v>44295</v>
      </c>
      <c r="L539" s="18">
        <v>44295</v>
      </c>
      <c r="M539" s="18">
        <v>44397</v>
      </c>
      <c r="N539" s="1"/>
      <c r="O539" s="19">
        <v>8000</v>
      </c>
      <c r="P539" s="18">
        <v>44397</v>
      </c>
      <c r="Q539" s="19"/>
      <c r="R539" s="772"/>
      <c r="S539" s="18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12.75" customHeight="1">
      <c r="A540" s="15">
        <v>539</v>
      </c>
      <c r="B540" s="736" t="s">
        <v>1555</v>
      </c>
      <c r="C540" s="16" t="s">
        <v>1899</v>
      </c>
      <c r="D540" s="2"/>
      <c r="E540" s="96" t="s">
        <v>5143</v>
      </c>
      <c r="F540" s="2" t="s">
        <v>3512</v>
      </c>
      <c r="G540" s="17">
        <v>26513528</v>
      </c>
      <c r="H540" s="2" t="s">
        <v>1729</v>
      </c>
      <c r="I540" s="2" t="s">
        <v>1900</v>
      </c>
      <c r="J540" s="2"/>
      <c r="K540" s="18">
        <v>44557</v>
      </c>
      <c r="L540" s="18">
        <v>44557</v>
      </c>
      <c r="M540" s="18">
        <v>44592</v>
      </c>
      <c r="N540" s="1"/>
      <c r="O540" s="19">
        <v>1</v>
      </c>
      <c r="P540" s="18">
        <v>44592</v>
      </c>
      <c r="Q540" s="19"/>
      <c r="R540" s="772"/>
      <c r="S540" s="18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12.75" customHeight="1">
      <c r="A541" s="15">
        <v>540</v>
      </c>
      <c r="B541" s="738" t="s">
        <v>3086</v>
      </c>
      <c r="C541" s="16" t="s">
        <v>67</v>
      </c>
      <c r="D541" s="2" t="s">
        <v>3110</v>
      </c>
      <c r="E541" s="3" t="s">
        <v>3123</v>
      </c>
      <c r="F541" s="3" t="s">
        <v>3513</v>
      </c>
      <c r="G541" s="17">
        <v>26495015</v>
      </c>
      <c r="H541" s="2" t="s">
        <v>250</v>
      </c>
      <c r="I541" s="2" t="s">
        <v>68</v>
      </c>
      <c r="J541" s="2" t="s">
        <v>69</v>
      </c>
      <c r="K541" s="30">
        <v>42916</v>
      </c>
      <c r="L541" s="30">
        <v>42917</v>
      </c>
      <c r="M541" s="30">
        <v>47634</v>
      </c>
      <c r="N541" s="31">
        <v>1</v>
      </c>
      <c r="O541" s="32" t="s">
        <v>3514</v>
      </c>
      <c r="P541" s="30">
        <v>47634</v>
      </c>
      <c r="Q541" s="32" t="s">
        <v>3515</v>
      </c>
      <c r="R541" s="31" t="s">
        <v>70</v>
      </c>
      <c r="S541" s="30">
        <v>42968</v>
      </c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12.75" customHeight="1">
      <c r="A542" s="15">
        <v>541</v>
      </c>
      <c r="B542" s="738" t="s">
        <v>3086</v>
      </c>
      <c r="C542" s="16" t="s">
        <v>136</v>
      </c>
      <c r="D542" s="2" t="s">
        <v>3110</v>
      </c>
      <c r="E542" s="2" t="s">
        <v>3184</v>
      </c>
      <c r="F542" s="3" t="s">
        <v>3513</v>
      </c>
      <c r="G542" s="17">
        <v>26495015</v>
      </c>
      <c r="H542" s="2" t="s">
        <v>255</v>
      </c>
      <c r="I542" s="2" t="s">
        <v>137</v>
      </c>
      <c r="K542" s="30">
        <v>43368</v>
      </c>
      <c r="L542" s="30">
        <v>43368</v>
      </c>
      <c r="M542" s="30">
        <v>46022</v>
      </c>
      <c r="N542" s="35"/>
      <c r="O542" s="32">
        <v>0</v>
      </c>
      <c r="P542" s="30">
        <v>46022</v>
      </c>
      <c r="Q542" s="40"/>
      <c r="R542" s="31"/>
      <c r="S542" s="37"/>
      <c r="T542" s="35"/>
      <c r="U542" s="35"/>
      <c r="V542" s="2" t="s">
        <v>4625</v>
      </c>
      <c r="W542" s="2" t="s">
        <v>4625</v>
      </c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12.75" customHeight="1">
      <c r="A543" s="15">
        <v>542</v>
      </c>
      <c r="B543" s="736" t="s">
        <v>3086</v>
      </c>
      <c r="C543" s="16" t="s">
        <v>721</v>
      </c>
      <c r="D543" s="2" t="s">
        <v>3094</v>
      </c>
      <c r="E543" s="3" t="s">
        <v>3095</v>
      </c>
      <c r="F543" s="750" t="s">
        <v>3513</v>
      </c>
      <c r="G543" s="17">
        <v>26495015</v>
      </c>
      <c r="H543" s="2" t="s">
        <v>189</v>
      </c>
      <c r="I543" s="655" t="s">
        <v>722</v>
      </c>
      <c r="J543" s="2"/>
      <c r="K543" s="30">
        <v>45082</v>
      </c>
      <c r="L543" s="30">
        <v>45082</v>
      </c>
      <c r="M543" s="30">
        <v>46542</v>
      </c>
      <c r="N543" s="35"/>
      <c r="O543" s="40"/>
      <c r="P543" s="30">
        <v>46542</v>
      </c>
      <c r="Q543" s="40">
        <v>0</v>
      </c>
      <c r="R543" s="775" t="s">
        <v>723</v>
      </c>
      <c r="S543" s="34">
        <v>45082</v>
      </c>
      <c r="T543" s="35"/>
      <c r="U543" s="107">
        <v>3</v>
      </c>
      <c r="V543" s="15"/>
      <c r="W543" s="15" t="s">
        <v>4625</v>
      </c>
      <c r="X543" s="62" t="s">
        <v>3516</v>
      </c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12.75" customHeight="1">
      <c r="A544" s="15">
        <v>543</v>
      </c>
      <c r="B544" s="736" t="s">
        <v>1555</v>
      </c>
      <c r="C544" s="16" t="s">
        <v>2548</v>
      </c>
      <c r="D544" s="20" t="s">
        <v>3087</v>
      </c>
      <c r="E544" s="2" t="s">
        <v>3097</v>
      </c>
      <c r="F544" s="3" t="s">
        <v>3513</v>
      </c>
      <c r="G544" s="17">
        <v>26495015</v>
      </c>
      <c r="H544" s="96" t="s">
        <v>830</v>
      </c>
      <c r="I544" s="2" t="s">
        <v>2549</v>
      </c>
      <c r="J544" s="2"/>
      <c r="K544" s="18">
        <v>44925</v>
      </c>
      <c r="L544" s="18">
        <v>44926</v>
      </c>
      <c r="M544" s="18">
        <v>45016</v>
      </c>
      <c r="N544" s="1"/>
      <c r="O544" s="19">
        <v>3500</v>
      </c>
      <c r="P544" s="18">
        <v>45016</v>
      </c>
      <c r="Q544" s="19"/>
      <c r="R544" s="772"/>
      <c r="S544" s="18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12.75" customHeight="1">
      <c r="A545" s="15">
        <v>544</v>
      </c>
      <c r="B545" s="736" t="s">
        <v>1555</v>
      </c>
      <c r="C545" s="16" t="s">
        <v>2059</v>
      </c>
      <c r="D545" s="20" t="s">
        <v>3087</v>
      </c>
      <c r="E545" s="2" t="s">
        <v>3097</v>
      </c>
      <c r="F545" s="3" t="s">
        <v>3513</v>
      </c>
      <c r="G545" s="17">
        <v>26495015</v>
      </c>
      <c r="H545" s="96" t="s">
        <v>830</v>
      </c>
      <c r="I545" s="2" t="s">
        <v>2060</v>
      </c>
      <c r="J545" s="2"/>
      <c r="K545" s="18">
        <v>44670</v>
      </c>
      <c r="L545" s="18">
        <v>44670</v>
      </c>
      <c r="M545" s="18">
        <v>44773</v>
      </c>
      <c r="N545" s="1"/>
      <c r="O545" s="19">
        <v>3500</v>
      </c>
      <c r="P545" s="18">
        <v>44773</v>
      </c>
      <c r="Q545" s="19"/>
      <c r="R545" s="772"/>
      <c r="S545" s="18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12.75" customHeight="1">
      <c r="A546" s="15">
        <v>545</v>
      </c>
      <c r="B546" s="736" t="s">
        <v>1555</v>
      </c>
      <c r="C546" s="16" t="s">
        <v>2434</v>
      </c>
      <c r="D546" s="20" t="s">
        <v>3087</v>
      </c>
      <c r="E546" s="2" t="s">
        <v>3097</v>
      </c>
      <c r="F546" s="3" t="s">
        <v>3513</v>
      </c>
      <c r="G546" s="17">
        <v>26495015</v>
      </c>
      <c r="H546" s="96" t="s">
        <v>830</v>
      </c>
      <c r="I546" s="2" t="s">
        <v>2435</v>
      </c>
      <c r="J546" s="2"/>
      <c r="K546" s="18">
        <v>44853</v>
      </c>
      <c r="L546" s="18">
        <v>44853</v>
      </c>
      <c r="M546" s="18">
        <v>44957</v>
      </c>
      <c r="N546" s="1"/>
      <c r="O546" s="19">
        <v>3500</v>
      </c>
      <c r="P546" s="18">
        <v>44957</v>
      </c>
      <c r="Q546" s="19"/>
      <c r="R546" s="772"/>
      <c r="S546" s="18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12.75" customHeight="1">
      <c r="A547" s="15">
        <v>546</v>
      </c>
      <c r="B547" s="736" t="s">
        <v>1555</v>
      </c>
      <c r="C547" s="16" t="s">
        <v>2064</v>
      </c>
      <c r="D547" s="20" t="s">
        <v>3087</v>
      </c>
      <c r="E547" s="2" t="s">
        <v>3093</v>
      </c>
      <c r="F547" s="2" t="s">
        <v>3517</v>
      </c>
      <c r="G547" s="17">
        <v>26474638</v>
      </c>
      <c r="H547" s="96" t="s">
        <v>510</v>
      </c>
      <c r="I547" s="2" t="s">
        <v>2065</v>
      </c>
      <c r="J547" s="2"/>
      <c r="K547" s="18">
        <v>44662</v>
      </c>
      <c r="L547" s="18">
        <v>44662</v>
      </c>
      <c r="M547" s="18">
        <v>44773</v>
      </c>
      <c r="N547" s="1"/>
      <c r="O547" s="19">
        <v>13160</v>
      </c>
      <c r="P547" s="18">
        <v>44773</v>
      </c>
      <c r="Q547" s="19"/>
      <c r="R547" s="772"/>
      <c r="S547" s="18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12.75" customHeight="1">
      <c r="A548" s="15">
        <v>547</v>
      </c>
      <c r="B548" s="736" t="s">
        <v>1555</v>
      </c>
      <c r="C548" s="16" t="s">
        <v>2790</v>
      </c>
      <c r="D548" s="20" t="s">
        <v>3087</v>
      </c>
      <c r="E548" s="2" t="s">
        <v>3093</v>
      </c>
      <c r="F548" s="2" t="s">
        <v>3517</v>
      </c>
      <c r="G548" s="17">
        <v>26474638</v>
      </c>
      <c r="H548" s="96" t="s">
        <v>510</v>
      </c>
      <c r="I548" s="2" t="s">
        <v>2791</v>
      </c>
      <c r="J548" s="2"/>
      <c r="K548" s="18">
        <v>45075</v>
      </c>
      <c r="L548" s="18">
        <v>45075</v>
      </c>
      <c r="M548" s="18">
        <v>45138</v>
      </c>
      <c r="N548" s="1"/>
      <c r="O548" s="19">
        <v>13660</v>
      </c>
      <c r="P548" s="18">
        <v>45138</v>
      </c>
      <c r="Q548" s="19"/>
      <c r="R548" s="772"/>
      <c r="S548" s="18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12.75" customHeight="1">
      <c r="A549" s="15">
        <v>548</v>
      </c>
      <c r="B549" s="736" t="s">
        <v>3086</v>
      </c>
      <c r="C549" s="16" t="s">
        <v>439</v>
      </c>
      <c r="D549" s="21" t="s">
        <v>3116</v>
      </c>
      <c r="E549" s="2" t="s">
        <v>3518</v>
      </c>
      <c r="F549" s="2" t="s">
        <v>3519</v>
      </c>
      <c r="G549" s="17">
        <v>26461129</v>
      </c>
      <c r="H549" s="2" t="s">
        <v>438</v>
      </c>
      <c r="I549" s="2" t="s">
        <v>440</v>
      </c>
      <c r="J549" s="2"/>
      <c r="K549" s="18">
        <v>44713</v>
      </c>
      <c r="L549" s="18">
        <v>44713</v>
      </c>
      <c r="M549" s="18">
        <v>2958465</v>
      </c>
      <c r="N549" s="1">
        <v>3</v>
      </c>
      <c r="O549" s="19">
        <v>28512</v>
      </c>
      <c r="P549" s="18">
        <v>2958465</v>
      </c>
      <c r="Q549" s="19"/>
      <c r="R549" s="772"/>
      <c r="S549" s="18"/>
      <c r="T549" s="2"/>
      <c r="U549" s="3">
        <v>3</v>
      </c>
      <c r="V549" s="2" t="s">
        <v>4625</v>
      </c>
      <c r="W549" s="2" t="s">
        <v>4625</v>
      </c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12.75" customHeight="1">
      <c r="A550" s="15">
        <v>549</v>
      </c>
      <c r="B550" s="736" t="s">
        <v>3086</v>
      </c>
      <c r="C550" s="16" t="s">
        <v>701</v>
      </c>
      <c r="D550" s="21" t="s">
        <v>3116</v>
      </c>
      <c r="E550" s="2" t="s">
        <v>3520</v>
      </c>
      <c r="F550" s="2" t="s">
        <v>3521</v>
      </c>
      <c r="G550" s="17">
        <v>26439395</v>
      </c>
      <c r="H550" s="2" t="s">
        <v>700</v>
      </c>
      <c r="I550" s="2" t="s">
        <v>702</v>
      </c>
      <c r="J550" s="2"/>
      <c r="K550" s="30">
        <v>45042</v>
      </c>
      <c r="L550" s="30">
        <v>45042</v>
      </c>
      <c r="M550" s="30">
        <v>2958465</v>
      </c>
      <c r="N550" s="35"/>
      <c r="O550" s="32" t="s">
        <v>3522</v>
      </c>
      <c r="P550" s="30">
        <v>2958465</v>
      </c>
      <c r="Q550" s="40">
        <v>119790</v>
      </c>
      <c r="R550" s="777" t="s">
        <v>703</v>
      </c>
      <c r="S550" s="65">
        <v>45043</v>
      </c>
      <c r="T550" s="35"/>
      <c r="U550" s="3">
        <v>3</v>
      </c>
      <c r="V550" s="35" t="s">
        <v>4625</v>
      </c>
      <c r="W550" s="35" t="s">
        <v>4625</v>
      </c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12.75" customHeight="1">
      <c r="A551" s="15">
        <v>550</v>
      </c>
      <c r="B551" s="738" t="s">
        <v>3086</v>
      </c>
      <c r="C551" s="16" t="s">
        <v>204</v>
      </c>
      <c r="D551" s="21" t="s">
        <v>3116</v>
      </c>
      <c r="E551" s="3" t="s">
        <v>3117</v>
      </c>
      <c r="F551" s="3" t="s">
        <v>3521</v>
      </c>
      <c r="G551" s="17">
        <v>26439395</v>
      </c>
      <c r="H551" s="2" t="s">
        <v>203</v>
      </c>
      <c r="I551" s="2" t="s">
        <v>205</v>
      </c>
      <c r="K551" s="30">
        <v>43776</v>
      </c>
      <c r="L551" s="30">
        <v>43776</v>
      </c>
      <c r="M551" s="30">
        <v>2958465</v>
      </c>
      <c r="N551" s="31">
        <v>2</v>
      </c>
      <c r="O551" s="32">
        <v>1.2</v>
      </c>
      <c r="P551" s="30">
        <v>2958465</v>
      </c>
      <c r="Q551" s="40"/>
      <c r="R551" s="31"/>
      <c r="S551" s="37"/>
      <c r="T551" s="35"/>
      <c r="U551" s="3">
        <v>3</v>
      </c>
      <c r="V551" s="35" t="s">
        <v>4625</v>
      </c>
      <c r="W551" s="35" t="s">
        <v>4625</v>
      </c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12.75" customHeight="1">
      <c r="A552" s="15">
        <v>551</v>
      </c>
      <c r="B552" s="736" t="s">
        <v>3086</v>
      </c>
      <c r="C552" s="16" t="s">
        <v>897</v>
      </c>
      <c r="D552" s="2" t="s">
        <v>3110</v>
      </c>
      <c r="E552" s="3" t="s">
        <v>3141</v>
      </c>
      <c r="F552" s="2" t="s">
        <v>3523</v>
      </c>
      <c r="G552" s="17">
        <v>26429683</v>
      </c>
      <c r="H552" s="2" t="s">
        <v>5255</v>
      </c>
      <c r="I552" s="2" t="s">
        <v>898</v>
      </c>
      <c r="J552" s="2"/>
      <c r="K552" s="30">
        <v>45278</v>
      </c>
      <c r="L552" s="30">
        <v>45292</v>
      </c>
      <c r="M552" s="30">
        <v>46022</v>
      </c>
      <c r="N552" s="35"/>
      <c r="O552" s="32" t="s">
        <v>3524</v>
      </c>
      <c r="P552" s="30">
        <v>46022</v>
      </c>
      <c r="Q552" s="40">
        <v>120000</v>
      </c>
      <c r="R552" s="777" t="s">
        <v>899</v>
      </c>
      <c r="S552" s="65">
        <v>45295</v>
      </c>
      <c r="T552" s="35"/>
      <c r="U552" s="2">
        <v>3</v>
      </c>
      <c r="V552" s="3" t="s">
        <v>4625</v>
      </c>
      <c r="W552" s="3" t="s">
        <v>4625</v>
      </c>
      <c r="X552" s="57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12.75" customHeight="1">
      <c r="A553" s="15">
        <v>552</v>
      </c>
      <c r="B553" s="736" t="s">
        <v>1555</v>
      </c>
      <c r="C553" s="16" t="s">
        <v>1984</v>
      </c>
      <c r="D553" s="20" t="s">
        <v>3110</v>
      </c>
      <c r="E553" s="2" t="s">
        <v>3141</v>
      </c>
      <c r="F553" s="2" t="s">
        <v>3523</v>
      </c>
      <c r="G553" s="17">
        <v>26429683</v>
      </c>
      <c r="H553" s="2" t="s">
        <v>5255</v>
      </c>
      <c r="I553" s="2" t="s">
        <v>1985</v>
      </c>
      <c r="J553" s="2"/>
      <c r="K553" s="18">
        <v>44603</v>
      </c>
      <c r="L553" s="18">
        <v>44603</v>
      </c>
      <c r="M553" s="18">
        <v>45291</v>
      </c>
      <c r="N553" s="1"/>
      <c r="O553" s="19">
        <v>100000</v>
      </c>
      <c r="P553" s="18">
        <v>45291</v>
      </c>
      <c r="Q553" s="19"/>
      <c r="R553" s="772"/>
      <c r="S553" s="18"/>
      <c r="T553" s="2"/>
      <c r="U553" s="2"/>
      <c r="V553" t="s">
        <v>4625</v>
      </c>
      <c r="W553" t="s">
        <v>4625</v>
      </c>
      <c r="X553" s="57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12.75" customHeight="1">
      <c r="A554" s="15">
        <v>553</v>
      </c>
      <c r="B554" s="738" t="s">
        <v>3086</v>
      </c>
      <c r="C554" s="16" t="s">
        <v>1279</v>
      </c>
      <c r="D554" s="21" t="s">
        <v>3116</v>
      </c>
      <c r="E554" s="3" t="s">
        <v>3083</v>
      </c>
      <c r="F554" s="3" t="s">
        <v>3525</v>
      </c>
      <c r="G554" s="17">
        <v>26429632</v>
      </c>
      <c r="H554" s="2" t="s">
        <v>1280</v>
      </c>
      <c r="I554" s="2" t="s">
        <v>1281</v>
      </c>
      <c r="J554" s="2" t="s">
        <v>1282</v>
      </c>
      <c r="K554" s="30">
        <v>41463</v>
      </c>
      <c r="L554" s="30">
        <v>41463</v>
      </c>
      <c r="M554" s="30">
        <v>2958465</v>
      </c>
      <c r="N554" s="35"/>
      <c r="O554" s="32">
        <v>39930</v>
      </c>
      <c r="P554" s="30">
        <v>2958465</v>
      </c>
      <c r="Q554" s="32"/>
      <c r="R554" s="31"/>
      <c r="S554" s="37"/>
      <c r="T554" s="35"/>
      <c r="U554" s="3">
        <v>3</v>
      </c>
      <c r="V554" s="64" t="s">
        <v>4625</v>
      </c>
      <c r="W554" s="64" t="s">
        <v>4625</v>
      </c>
      <c r="X554" s="57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12.75" customHeight="1">
      <c r="A555" s="15">
        <v>554</v>
      </c>
      <c r="B555" s="738" t="s">
        <v>3086</v>
      </c>
      <c r="C555" s="16" t="s">
        <v>1283</v>
      </c>
      <c r="D555" s="21" t="s">
        <v>3116</v>
      </c>
      <c r="E555" s="3" t="s">
        <v>3083</v>
      </c>
      <c r="F555" s="3" t="s">
        <v>3525</v>
      </c>
      <c r="G555" s="17">
        <v>26429632</v>
      </c>
      <c r="H555" s="2" t="s">
        <v>1280</v>
      </c>
      <c r="I555" s="2" t="s">
        <v>1284</v>
      </c>
      <c r="J555" s="2" t="s">
        <v>1282</v>
      </c>
      <c r="K555" s="30">
        <v>41463</v>
      </c>
      <c r="L555" s="30">
        <v>41463</v>
      </c>
      <c r="M555" s="30">
        <v>2958465</v>
      </c>
      <c r="N555" s="35"/>
      <c r="O555" s="33">
        <v>38720</v>
      </c>
      <c r="P555" s="30">
        <v>2958465</v>
      </c>
      <c r="Q555" s="53"/>
      <c r="R555" s="31"/>
      <c r="S555" s="37"/>
      <c r="T555" s="35"/>
      <c r="U555" s="3">
        <v>3</v>
      </c>
      <c r="V555" s="64" t="s">
        <v>4625</v>
      </c>
      <c r="W555" s="64" t="s">
        <v>4631</v>
      </c>
      <c r="X555" s="2"/>
      <c r="Y555" s="2" t="s">
        <v>4715</v>
      </c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12.75" customHeight="1">
      <c r="A556" s="15">
        <v>555</v>
      </c>
      <c r="B556" s="738" t="s">
        <v>3086</v>
      </c>
      <c r="C556" s="16" t="s">
        <v>1285</v>
      </c>
      <c r="D556" s="21" t="s">
        <v>3116</v>
      </c>
      <c r="E556" s="3" t="s">
        <v>3083</v>
      </c>
      <c r="F556" s="3" t="s">
        <v>3525</v>
      </c>
      <c r="G556" s="17">
        <v>26429632</v>
      </c>
      <c r="H556" s="2" t="s">
        <v>1280</v>
      </c>
      <c r="I556" s="2" t="s">
        <v>1286</v>
      </c>
      <c r="J556" s="2" t="s">
        <v>1282</v>
      </c>
      <c r="K556" s="30">
        <v>41463</v>
      </c>
      <c r="L556" s="30">
        <v>41463</v>
      </c>
      <c r="M556" s="30">
        <v>2958465</v>
      </c>
      <c r="N556" s="35"/>
      <c r="O556" s="33">
        <v>36300</v>
      </c>
      <c r="P556" s="30">
        <v>2958465</v>
      </c>
      <c r="Q556" s="32"/>
      <c r="R556" s="31"/>
      <c r="S556" s="37"/>
      <c r="T556" s="35"/>
      <c r="U556" s="3">
        <v>3</v>
      </c>
      <c r="V556" s="64" t="s">
        <v>4625</v>
      </c>
      <c r="W556" s="64" t="s">
        <v>4631</v>
      </c>
      <c r="X556" s="2"/>
      <c r="Y556" s="2" t="s">
        <v>4715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12.75" customHeight="1">
      <c r="A557" s="15">
        <v>556</v>
      </c>
      <c r="B557" s="738" t="s">
        <v>3086</v>
      </c>
      <c r="C557" s="16" t="s">
        <v>1295</v>
      </c>
      <c r="D557" s="21" t="s">
        <v>3116</v>
      </c>
      <c r="E557" s="3" t="s">
        <v>3083</v>
      </c>
      <c r="F557" s="3" t="s">
        <v>3525</v>
      </c>
      <c r="G557" s="17">
        <v>26429632</v>
      </c>
      <c r="H557" s="2" t="s">
        <v>1280</v>
      </c>
      <c r="I557" s="2" t="s">
        <v>1296</v>
      </c>
      <c r="J557" s="2" t="s">
        <v>1282</v>
      </c>
      <c r="K557" s="30">
        <v>41554</v>
      </c>
      <c r="L557" s="30">
        <v>41554</v>
      </c>
      <c r="M557" s="30">
        <v>2958465</v>
      </c>
      <c r="N557" s="35"/>
      <c r="O557" s="49">
        <v>36300</v>
      </c>
      <c r="P557" s="30">
        <v>2958465</v>
      </c>
      <c r="Q557" s="53"/>
      <c r="R557" s="31"/>
      <c r="S557" s="37"/>
      <c r="T557" s="35"/>
      <c r="U557" s="3">
        <v>3</v>
      </c>
      <c r="V557" s="64" t="s">
        <v>4625</v>
      </c>
      <c r="W557" s="64" t="s">
        <v>4631</v>
      </c>
      <c r="X557" s="2"/>
      <c r="Y557" s="2" t="s">
        <v>4715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12.75" customHeight="1">
      <c r="A558" s="15">
        <v>557</v>
      </c>
      <c r="B558" s="738" t="s">
        <v>1555</v>
      </c>
      <c r="C558" s="16" t="s">
        <v>1433</v>
      </c>
      <c r="D558" s="15" t="s">
        <v>3116</v>
      </c>
      <c r="E558" s="3" t="s">
        <v>3526</v>
      </c>
      <c r="F558" s="2" t="s">
        <v>3527</v>
      </c>
      <c r="G558" s="17">
        <v>26298953</v>
      </c>
      <c r="H558" s="2" t="s">
        <v>1434</v>
      </c>
      <c r="I558" s="2" t="s">
        <v>1435</v>
      </c>
      <c r="K558" s="30">
        <v>42212</v>
      </c>
      <c r="L558" s="30">
        <v>42212</v>
      </c>
      <c r="M558" s="30">
        <v>42302</v>
      </c>
      <c r="N558" s="35">
        <v>7</v>
      </c>
      <c r="O558" s="32" t="s">
        <v>3528</v>
      </c>
      <c r="P558" s="30">
        <v>42302</v>
      </c>
      <c r="Q558" s="60"/>
      <c r="R558" s="31"/>
      <c r="S558" s="37"/>
      <c r="T558" s="35"/>
      <c r="U558" s="35"/>
      <c r="V558" s="2" t="s">
        <v>3091</v>
      </c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12.75" customHeight="1">
      <c r="A559" s="15">
        <v>558</v>
      </c>
      <c r="B559" s="738" t="s">
        <v>1555</v>
      </c>
      <c r="C559" s="16" t="s">
        <v>1436</v>
      </c>
      <c r="D559" s="15" t="s">
        <v>3116</v>
      </c>
      <c r="E559" s="3" t="s">
        <v>3526</v>
      </c>
      <c r="F559" s="2" t="s">
        <v>3527</v>
      </c>
      <c r="G559" s="17">
        <v>26298953</v>
      </c>
      <c r="H559" s="2" t="s">
        <v>1434</v>
      </c>
      <c r="I559" s="2" t="s">
        <v>1437</v>
      </c>
      <c r="K559" s="30">
        <v>42212</v>
      </c>
      <c r="L559" s="30">
        <v>42212</v>
      </c>
      <c r="M559" s="30">
        <v>44039</v>
      </c>
      <c r="N559" s="35"/>
      <c r="O559" s="32" t="s">
        <v>3529</v>
      </c>
      <c r="P559" s="30">
        <v>44039</v>
      </c>
      <c r="Q559" s="32"/>
      <c r="R559" s="31"/>
      <c r="S559" s="37"/>
      <c r="T559" s="35"/>
      <c r="U559" s="35"/>
      <c r="V559" s="2" t="s">
        <v>3091</v>
      </c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12.75" customHeight="1">
      <c r="A560" s="15">
        <v>559</v>
      </c>
      <c r="B560" s="736" t="s">
        <v>1555</v>
      </c>
      <c r="C560" s="16" t="s">
        <v>386</v>
      </c>
      <c r="D560" s="20" t="s">
        <v>3087</v>
      </c>
      <c r="E560" s="2" t="s">
        <v>3202</v>
      </c>
      <c r="F560" s="2" t="s">
        <v>3530</v>
      </c>
      <c r="G560" s="17">
        <v>26272857</v>
      </c>
      <c r="H560" s="2" t="s">
        <v>385</v>
      </c>
      <c r="I560" s="2" t="s">
        <v>387</v>
      </c>
      <c r="J560" s="2"/>
      <c r="K560" s="30">
        <v>44602</v>
      </c>
      <c r="L560" s="30">
        <v>44602</v>
      </c>
      <c r="M560" s="30">
        <v>45910</v>
      </c>
      <c r="N560" s="35">
        <v>6</v>
      </c>
      <c r="O560" s="32">
        <v>2919972</v>
      </c>
      <c r="P560" s="30">
        <v>45910</v>
      </c>
      <c r="Q560" s="40">
        <v>2413200</v>
      </c>
      <c r="R560" s="775" t="s">
        <v>388</v>
      </c>
      <c r="S560" s="34">
        <v>44602</v>
      </c>
      <c r="T560" s="35"/>
      <c r="U560" s="35"/>
      <c r="V560" s="64" t="s">
        <v>4625</v>
      </c>
      <c r="W560" s="64"/>
      <c r="X560" s="25" t="s">
        <v>3368</v>
      </c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12.75" customHeight="1">
      <c r="A561" s="15">
        <v>560</v>
      </c>
      <c r="B561" s="738" t="s">
        <v>3086</v>
      </c>
      <c r="C561" s="16" t="s">
        <v>1006</v>
      </c>
      <c r="D561" s="21" t="s">
        <v>3116</v>
      </c>
      <c r="E561" s="15" t="s">
        <v>3531</v>
      </c>
      <c r="F561" s="3" t="s">
        <v>3532</v>
      </c>
      <c r="G561" s="17">
        <v>26226511</v>
      </c>
      <c r="H561" s="2" t="s">
        <v>1007</v>
      </c>
      <c r="I561" s="2" t="s">
        <v>1008</v>
      </c>
      <c r="J561" s="2" t="s">
        <v>1009</v>
      </c>
      <c r="K561" s="30">
        <v>38005</v>
      </c>
      <c r="L561" s="30">
        <v>38005</v>
      </c>
      <c r="M561" s="55" t="s">
        <v>3414</v>
      </c>
      <c r="N561" s="35"/>
      <c r="O561" s="53">
        <v>0</v>
      </c>
      <c r="P561" s="55" t="s">
        <v>3414</v>
      </c>
      <c r="Q561" s="32">
        <v>0</v>
      </c>
      <c r="R561" s="31" t="s">
        <v>1010</v>
      </c>
      <c r="S561" s="30">
        <v>42662</v>
      </c>
      <c r="T561" s="35"/>
      <c r="U561" s="3">
        <v>3</v>
      </c>
      <c r="V561" s="66" t="s">
        <v>4625</v>
      </c>
      <c r="W561" s="66" t="s">
        <v>4631</v>
      </c>
      <c r="X561" s="67" t="s">
        <v>3533</v>
      </c>
      <c r="Y561" s="25" t="s">
        <v>4716</v>
      </c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12.75" customHeight="1">
      <c r="A562" s="15">
        <v>561</v>
      </c>
      <c r="B562" s="738" t="s">
        <v>3086</v>
      </c>
      <c r="C562" s="16" t="s">
        <v>1356</v>
      </c>
      <c r="D562" s="2" t="s">
        <v>3110</v>
      </c>
      <c r="E562" s="3" t="s">
        <v>3141</v>
      </c>
      <c r="F562" s="2" t="s">
        <v>3534</v>
      </c>
      <c r="G562" s="17">
        <v>26214059</v>
      </c>
      <c r="H562" s="2" t="s">
        <v>1012</v>
      </c>
      <c r="I562" s="2" t="s">
        <v>1357</v>
      </c>
      <c r="J562" s="2" t="s">
        <v>1357</v>
      </c>
      <c r="K562" s="30">
        <v>41883</v>
      </c>
      <c r="L562" s="30">
        <v>41883</v>
      </c>
      <c r="M562" s="30">
        <v>46265</v>
      </c>
      <c r="N562" s="35"/>
      <c r="O562" s="32" t="s">
        <v>3535</v>
      </c>
      <c r="P562" s="30">
        <v>46265</v>
      </c>
      <c r="Q562" s="32" t="s">
        <v>3536</v>
      </c>
      <c r="R562" s="31" t="s">
        <v>1358</v>
      </c>
      <c r="S562" s="30">
        <v>42783</v>
      </c>
      <c r="T562" s="35"/>
      <c r="U562" s="2">
        <v>3</v>
      </c>
      <c r="V562" s="3" t="s">
        <v>4625</v>
      </c>
      <c r="W562" s="3" t="s">
        <v>4625</v>
      </c>
      <c r="X562" s="2"/>
      <c r="Y562" s="2" t="s">
        <v>4781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12.75" customHeight="1">
      <c r="A563" s="15">
        <v>562</v>
      </c>
      <c r="B563" s="738" t="s">
        <v>3086</v>
      </c>
      <c r="C563" s="16" t="s">
        <v>1213</v>
      </c>
      <c r="D563" s="2" t="s">
        <v>3110</v>
      </c>
      <c r="E563" s="3" t="s">
        <v>3141</v>
      </c>
      <c r="F563" s="3" t="s">
        <v>3537</v>
      </c>
      <c r="G563" s="17">
        <v>26196620</v>
      </c>
      <c r="H563" s="2" t="s">
        <v>1057</v>
      </c>
      <c r="I563" s="2" t="s">
        <v>1214</v>
      </c>
      <c r="J563" s="2" t="s">
        <v>1215</v>
      </c>
      <c r="K563" s="30">
        <v>40668</v>
      </c>
      <c r="L563" s="30">
        <v>40668</v>
      </c>
      <c r="M563" s="63">
        <v>2958465</v>
      </c>
      <c r="N563" s="68">
        <v>2</v>
      </c>
      <c r="O563" s="32">
        <v>0</v>
      </c>
      <c r="P563" s="63">
        <v>2958465</v>
      </c>
      <c r="Q563" s="32"/>
      <c r="R563" s="31"/>
      <c r="S563" s="37"/>
      <c r="T563" s="35"/>
      <c r="U563" s="2">
        <v>3</v>
      </c>
      <c r="V563" s="3" t="s">
        <v>4625</v>
      </c>
      <c r="W563" s="3" t="s">
        <v>4625</v>
      </c>
      <c r="X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12.75" customHeight="1">
      <c r="A564" s="15">
        <v>563</v>
      </c>
      <c r="B564" s="738" t="s">
        <v>3086</v>
      </c>
      <c r="C564" s="16" t="s">
        <v>1306</v>
      </c>
      <c r="D564" s="2" t="s">
        <v>3110</v>
      </c>
      <c r="E564" s="3" t="s">
        <v>3141</v>
      </c>
      <c r="F564" s="3" t="s">
        <v>3537</v>
      </c>
      <c r="G564" s="17">
        <v>26196620</v>
      </c>
      <c r="H564" s="2" t="s">
        <v>1057</v>
      </c>
      <c r="I564" s="2" t="s">
        <v>1307</v>
      </c>
      <c r="J564" s="2" t="s">
        <v>1308</v>
      </c>
      <c r="K564" s="30">
        <v>41788</v>
      </c>
      <c r="L564" s="30">
        <v>41788</v>
      </c>
      <c r="M564" s="63">
        <v>2958465</v>
      </c>
      <c r="N564" s="68">
        <v>2</v>
      </c>
      <c r="O564" s="32">
        <v>0</v>
      </c>
      <c r="P564" s="63">
        <v>2958465</v>
      </c>
      <c r="Q564" s="32"/>
      <c r="R564" s="31"/>
      <c r="S564" s="37"/>
      <c r="T564" s="2"/>
      <c r="U564" s="2">
        <v>3</v>
      </c>
      <c r="V564" s="3" t="s">
        <v>4625</v>
      </c>
      <c r="W564" s="3" t="s">
        <v>4625</v>
      </c>
      <c r="X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12.75" customHeight="1">
      <c r="A565" s="15">
        <v>564</v>
      </c>
      <c r="B565" s="736" t="s">
        <v>1555</v>
      </c>
      <c r="C565" s="16" t="s">
        <v>1963</v>
      </c>
      <c r="D565" s="2"/>
      <c r="E565" s="96" t="s">
        <v>5143</v>
      </c>
      <c r="F565" s="2" t="s">
        <v>3538</v>
      </c>
      <c r="G565" s="17">
        <v>26132486</v>
      </c>
      <c r="H565" s="2" t="s">
        <v>1729</v>
      </c>
      <c r="I565" s="2" t="s">
        <v>1964</v>
      </c>
      <c r="J565" s="2"/>
      <c r="K565" s="18">
        <v>44603</v>
      </c>
      <c r="L565" s="18">
        <v>44603</v>
      </c>
      <c r="M565" s="18">
        <v>44926</v>
      </c>
      <c r="N565" s="1"/>
      <c r="O565" s="19">
        <v>10000</v>
      </c>
      <c r="P565" s="18">
        <v>44926</v>
      </c>
      <c r="Q565" s="19"/>
      <c r="R565" s="772"/>
      <c r="S565" s="18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12.75" customHeight="1">
      <c r="A566" s="15">
        <v>565</v>
      </c>
      <c r="B566" s="736" t="s">
        <v>1555</v>
      </c>
      <c r="C566" s="16" t="s">
        <v>1556</v>
      </c>
      <c r="D566" s="2"/>
      <c r="E566" s="96" t="s">
        <v>5143</v>
      </c>
      <c r="F566" s="2" t="s">
        <v>3538</v>
      </c>
      <c r="G566" s="17">
        <v>26132486</v>
      </c>
      <c r="H566" s="2" t="s">
        <v>1729</v>
      </c>
      <c r="I566" s="2" t="s">
        <v>1557</v>
      </c>
      <c r="J566" s="2"/>
      <c r="K566" s="18">
        <v>44200</v>
      </c>
      <c r="L566" s="18">
        <v>44200</v>
      </c>
      <c r="M566" s="18">
        <v>45014</v>
      </c>
      <c r="N566" s="1"/>
      <c r="O566" s="19">
        <v>10000</v>
      </c>
      <c r="P566" s="18">
        <v>45014</v>
      </c>
      <c r="Q566" s="19"/>
      <c r="R566" s="772"/>
      <c r="S566" s="18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12.75" customHeight="1">
      <c r="A567" s="15">
        <v>566</v>
      </c>
      <c r="B567" s="736" t="s">
        <v>3086</v>
      </c>
      <c r="C567" s="16" t="s">
        <v>724</v>
      </c>
      <c r="D567" s="20" t="s">
        <v>3087</v>
      </c>
      <c r="E567" s="2" t="s">
        <v>3202</v>
      </c>
      <c r="F567" s="2" t="s">
        <v>3539</v>
      </c>
      <c r="G567" s="17">
        <v>25944991</v>
      </c>
      <c r="H567" s="2" t="s">
        <v>677</v>
      </c>
      <c r="I567" s="2" t="s">
        <v>725</v>
      </c>
      <c r="J567" s="2"/>
      <c r="K567" s="30">
        <v>45085</v>
      </c>
      <c r="L567" s="30">
        <v>45085</v>
      </c>
      <c r="M567" s="30">
        <v>46180</v>
      </c>
      <c r="N567" s="35"/>
      <c r="O567" s="32" t="s">
        <v>3382</v>
      </c>
      <c r="P567" s="30">
        <v>46180</v>
      </c>
      <c r="Q567" s="40">
        <v>2407900</v>
      </c>
      <c r="R567" s="777">
        <v>23071939.312357899</v>
      </c>
      <c r="S567" s="65" t="s">
        <v>5700</v>
      </c>
      <c r="T567" s="35"/>
      <c r="U567" s="35"/>
      <c r="V567" s="2" t="s">
        <v>4625</v>
      </c>
      <c r="W567" s="2"/>
      <c r="X567" s="25" t="s">
        <v>3368</v>
      </c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12.75" customHeight="1">
      <c r="A568" s="15">
        <v>567</v>
      </c>
      <c r="B568" s="736" t="s">
        <v>1555</v>
      </c>
      <c r="C568" s="16" t="s">
        <v>1939</v>
      </c>
      <c r="D568" s="20" t="s">
        <v>3087</v>
      </c>
      <c r="E568" s="2" t="s">
        <v>3202</v>
      </c>
      <c r="F568" s="2" t="s">
        <v>3539</v>
      </c>
      <c r="G568" s="17">
        <v>25944991</v>
      </c>
      <c r="H568" s="2" t="s">
        <v>1938</v>
      </c>
      <c r="I568" s="2" t="s">
        <v>1940</v>
      </c>
      <c r="J568" s="2"/>
      <c r="K568" s="18">
        <v>44574</v>
      </c>
      <c r="L568" s="18">
        <v>44574</v>
      </c>
      <c r="M568" s="18">
        <v>45107</v>
      </c>
      <c r="N568" s="1"/>
      <c r="O568" s="19">
        <v>800000</v>
      </c>
      <c r="P568" s="18">
        <v>45107</v>
      </c>
      <c r="Q568" s="19"/>
      <c r="R568" s="772"/>
      <c r="S568" s="18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12.75" customHeight="1">
      <c r="A569" s="15">
        <v>568</v>
      </c>
      <c r="B569" s="738" t="s">
        <v>3086</v>
      </c>
      <c r="C569" s="16" t="s">
        <v>1111</v>
      </c>
      <c r="D569" s="2" t="s">
        <v>3110</v>
      </c>
      <c r="E569" s="3" t="s">
        <v>3228</v>
      </c>
      <c r="F569" s="3" t="s">
        <v>3540</v>
      </c>
      <c r="G569" s="17">
        <v>25920989</v>
      </c>
      <c r="H569" s="2" t="s">
        <v>64</v>
      </c>
      <c r="I569" s="2" t="s">
        <v>1112</v>
      </c>
      <c r="J569" s="2" t="s">
        <v>1113</v>
      </c>
      <c r="K569" s="18">
        <v>39538</v>
      </c>
      <c r="L569" s="18">
        <v>39538</v>
      </c>
      <c r="M569" s="18"/>
      <c r="N569" s="1"/>
      <c r="O569" s="19">
        <v>0</v>
      </c>
      <c r="P569" s="18"/>
      <c r="Q569" s="19">
        <v>0</v>
      </c>
      <c r="R569" s="773"/>
      <c r="S569" s="18"/>
      <c r="T569" s="2"/>
      <c r="U569" s="2"/>
      <c r="V569" s="2"/>
      <c r="W569" s="2"/>
      <c r="X569" s="656" t="s">
        <v>5017</v>
      </c>
      <c r="Y569" s="2"/>
      <c r="Z569" s="2"/>
      <c r="AA569" s="2"/>
      <c r="AB569" s="2"/>
      <c r="AC569" s="2"/>
      <c r="AD569" s="2"/>
      <c r="AE569" s="2"/>
      <c r="AF569" s="653"/>
      <c r="AG569" s="2"/>
      <c r="AH569" s="2"/>
      <c r="AI569" s="2"/>
      <c r="AJ569" s="2"/>
      <c r="AK569" s="2"/>
      <c r="AL569" s="2"/>
    </row>
    <row r="570" spans="1:38" ht="12.75" customHeight="1">
      <c r="A570" s="15">
        <v>569</v>
      </c>
      <c r="B570" s="738" t="s">
        <v>3086</v>
      </c>
      <c r="C570" s="16" t="s">
        <v>1388</v>
      </c>
      <c r="D570" s="2" t="s">
        <v>3110</v>
      </c>
      <c r="E570" s="3" t="s">
        <v>3228</v>
      </c>
      <c r="F570" s="3" t="s">
        <v>3542</v>
      </c>
      <c r="G570" s="17">
        <v>25920898</v>
      </c>
      <c r="H570" s="2" t="s">
        <v>64</v>
      </c>
      <c r="I570" s="2" t="s">
        <v>1389</v>
      </c>
      <c r="J570" s="2" t="s">
        <v>1390</v>
      </c>
      <c r="K570" s="18">
        <v>42052</v>
      </c>
      <c r="L570" s="18">
        <v>42052</v>
      </c>
      <c r="M570" s="18">
        <v>43465</v>
      </c>
      <c r="N570" s="1">
        <v>4</v>
      </c>
      <c r="O570" s="19">
        <v>0</v>
      </c>
      <c r="P570" s="18">
        <v>43465</v>
      </c>
      <c r="Q570" s="19">
        <v>0</v>
      </c>
      <c r="R570" s="773"/>
      <c r="S570" s="18"/>
      <c r="T570" s="2"/>
      <c r="U570" s="2"/>
      <c r="V570" s="15"/>
      <c r="W570" s="15"/>
      <c r="X570" s="43" t="s">
        <v>3541</v>
      </c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12.75" customHeight="1">
      <c r="A571" s="15">
        <v>570</v>
      </c>
      <c r="B571" s="736" t="s">
        <v>1555</v>
      </c>
      <c r="C571" s="16" t="s">
        <v>2625</v>
      </c>
      <c r="D571" s="20" t="s">
        <v>3087</v>
      </c>
      <c r="E571" s="2" t="s">
        <v>3097</v>
      </c>
      <c r="F571" s="3" t="s">
        <v>3543</v>
      </c>
      <c r="G571" s="17">
        <v>25903659</v>
      </c>
      <c r="H571" s="96" t="s">
        <v>830</v>
      </c>
      <c r="I571" s="2" t="s">
        <v>2626</v>
      </c>
      <c r="J571" s="2"/>
      <c r="K571" s="18">
        <v>44978</v>
      </c>
      <c r="L571" s="18">
        <v>44978</v>
      </c>
      <c r="M571" s="18">
        <v>45138</v>
      </c>
      <c r="N571" s="1"/>
      <c r="O571" s="19">
        <v>3500</v>
      </c>
      <c r="P571" s="18">
        <v>45138</v>
      </c>
      <c r="Q571" s="19">
        <v>0</v>
      </c>
      <c r="R571" s="772"/>
      <c r="S571" s="18"/>
      <c r="T571" s="2"/>
      <c r="U571" s="2"/>
      <c r="V571" s="15" t="s">
        <v>3091</v>
      </c>
      <c r="W571" s="15"/>
      <c r="X571" s="69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12.75" customHeight="1">
      <c r="A572" s="15">
        <v>571</v>
      </c>
      <c r="B572" s="738" t="s">
        <v>3086</v>
      </c>
      <c r="C572" s="16" t="s">
        <v>1200</v>
      </c>
      <c r="D572" s="2" t="s">
        <v>3110</v>
      </c>
      <c r="E572" s="3" t="s">
        <v>3123</v>
      </c>
      <c r="F572" s="3" t="s">
        <v>3544</v>
      </c>
      <c r="G572" s="17">
        <v>25788001</v>
      </c>
      <c r="H572" s="2" t="s">
        <v>323</v>
      </c>
      <c r="I572" s="2" t="s">
        <v>1201</v>
      </c>
      <c r="J572" s="2" t="s">
        <v>1201</v>
      </c>
      <c r="K572" s="18">
        <v>40653</v>
      </c>
      <c r="L572" s="18">
        <v>40653</v>
      </c>
      <c r="M572" s="18">
        <v>2958465</v>
      </c>
      <c r="N572" s="1">
        <v>4</v>
      </c>
      <c r="O572" s="19">
        <v>28500</v>
      </c>
      <c r="P572" s="18">
        <v>2958465</v>
      </c>
      <c r="Q572" s="19">
        <v>0</v>
      </c>
      <c r="R572" s="773"/>
      <c r="S572" s="18"/>
      <c r="T572" s="2"/>
      <c r="U572" s="2"/>
      <c r="V572" s="15"/>
      <c r="W572" s="15"/>
      <c r="X572" s="43" t="s">
        <v>3545</v>
      </c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12.75" customHeight="1">
      <c r="A573" s="15">
        <v>572</v>
      </c>
      <c r="B573" s="738" t="s">
        <v>3086</v>
      </c>
      <c r="C573" s="16" t="s">
        <v>1204</v>
      </c>
      <c r="D573" s="2" t="s">
        <v>3110</v>
      </c>
      <c r="E573" s="3" t="s">
        <v>3123</v>
      </c>
      <c r="F573" s="3" t="s">
        <v>3544</v>
      </c>
      <c r="G573" s="17">
        <v>25788001</v>
      </c>
      <c r="H573" s="2" t="s">
        <v>323</v>
      </c>
      <c r="I573" s="2" t="s">
        <v>1205</v>
      </c>
      <c r="J573" s="2" t="s">
        <v>1205</v>
      </c>
      <c r="K573" s="18">
        <v>40645</v>
      </c>
      <c r="L573" s="18">
        <v>40645</v>
      </c>
      <c r="M573" s="18">
        <v>2958465</v>
      </c>
      <c r="N573" s="1"/>
      <c r="O573" s="19">
        <v>34000</v>
      </c>
      <c r="P573" s="18">
        <v>2958465</v>
      </c>
      <c r="Q573" s="19">
        <v>0</v>
      </c>
      <c r="R573" s="773"/>
      <c r="S573" s="18"/>
      <c r="T573" s="2"/>
      <c r="U573" s="2"/>
      <c r="V573" s="15"/>
      <c r="W573" s="15"/>
      <c r="X573" s="43" t="s">
        <v>3545</v>
      </c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12.75" customHeight="1">
      <c r="A574" s="15">
        <v>573</v>
      </c>
      <c r="B574" s="738" t="s">
        <v>3086</v>
      </c>
      <c r="C574" s="16" t="s">
        <v>1225</v>
      </c>
      <c r="D574" s="2" t="s">
        <v>3110</v>
      </c>
      <c r="E574" s="3" t="s">
        <v>3123</v>
      </c>
      <c r="F574" s="3" t="s">
        <v>3544</v>
      </c>
      <c r="G574" s="17">
        <v>25788001</v>
      </c>
      <c r="H574" s="2" t="s">
        <v>323</v>
      </c>
      <c r="I574" s="2" t="s">
        <v>1226</v>
      </c>
      <c r="J574" s="2" t="s">
        <v>1226</v>
      </c>
      <c r="K574" s="18">
        <v>40847</v>
      </c>
      <c r="L574" s="18">
        <v>40847</v>
      </c>
      <c r="M574" s="18">
        <v>2958465</v>
      </c>
      <c r="N574" s="1">
        <v>4</v>
      </c>
      <c r="O574" s="19">
        <v>2500</v>
      </c>
      <c r="P574" s="18">
        <v>2958465</v>
      </c>
      <c r="Q574" s="19">
        <v>0</v>
      </c>
      <c r="R574" s="773"/>
      <c r="S574" s="18"/>
      <c r="T574" s="2"/>
      <c r="U574" s="2"/>
      <c r="V574" s="15"/>
      <c r="W574" s="15"/>
      <c r="X574" s="43" t="s">
        <v>3545</v>
      </c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12.75" customHeight="1">
      <c r="A575" s="15">
        <v>574</v>
      </c>
      <c r="B575" s="738" t="s">
        <v>3086</v>
      </c>
      <c r="C575" s="16" t="s">
        <v>1047</v>
      </c>
      <c r="D575" s="21" t="s">
        <v>3116</v>
      </c>
      <c r="E575" s="3" t="s">
        <v>3117</v>
      </c>
      <c r="F575" s="3" t="s">
        <v>3546</v>
      </c>
      <c r="G575" s="17">
        <v>25733621</v>
      </c>
      <c r="H575" s="2" t="s">
        <v>23</v>
      </c>
      <c r="I575" s="2" t="s">
        <v>1048</v>
      </c>
      <c r="J575" s="2" t="s">
        <v>1049</v>
      </c>
      <c r="K575" s="18">
        <v>38447</v>
      </c>
      <c r="L575" s="18">
        <v>38447</v>
      </c>
      <c r="M575" s="18">
        <v>2958465</v>
      </c>
      <c r="N575" s="1"/>
      <c r="O575" s="19">
        <v>0</v>
      </c>
      <c r="P575" s="18">
        <v>2958465</v>
      </c>
      <c r="Q575" s="19">
        <v>0</v>
      </c>
      <c r="R575" s="773"/>
      <c r="S575" s="18"/>
      <c r="T575" s="2"/>
      <c r="U575" s="3">
        <v>3</v>
      </c>
      <c r="V575" s="59" t="s">
        <v>4625</v>
      </c>
      <c r="W575" s="59" t="s">
        <v>4631</v>
      </c>
      <c r="X575" s="43" t="s">
        <v>3547</v>
      </c>
      <c r="Y575" s="2" t="s">
        <v>5023</v>
      </c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12.75" customHeight="1">
      <c r="A576" s="15">
        <v>575</v>
      </c>
      <c r="B576" s="736" t="s">
        <v>1555</v>
      </c>
      <c r="C576" s="16" t="s">
        <v>2918</v>
      </c>
      <c r="D576" s="20" t="s">
        <v>3087</v>
      </c>
      <c r="E576" s="2" t="s">
        <v>3093</v>
      </c>
      <c r="F576" s="2" t="s">
        <v>3548</v>
      </c>
      <c r="G576" s="17">
        <v>25717421</v>
      </c>
      <c r="H576" s="96" t="s">
        <v>510</v>
      </c>
      <c r="I576" s="2" t="s">
        <v>2919</v>
      </c>
      <c r="J576" s="2"/>
      <c r="K576" s="18">
        <v>45177</v>
      </c>
      <c r="L576" s="18">
        <v>45177</v>
      </c>
      <c r="M576" s="18">
        <v>45230</v>
      </c>
      <c r="N576" s="1"/>
      <c r="O576" s="19">
        <v>9320</v>
      </c>
      <c r="P576" s="18">
        <v>45230</v>
      </c>
      <c r="Q576" s="19"/>
      <c r="R576" s="772"/>
      <c r="S576" s="18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12.75" customHeight="1">
      <c r="A577" s="15">
        <v>576</v>
      </c>
      <c r="B577" s="738" t="s">
        <v>1555</v>
      </c>
      <c r="C577" s="16" t="s">
        <v>1414</v>
      </c>
      <c r="D577" s="20" t="s">
        <v>3110</v>
      </c>
      <c r="E577" s="3" t="s">
        <v>3197</v>
      </c>
      <c r="F577" s="2" t="s">
        <v>3549</v>
      </c>
      <c r="G577" s="17">
        <v>25710427</v>
      </c>
      <c r="H577" s="2" t="s">
        <v>1415</v>
      </c>
      <c r="I577" s="2" t="s">
        <v>1416</v>
      </c>
      <c r="K577" s="18">
        <v>42177</v>
      </c>
      <c r="L577" s="18">
        <v>42177</v>
      </c>
      <c r="M577" s="18">
        <v>42359</v>
      </c>
      <c r="N577" s="1">
        <v>7</v>
      </c>
      <c r="O577" s="19">
        <v>37810951.200000003</v>
      </c>
      <c r="P577" s="18">
        <v>42359</v>
      </c>
      <c r="Q577" s="19"/>
      <c r="R577" s="773"/>
      <c r="S577" s="18"/>
      <c r="T577" s="2"/>
      <c r="U577" s="2"/>
      <c r="V577" s="2" t="s">
        <v>3091</v>
      </c>
      <c r="W577" s="2"/>
      <c r="X577" s="43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12.75" customHeight="1">
      <c r="A578" s="15">
        <v>577</v>
      </c>
      <c r="B578" s="738" t="s">
        <v>1555</v>
      </c>
      <c r="C578" s="16" t="s">
        <v>1438</v>
      </c>
      <c r="D578" s="20" t="s">
        <v>3110</v>
      </c>
      <c r="E578" s="3" t="s">
        <v>3197</v>
      </c>
      <c r="F578" s="2" t="s">
        <v>3549</v>
      </c>
      <c r="G578" s="17">
        <v>25710427</v>
      </c>
      <c r="H578" s="2" t="s">
        <v>1415</v>
      </c>
      <c r="I578" s="2" t="s">
        <v>1439</v>
      </c>
      <c r="K578" s="18">
        <v>42241</v>
      </c>
      <c r="L578" s="18">
        <v>42241</v>
      </c>
      <c r="M578" s="18">
        <v>42338</v>
      </c>
      <c r="N578" s="1">
        <v>7</v>
      </c>
      <c r="O578" s="19">
        <v>54934774.399999999</v>
      </c>
      <c r="P578" s="18">
        <v>42338</v>
      </c>
      <c r="Q578" s="19"/>
      <c r="R578" s="773"/>
      <c r="S578" s="18"/>
      <c r="T578" s="2"/>
      <c r="U578" s="2"/>
      <c r="V578" s="2" t="s">
        <v>3091</v>
      </c>
      <c r="W578" s="2"/>
      <c r="X578" s="43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12.75" customHeight="1">
      <c r="A579" s="15">
        <v>578</v>
      </c>
      <c r="B579" s="738" t="s">
        <v>1555</v>
      </c>
      <c r="C579" s="16" t="s">
        <v>76</v>
      </c>
      <c r="D579" s="20" t="s">
        <v>3110</v>
      </c>
      <c r="E579" s="3" t="s">
        <v>3197</v>
      </c>
      <c r="F579" s="2" t="s">
        <v>3549</v>
      </c>
      <c r="G579" s="17">
        <v>25710427</v>
      </c>
      <c r="H579" s="2" t="s">
        <v>677</v>
      </c>
      <c r="I579" s="2" t="s">
        <v>77</v>
      </c>
      <c r="J579" s="2" t="s">
        <v>78</v>
      </c>
      <c r="K579" s="30">
        <v>43063</v>
      </c>
      <c r="L579" s="30">
        <v>43063</v>
      </c>
      <c r="M579" s="37">
        <v>43100</v>
      </c>
      <c r="N579" s="35">
        <v>7</v>
      </c>
      <c r="O579" s="32" t="s">
        <v>3550</v>
      </c>
      <c r="P579" s="37">
        <v>43100</v>
      </c>
      <c r="Q579" s="32" t="s">
        <v>3551</v>
      </c>
      <c r="R579" s="31" t="s">
        <v>79</v>
      </c>
      <c r="S579" s="30">
        <v>43063</v>
      </c>
      <c r="T579" s="35"/>
      <c r="U579" s="35"/>
      <c r="V579" s="15" t="s">
        <v>3091</v>
      </c>
      <c r="W579" s="15"/>
      <c r="X579" s="70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12.75" customHeight="1">
      <c r="A580" s="15">
        <v>579</v>
      </c>
      <c r="B580" s="736" t="s">
        <v>1555</v>
      </c>
      <c r="C580" s="16" t="s">
        <v>579</v>
      </c>
      <c r="D580" s="2" t="s">
        <v>3110</v>
      </c>
      <c r="E580" s="2" t="s">
        <v>3197</v>
      </c>
      <c r="F580" s="2" t="s">
        <v>3549</v>
      </c>
      <c r="G580" s="17">
        <v>25710427</v>
      </c>
      <c r="H580" s="2" t="s">
        <v>546</v>
      </c>
      <c r="I580" s="2" t="s">
        <v>580</v>
      </c>
      <c r="J580" s="2"/>
      <c r="K580" s="30">
        <v>44922</v>
      </c>
      <c r="L580" s="30">
        <v>44922</v>
      </c>
      <c r="M580" s="30">
        <v>45473</v>
      </c>
      <c r="N580" s="35"/>
      <c r="O580" s="32" t="s">
        <v>3552</v>
      </c>
      <c r="P580" s="30">
        <v>45473</v>
      </c>
      <c r="Q580" s="40">
        <v>68879250</v>
      </c>
      <c r="R580" s="775" t="s">
        <v>581</v>
      </c>
      <c r="S580" s="34">
        <v>44922</v>
      </c>
      <c r="T580" s="35"/>
      <c r="U580" s="35"/>
      <c r="V580" s="15" t="s">
        <v>4625</v>
      </c>
      <c r="W580" s="15" t="s">
        <v>4625</v>
      </c>
      <c r="X580" s="70" t="s">
        <v>3553</v>
      </c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12.75" customHeight="1">
      <c r="A581" s="15">
        <v>580</v>
      </c>
      <c r="B581" s="736" t="s">
        <v>1555</v>
      </c>
      <c r="C581" s="16" t="s">
        <v>582</v>
      </c>
      <c r="D581" s="2" t="s">
        <v>3110</v>
      </c>
      <c r="E581" s="2" t="s">
        <v>3197</v>
      </c>
      <c r="F581" s="2" t="s">
        <v>3549</v>
      </c>
      <c r="G581" s="17">
        <v>25710427</v>
      </c>
      <c r="H581" s="2" t="s">
        <v>546</v>
      </c>
      <c r="I581" s="2" t="s">
        <v>583</v>
      </c>
      <c r="J581" s="2"/>
      <c r="K581" s="30">
        <v>44922</v>
      </c>
      <c r="L581" s="30">
        <v>44922</v>
      </c>
      <c r="M581" s="30">
        <v>45657</v>
      </c>
      <c r="N581" s="31">
        <v>7</v>
      </c>
      <c r="O581" s="32" t="s">
        <v>3552</v>
      </c>
      <c r="P581" s="30">
        <v>45657</v>
      </c>
      <c r="Q581" s="40">
        <v>68879250</v>
      </c>
      <c r="R581" s="775" t="s">
        <v>584</v>
      </c>
      <c r="S581" s="34">
        <v>44922</v>
      </c>
      <c r="T581" s="35"/>
      <c r="U581" s="35"/>
      <c r="V581" s="15" t="s">
        <v>4625</v>
      </c>
      <c r="W581" s="15" t="s">
        <v>4625</v>
      </c>
      <c r="X581" s="70" t="s">
        <v>3553</v>
      </c>
      <c r="Y581" s="2" t="s">
        <v>4786</v>
      </c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12.75" customHeight="1">
      <c r="A582" s="15">
        <v>581</v>
      </c>
      <c r="B582" s="736" t="s">
        <v>1555</v>
      </c>
      <c r="C582" s="71" t="s">
        <v>600</v>
      </c>
      <c r="D582" s="15" t="s">
        <v>3116</v>
      </c>
      <c r="E582" s="2" t="s">
        <v>3202</v>
      </c>
      <c r="F582" s="2" t="s">
        <v>3549</v>
      </c>
      <c r="G582" s="17">
        <v>25710427</v>
      </c>
      <c r="H582" s="2" t="s">
        <v>482</v>
      </c>
      <c r="I582" s="2" t="s">
        <v>601</v>
      </c>
      <c r="J582" s="2"/>
      <c r="K582" s="18">
        <v>44922</v>
      </c>
      <c r="L582" s="18">
        <v>44922</v>
      </c>
      <c r="M582" s="18">
        <v>45287</v>
      </c>
      <c r="N582" s="1"/>
      <c r="O582" s="19">
        <v>2129600</v>
      </c>
      <c r="P582" s="18">
        <v>45287</v>
      </c>
      <c r="Q582" s="19" t="s">
        <v>3554</v>
      </c>
      <c r="R582" s="772" t="s">
        <v>602</v>
      </c>
      <c r="S582" s="34">
        <v>44922</v>
      </c>
      <c r="T582" s="2"/>
      <c r="U582" s="2"/>
      <c r="V582" s="15" t="s">
        <v>3091</v>
      </c>
      <c r="W582" s="15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12.75" customHeight="1">
      <c r="A583" s="15">
        <v>582</v>
      </c>
      <c r="B583" s="736" t="s">
        <v>1555</v>
      </c>
      <c r="C583" s="16" t="s">
        <v>2015</v>
      </c>
      <c r="D583" s="20" t="s">
        <v>3110</v>
      </c>
      <c r="E583" s="2" t="s">
        <v>3197</v>
      </c>
      <c r="F583" s="2" t="s">
        <v>3549</v>
      </c>
      <c r="G583" s="17">
        <v>25710427</v>
      </c>
      <c r="H583" s="2" t="s">
        <v>546</v>
      </c>
      <c r="I583" s="2" t="s">
        <v>2016</v>
      </c>
      <c r="J583" s="2"/>
      <c r="K583" s="18">
        <v>44684</v>
      </c>
      <c r="L583" s="18">
        <v>44684</v>
      </c>
      <c r="M583" s="18"/>
      <c r="N583" s="1"/>
      <c r="O583" s="19">
        <v>3025000</v>
      </c>
      <c r="P583" s="18">
        <v>44926</v>
      </c>
      <c r="Q583" s="19"/>
      <c r="R583" s="772"/>
      <c r="S583" s="18"/>
      <c r="T583" s="2"/>
      <c r="U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12.75" customHeight="1">
      <c r="A584" s="15">
        <v>583</v>
      </c>
      <c r="B584" s="736" t="s">
        <v>1555</v>
      </c>
      <c r="C584" s="16" t="s">
        <v>1891</v>
      </c>
      <c r="D584" s="15" t="s">
        <v>3110</v>
      </c>
      <c r="E584" s="2" t="s">
        <v>3197</v>
      </c>
      <c r="F584" s="2" t="s">
        <v>3549</v>
      </c>
      <c r="G584" s="17">
        <v>25710427</v>
      </c>
      <c r="H584" s="2" t="s">
        <v>546</v>
      </c>
      <c r="I584" s="2" t="s">
        <v>1892</v>
      </c>
      <c r="J584" s="2"/>
      <c r="K584" s="18">
        <v>44546</v>
      </c>
      <c r="L584" s="18">
        <v>44546</v>
      </c>
      <c r="M584" s="18">
        <v>44740</v>
      </c>
      <c r="N584" s="1"/>
      <c r="O584" s="19">
        <v>24759000</v>
      </c>
      <c r="P584" s="18">
        <v>44740</v>
      </c>
      <c r="Q584" s="19"/>
      <c r="R584" s="772"/>
      <c r="S584" s="18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12.75" customHeight="1">
      <c r="A585" s="15">
        <v>584</v>
      </c>
      <c r="B585" s="736" t="s">
        <v>1555</v>
      </c>
      <c r="C585" s="16" t="s">
        <v>2316</v>
      </c>
      <c r="D585" s="20" t="s">
        <v>3110</v>
      </c>
      <c r="E585" s="2" t="s">
        <v>3197</v>
      </c>
      <c r="F585" s="2" t="s">
        <v>3549</v>
      </c>
      <c r="G585" s="17">
        <v>25710427</v>
      </c>
      <c r="H585" s="2" t="s">
        <v>546</v>
      </c>
      <c r="I585" s="2" t="s">
        <v>2317</v>
      </c>
      <c r="J585" s="2"/>
      <c r="K585" s="18">
        <v>44827</v>
      </c>
      <c r="L585" s="18">
        <v>44827</v>
      </c>
      <c r="M585" s="18">
        <v>44926</v>
      </c>
      <c r="N585" s="1"/>
      <c r="O585" s="19">
        <v>1494350</v>
      </c>
      <c r="P585" s="18">
        <v>44926</v>
      </c>
      <c r="Q585" s="19"/>
      <c r="R585" s="772"/>
      <c r="S585" s="18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12.75" customHeight="1">
      <c r="A586" s="15">
        <v>585</v>
      </c>
      <c r="B586" s="736" t="s">
        <v>1555</v>
      </c>
      <c r="C586" s="16" t="s">
        <v>2329</v>
      </c>
      <c r="D586" s="20" t="s">
        <v>3110</v>
      </c>
      <c r="E586" s="2" t="s">
        <v>3197</v>
      </c>
      <c r="F586" s="2" t="s">
        <v>3549</v>
      </c>
      <c r="G586" s="17">
        <v>25710427</v>
      </c>
      <c r="H586" s="2" t="s">
        <v>546</v>
      </c>
      <c r="I586" s="2" t="s">
        <v>2330</v>
      </c>
      <c r="J586" s="2"/>
      <c r="K586" s="18">
        <v>44827</v>
      </c>
      <c r="L586" s="18">
        <v>44827</v>
      </c>
      <c r="M586" s="18">
        <v>44960</v>
      </c>
      <c r="N586" s="1"/>
      <c r="O586" s="19">
        <v>1397550</v>
      </c>
      <c r="P586" s="18">
        <v>44960</v>
      </c>
      <c r="Q586" s="19"/>
      <c r="R586" s="772"/>
      <c r="S586" s="18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12.75" customHeight="1">
      <c r="A587" s="15">
        <v>586</v>
      </c>
      <c r="B587" s="736" t="s">
        <v>1555</v>
      </c>
      <c r="C587" s="16" t="s">
        <v>2331</v>
      </c>
      <c r="D587" s="20" t="s">
        <v>3110</v>
      </c>
      <c r="E587" s="2" t="s">
        <v>3197</v>
      </c>
      <c r="F587" s="2" t="s">
        <v>3549</v>
      </c>
      <c r="G587" s="17">
        <v>25710427</v>
      </c>
      <c r="H587" s="2" t="s">
        <v>546</v>
      </c>
      <c r="I587" s="2" t="s">
        <v>2332</v>
      </c>
      <c r="J587" s="2"/>
      <c r="K587" s="18">
        <v>44827</v>
      </c>
      <c r="L587" s="18">
        <v>44827</v>
      </c>
      <c r="M587" s="18">
        <v>44918</v>
      </c>
      <c r="N587" s="1"/>
      <c r="O587" s="19">
        <v>1397550</v>
      </c>
      <c r="P587" s="18">
        <v>44918</v>
      </c>
      <c r="Q587" s="19"/>
      <c r="R587" s="772"/>
      <c r="S587" s="18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12.75" customHeight="1">
      <c r="A588" s="15">
        <v>587</v>
      </c>
      <c r="B588" s="736" t="s">
        <v>1555</v>
      </c>
      <c r="C588" s="16" t="s">
        <v>2333</v>
      </c>
      <c r="D588" s="20" t="s">
        <v>3110</v>
      </c>
      <c r="E588" s="2" t="s">
        <v>3197</v>
      </c>
      <c r="F588" s="2" t="s">
        <v>3549</v>
      </c>
      <c r="G588" s="17">
        <v>25710427</v>
      </c>
      <c r="H588" s="2" t="s">
        <v>546</v>
      </c>
      <c r="I588" s="2" t="s">
        <v>2334</v>
      </c>
      <c r="J588" s="2"/>
      <c r="K588" s="18">
        <v>44827</v>
      </c>
      <c r="L588" s="18">
        <v>44827</v>
      </c>
      <c r="M588" s="18">
        <v>44918</v>
      </c>
      <c r="N588" s="1"/>
      <c r="O588" s="19">
        <v>3497577.6</v>
      </c>
      <c r="P588" s="18">
        <v>44918</v>
      </c>
      <c r="Q588" s="19"/>
      <c r="R588" s="772"/>
      <c r="S588" s="18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12.75" customHeight="1">
      <c r="A589" s="15">
        <v>588</v>
      </c>
      <c r="B589" s="736" t="s">
        <v>1555</v>
      </c>
      <c r="C589" s="16" t="s">
        <v>2175</v>
      </c>
      <c r="D589" s="20" t="s">
        <v>3087</v>
      </c>
      <c r="E589" s="2" t="s">
        <v>3197</v>
      </c>
      <c r="F589" s="2" t="s">
        <v>3555</v>
      </c>
      <c r="G589" s="17">
        <v>25701576</v>
      </c>
      <c r="H589" s="2" t="s">
        <v>677</v>
      </c>
      <c r="I589" s="2" t="s">
        <v>2176</v>
      </c>
      <c r="J589" s="2"/>
      <c r="K589" s="18">
        <v>44731</v>
      </c>
      <c r="L589" s="18">
        <v>44731</v>
      </c>
      <c r="M589" s="18">
        <v>45260</v>
      </c>
      <c r="N589" s="1"/>
      <c r="O589" s="19">
        <v>1597200</v>
      </c>
      <c r="P589" s="18">
        <v>45260</v>
      </c>
      <c r="Q589" s="19"/>
      <c r="R589" s="772"/>
      <c r="S589" s="18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12.75" customHeight="1">
      <c r="A590" s="15">
        <v>589</v>
      </c>
      <c r="B590" s="736" t="s">
        <v>1555</v>
      </c>
      <c r="C590" s="16" t="s">
        <v>2981</v>
      </c>
      <c r="D590" s="20" t="s">
        <v>3087</v>
      </c>
      <c r="E590" s="2" t="s">
        <v>3197</v>
      </c>
      <c r="F590" s="2" t="s">
        <v>3555</v>
      </c>
      <c r="G590" s="17">
        <v>25701576</v>
      </c>
      <c r="H590" s="2" t="s">
        <v>546</v>
      </c>
      <c r="I590" s="2" t="s">
        <v>2982</v>
      </c>
      <c r="J590" s="2"/>
      <c r="K590" s="18">
        <v>45226</v>
      </c>
      <c r="L590" s="18">
        <v>45226</v>
      </c>
      <c r="M590" s="18">
        <v>45321</v>
      </c>
      <c r="N590" s="1"/>
      <c r="O590" s="19">
        <v>257125</v>
      </c>
      <c r="P590" s="18">
        <v>45321</v>
      </c>
      <c r="Q590" s="19"/>
      <c r="R590" s="772"/>
      <c r="S590" s="18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12.75" customHeight="1">
      <c r="A591" s="15">
        <v>590</v>
      </c>
      <c r="B591" s="736" t="s">
        <v>1555</v>
      </c>
      <c r="C591" s="16" t="s">
        <v>2983</v>
      </c>
      <c r="D591" s="20" t="s">
        <v>3087</v>
      </c>
      <c r="E591" s="2" t="s">
        <v>3197</v>
      </c>
      <c r="F591" s="2" t="s">
        <v>3555</v>
      </c>
      <c r="G591" s="17">
        <v>25701576</v>
      </c>
      <c r="H591" s="2" t="s">
        <v>546</v>
      </c>
      <c r="I591" s="2" t="s">
        <v>2984</v>
      </c>
      <c r="J591" s="2"/>
      <c r="K591" s="18">
        <v>45226</v>
      </c>
      <c r="L591" s="18">
        <v>45226</v>
      </c>
      <c r="M591" s="18">
        <v>45322</v>
      </c>
      <c r="N591" s="1"/>
      <c r="O591" s="19">
        <v>148225</v>
      </c>
      <c r="P591" s="18">
        <v>45322</v>
      </c>
      <c r="Q591" s="19"/>
      <c r="R591" s="772"/>
      <c r="S591" s="18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12.75" customHeight="1">
      <c r="A592" s="15">
        <v>591</v>
      </c>
      <c r="B592" s="736" t="s">
        <v>1555</v>
      </c>
      <c r="C592" s="16" t="s">
        <v>1691</v>
      </c>
      <c r="D592" s="20" t="s">
        <v>3087</v>
      </c>
      <c r="E592" s="2" t="s">
        <v>3103</v>
      </c>
      <c r="F592" s="2" t="s">
        <v>3556</v>
      </c>
      <c r="G592" s="17">
        <v>25691872</v>
      </c>
      <c r="H592" s="2" t="s">
        <v>180</v>
      </c>
      <c r="I592" s="2" t="s">
        <v>1692</v>
      </c>
      <c r="J592" s="2"/>
      <c r="K592" s="18">
        <v>44364</v>
      </c>
      <c r="L592" s="18">
        <v>44364</v>
      </c>
      <c r="M592" s="18">
        <v>44364</v>
      </c>
      <c r="N592" s="1"/>
      <c r="O592" s="19">
        <v>2000</v>
      </c>
      <c r="P592" s="18">
        <v>44364</v>
      </c>
      <c r="Q592" s="19"/>
      <c r="R592" s="772"/>
      <c r="S592" s="18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12.75" customHeight="1">
      <c r="A593" s="15">
        <v>592</v>
      </c>
      <c r="B593" s="736" t="s">
        <v>1555</v>
      </c>
      <c r="C593" s="16" t="s">
        <v>2165</v>
      </c>
      <c r="D593" s="20" t="s">
        <v>3087</v>
      </c>
      <c r="E593" s="2" t="s">
        <v>3093</v>
      </c>
      <c r="F593" s="2" t="s">
        <v>3556</v>
      </c>
      <c r="G593" s="17">
        <v>25691872</v>
      </c>
      <c r="H593" s="96" t="s">
        <v>510</v>
      </c>
      <c r="I593" s="2" t="s">
        <v>2166</v>
      </c>
      <c r="J593" s="2"/>
      <c r="K593" s="18">
        <v>44718</v>
      </c>
      <c r="L593" s="18">
        <v>44718</v>
      </c>
      <c r="M593" s="18">
        <v>44804</v>
      </c>
      <c r="N593" s="1"/>
      <c r="O593" s="19"/>
      <c r="P593" s="18">
        <v>44804</v>
      </c>
      <c r="Q593" s="19"/>
      <c r="R593" s="772"/>
      <c r="S593" s="18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12.75" customHeight="1">
      <c r="A594" s="15">
        <v>593</v>
      </c>
      <c r="B594" s="736" t="s">
        <v>1555</v>
      </c>
      <c r="C594" s="16" t="s">
        <v>2792</v>
      </c>
      <c r="D594" s="20" t="s">
        <v>3087</v>
      </c>
      <c r="E594" s="2" t="s">
        <v>3093</v>
      </c>
      <c r="F594" s="2" t="s">
        <v>3556</v>
      </c>
      <c r="G594" s="17">
        <v>25691872</v>
      </c>
      <c r="H594" s="96" t="s">
        <v>510</v>
      </c>
      <c r="I594" s="2" t="s">
        <v>2793</v>
      </c>
      <c r="J594" s="2"/>
      <c r="K594" s="18">
        <v>45075</v>
      </c>
      <c r="L594" s="18">
        <v>45075</v>
      </c>
      <c r="M594" s="18">
        <v>45138</v>
      </c>
      <c r="N594" s="1"/>
      <c r="O594" s="19">
        <v>45000</v>
      </c>
      <c r="P594" s="18">
        <v>45138</v>
      </c>
      <c r="Q594" s="19"/>
      <c r="R594" s="772"/>
      <c r="S594" s="18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12.75" customHeight="1">
      <c r="A595" s="15">
        <v>594</v>
      </c>
      <c r="B595" s="736" t="s">
        <v>1555</v>
      </c>
      <c r="C595" s="16" t="s">
        <v>2384</v>
      </c>
      <c r="D595" s="20" t="s">
        <v>3110</v>
      </c>
      <c r="E595" s="2" t="s">
        <v>3958</v>
      </c>
      <c r="F595" s="3" t="s">
        <v>3557</v>
      </c>
      <c r="G595" s="17">
        <v>25670212</v>
      </c>
      <c r="H595" s="2" t="s">
        <v>588</v>
      </c>
      <c r="I595" s="2" t="s">
        <v>2385</v>
      </c>
      <c r="J595" s="2"/>
      <c r="K595" s="18">
        <v>44827</v>
      </c>
      <c r="L595" s="18">
        <v>44827</v>
      </c>
      <c r="M595" s="18">
        <v>44865</v>
      </c>
      <c r="N595" s="1"/>
      <c r="O595" s="19">
        <v>30000</v>
      </c>
      <c r="P595" s="18">
        <v>44865</v>
      </c>
      <c r="Q595" s="19"/>
      <c r="R595" s="772"/>
      <c r="S595" s="18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12.75" customHeight="1">
      <c r="A596" s="15">
        <v>595</v>
      </c>
      <c r="B596" s="736" t="s">
        <v>1555</v>
      </c>
      <c r="C596" s="16" t="s">
        <v>791</v>
      </c>
      <c r="D596" s="2" t="s">
        <v>3110</v>
      </c>
      <c r="E596" s="2" t="s">
        <v>3197</v>
      </c>
      <c r="F596" s="2" t="s">
        <v>3558</v>
      </c>
      <c r="G596" s="17">
        <v>25616153</v>
      </c>
      <c r="H596" s="2" t="s">
        <v>546</v>
      </c>
      <c r="I596" s="2" t="s">
        <v>792</v>
      </c>
      <c r="J596" s="2"/>
      <c r="K596" s="30">
        <v>45243</v>
      </c>
      <c r="L596" s="30">
        <v>45243</v>
      </c>
      <c r="M596" s="30">
        <v>45473</v>
      </c>
      <c r="N596" s="35"/>
      <c r="O596" s="32" t="s">
        <v>3559</v>
      </c>
      <c r="P596" s="30">
        <v>45473</v>
      </c>
      <c r="Q596" s="40">
        <v>1198298</v>
      </c>
      <c r="R596" s="775" t="s">
        <v>793</v>
      </c>
      <c r="S596" s="34">
        <v>45244</v>
      </c>
      <c r="T596" s="35"/>
      <c r="U596" s="35"/>
      <c r="V596" s="15" t="s">
        <v>4625</v>
      </c>
      <c r="W596" s="15" t="s">
        <v>4625</v>
      </c>
      <c r="X596" s="70" t="s">
        <v>3560</v>
      </c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12.75" customHeight="1">
      <c r="A597" s="15">
        <v>596</v>
      </c>
      <c r="B597" s="736" t="s">
        <v>1555</v>
      </c>
      <c r="C597" s="16" t="s">
        <v>2458</v>
      </c>
      <c r="D597" s="20" t="s">
        <v>3110</v>
      </c>
      <c r="E597" s="2" t="s">
        <v>3197</v>
      </c>
      <c r="F597" s="2" t="s">
        <v>3558</v>
      </c>
      <c r="G597" s="17">
        <v>25616153</v>
      </c>
      <c r="H597" s="2" t="s">
        <v>546</v>
      </c>
      <c r="I597" s="2" t="s">
        <v>2459</v>
      </c>
      <c r="J597" s="2"/>
      <c r="K597" s="18">
        <v>44897</v>
      </c>
      <c r="L597" s="18">
        <v>45262</v>
      </c>
      <c r="M597" s="18">
        <v>44926</v>
      </c>
      <c r="N597" s="1"/>
      <c r="O597" s="19">
        <v>1198298</v>
      </c>
      <c r="P597" s="18">
        <v>44926</v>
      </c>
      <c r="Q597" s="19">
        <v>1198298</v>
      </c>
      <c r="R597" s="772" t="s">
        <v>275</v>
      </c>
      <c r="S597" s="18">
        <v>44096</v>
      </c>
      <c r="T597" s="2"/>
      <c r="U597" s="2"/>
      <c r="V597" s="15" t="s">
        <v>3091</v>
      </c>
      <c r="W597" s="15"/>
      <c r="X597" s="69" t="s">
        <v>3561</v>
      </c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12.75" customHeight="1">
      <c r="A598" s="15">
        <v>597</v>
      </c>
      <c r="B598" s="736" t="s">
        <v>1555</v>
      </c>
      <c r="C598" s="16" t="s">
        <v>2460</v>
      </c>
      <c r="D598" s="20" t="s">
        <v>3110</v>
      </c>
      <c r="E598" s="2" t="s">
        <v>3197</v>
      </c>
      <c r="F598" s="2" t="s">
        <v>3558</v>
      </c>
      <c r="G598" s="17">
        <v>25616153</v>
      </c>
      <c r="H598" s="2" t="s">
        <v>546</v>
      </c>
      <c r="I598" s="2" t="s">
        <v>2461</v>
      </c>
      <c r="J598" s="2"/>
      <c r="K598" s="18">
        <v>44897</v>
      </c>
      <c r="L598" s="18">
        <v>44897</v>
      </c>
      <c r="M598" s="18">
        <v>44926</v>
      </c>
      <c r="O598" s="19">
        <v>1498381</v>
      </c>
      <c r="P598" s="18">
        <v>44926</v>
      </c>
      <c r="Q598" s="19">
        <v>1498381</v>
      </c>
      <c r="R598" s="772" t="s">
        <v>829</v>
      </c>
      <c r="S598" s="18">
        <v>45254</v>
      </c>
      <c r="T598" s="2"/>
      <c r="U598" s="2"/>
      <c r="V598" s="15" t="s">
        <v>3091</v>
      </c>
      <c r="W598" s="15"/>
      <c r="X598" s="72" t="s">
        <v>3562</v>
      </c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12.75" customHeight="1">
      <c r="A599" s="15">
        <v>598</v>
      </c>
      <c r="B599" s="738" t="s">
        <v>1555</v>
      </c>
      <c r="C599" s="16" t="s">
        <v>272</v>
      </c>
      <c r="D599" s="2" t="s">
        <v>3110</v>
      </c>
      <c r="E599" s="3" t="s">
        <v>3273</v>
      </c>
      <c r="F599" s="3" t="s">
        <v>3563</v>
      </c>
      <c r="G599" s="17">
        <v>25605984</v>
      </c>
      <c r="H599" s="2" t="s">
        <v>271</v>
      </c>
      <c r="I599" s="2" t="s">
        <v>273</v>
      </c>
      <c r="J599" s="2" t="s">
        <v>274</v>
      </c>
      <c r="K599" s="30">
        <v>44096</v>
      </c>
      <c r="L599" s="30">
        <v>44096</v>
      </c>
      <c r="M599" s="30">
        <v>45556</v>
      </c>
      <c r="N599" s="35"/>
      <c r="O599" s="32" t="s">
        <v>3564</v>
      </c>
      <c r="P599" s="30">
        <v>45556</v>
      </c>
      <c r="Q599" s="40">
        <v>1200</v>
      </c>
      <c r="R599" s="31" t="s">
        <v>275</v>
      </c>
      <c r="S599" s="30">
        <v>44096</v>
      </c>
      <c r="T599" s="35"/>
      <c r="U599" s="35"/>
      <c r="V599" s="15"/>
      <c r="W599" s="15"/>
      <c r="X599" s="73" t="s">
        <v>3565</v>
      </c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12.75" customHeight="1">
      <c r="A600" s="15">
        <v>599</v>
      </c>
      <c r="B600" s="736" t="s">
        <v>3086</v>
      </c>
      <c r="C600" s="16" t="s">
        <v>827</v>
      </c>
      <c r="D600" s="20" t="s">
        <v>3087</v>
      </c>
      <c r="E600" s="2" t="s">
        <v>3197</v>
      </c>
      <c r="F600" s="2" t="s">
        <v>3566</v>
      </c>
      <c r="G600" s="17">
        <v>25594681</v>
      </c>
      <c r="H600" s="2" t="s">
        <v>677</v>
      </c>
      <c r="I600" s="2" t="s">
        <v>828</v>
      </c>
      <c r="J600" s="2"/>
      <c r="K600" s="30">
        <v>45254</v>
      </c>
      <c r="L600" s="30">
        <v>45254</v>
      </c>
      <c r="M600" s="30">
        <v>45291</v>
      </c>
      <c r="N600" s="1">
        <v>7</v>
      </c>
      <c r="O600" s="32" t="s">
        <v>3567</v>
      </c>
      <c r="P600" s="30">
        <v>45291</v>
      </c>
      <c r="Q600" s="40">
        <v>517396</v>
      </c>
      <c r="R600" s="775" t="s">
        <v>829</v>
      </c>
      <c r="S600" s="34">
        <v>45254</v>
      </c>
      <c r="T600" s="35"/>
      <c r="U600" s="35"/>
      <c r="V600" s="15"/>
      <c r="W600" s="15"/>
      <c r="X600" s="70" t="s">
        <v>3568</v>
      </c>
      <c r="Y600" s="2" t="s">
        <v>5022</v>
      </c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12.75" customHeight="1">
      <c r="A601" s="15">
        <v>600</v>
      </c>
      <c r="B601" s="736" t="s">
        <v>1555</v>
      </c>
      <c r="C601" s="16" t="s">
        <v>2066</v>
      </c>
      <c r="D601" s="20" t="s">
        <v>3110</v>
      </c>
      <c r="E601" s="2" t="s">
        <v>3197</v>
      </c>
      <c r="F601" s="2" t="s">
        <v>3569</v>
      </c>
      <c r="G601" s="17">
        <v>25497561</v>
      </c>
      <c r="H601" s="2" t="s">
        <v>677</v>
      </c>
      <c r="I601" s="2" t="s">
        <v>2067</v>
      </c>
      <c r="J601" s="2"/>
      <c r="K601" s="18">
        <v>44677</v>
      </c>
      <c r="L601" s="18">
        <v>44677</v>
      </c>
      <c r="M601" s="18">
        <v>44761</v>
      </c>
      <c r="N601" s="1"/>
      <c r="O601" s="19">
        <v>568095</v>
      </c>
      <c r="P601" s="18">
        <v>44761</v>
      </c>
      <c r="Q601" s="19"/>
      <c r="R601" s="772"/>
      <c r="S601" s="18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12.75" customHeight="1">
      <c r="A602" s="15">
        <v>601</v>
      </c>
      <c r="B602" s="736" t="s">
        <v>1555</v>
      </c>
      <c r="C602" s="16" t="s">
        <v>2713</v>
      </c>
      <c r="D602" s="2" t="s">
        <v>3110</v>
      </c>
      <c r="E602" s="2" t="s">
        <v>3197</v>
      </c>
      <c r="F602" s="2" t="s">
        <v>3569</v>
      </c>
      <c r="G602" s="17">
        <v>25497561</v>
      </c>
      <c r="H602" s="2" t="s">
        <v>677</v>
      </c>
      <c r="I602" s="2" t="s">
        <v>2714</v>
      </c>
      <c r="J602" s="2"/>
      <c r="K602" s="18">
        <v>45040</v>
      </c>
      <c r="L602" s="18">
        <v>45040</v>
      </c>
      <c r="M602" s="18">
        <v>45124</v>
      </c>
      <c r="N602" s="1"/>
      <c r="O602" s="19">
        <v>963910.2</v>
      </c>
      <c r="P602" s="18">
        <v>45124</v>
      </c>
      <c r="Q602" s="19"/>
      <c r="R602" s="772"/>
      <c r="S602" s="18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12.75" customHeight="1">
      <c r="A603" s="15">
        <v>602</v>
      </c>
      <c r="B603" s="736" t="s">
        <v>1555</v>
      </c>
      <c r="C603" s="16" t="s">
        <v>2985</v>
      </c>
      <c r="D603" s="2" t="s">
        <v>3110</v>
      </c>
      <c r="E603" s="2" t="s">
        <v>3197</v>
      </c>
      <c r="F603" s="2" t="s">
        <v>3569</v>
      </c>
      <c r="G603" s="17">
        <v>25497561</v>
      </c>
      <c r="H603" s="2" t="s">
        <v>546</v>
      </c>
      <c r="I603" s="2" t="s">
        <v>2986</v>
      </c>
      <c r="J603" s="2"/>
      <c r="K603" s="18">
        <v>45222</v>
      </c>
      <c r="L603" s="18">
        <v>45222</v>
      </c>
      <c r="M603" s="18">
        <v>45253</v>
      </c>
      <c r="N603" s="1"/>
      <c r="O603" s="19">
        <v>1814770.1</v>
      </c>
      <c r="P603" s="18">
        <v>45253</v>
      </c>
      <c r="Q603" s="19"/>
      <c r="R603" s="772"/>
      <c r="S603" s="18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12.75" customHeight="1">
      <c r="A604" s="15">
        <v>603</v>
      </c>
      <c r="B604" s="736" t="s">
        <v>1555</v>
      </c>
      <c r="C604" s="16" t="s">
        <v>445</v>
      </c>
      <c r="D604" s="2" t="s">
        <v>3110</v>
      </c>
      <c r="E604" s="2" t="s">
        <v>3273</v>
      </c>
      <c r="F604" s="2" t="s">
        <v>3570</v>
      </c>
      <c r="G604" s="17">
        <v>25479296</v>
      </c>
      <c r="H604" s="2" t="s">
        <v>271</v>
      </c>
      <c r="I604" s="2" t="s">
        <v>446</v>
      </c>
      <c r="J604" s="2"/>
      <c r="K604" s="18">
        <v>44726</v>
      </c>
      <c r="L604" s="18">
        <v>44805</v>
      </c>
      <c r="M604" s="18">
        <v>45535</v>
      </c>
      <c r="N604" s="1"/>
      <c r="O604" s="19">
        <v>6000</v>
      </c>
      <c r="P604" s="18">
        <v>45535</v>
      </c>
      <c r="Q604" s="19"/>
      <c r="R604" s="772"/>
      <c r="S604" s="18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12.75" customHeight="1">
      <c r="A605" s="15">
        <v>604</v>
      </c>
      <c r="B605" s="736" t="s">
        <v>1555</v>
      </c>
      <c r="C605" s="16" t="s">
        <v>447</v>
      </c>
      <c r="D605" s="2" t="s">
        <v>3110</v>
      </c>
      <c r="E605" s="2" t="s">
        <v>3273</v>
      </c>
      <c r="F605" s="2" t="s">
        <v>3570</v>
      </c>
      <c r="G605" s="17">
        <v>25479296</v>
      </c>
      <c r="H605" s="2" t="s">
        <v>271</v>
      </c>
      <c r="I605" s="2" t="s">
        <v>448</v>
      </c>
      <c r="J605" s="2"/>
      <c r="K605" s="18">
        <v>44726</v>
      </c>
      <c r="L605" s="18">
        <v>44805</v>
      </c>
      <c r="M605" s="18">
        <v>45535</v>
      </c>
      <c r="N605" s="1"/>
      <c r="O605" s="19">
        <v>4800</v>
      </c>
      <c r="P605" s="18">
        <v>45535</v>
      </c>
      <c r="Q605" s="19"/>
      <c r="R605" s="772"/>
      <c r="S605" s="18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12.75" customHeight="1">
      <c r="A606" s="15">
        <v>605</v>
      </c>
      <c r="B606" s="736" t="s">
        <v>1555</v>
      </c>
      <c r="C606" s="16" t="s">
        <v>750</v>
      </c>
      <c r="D606" s="2" t="s">
        <v>3110</v>
      </c>
      <c r="E606" s="2" t="s">
        <v>3141</v>
      </c>
      <c r="F606" s="3" t="s">
        <v>3571</v>
      </c>
      <c r="G606" s="17">
        <v>25458302</v>
      </c>
      <c r="H606" s="2" t="s">
        <v>747</v>
      </c>
      <c r="I606" s="2" t="s">
        <v>751</v>
      </c>
      <c r="J606" s="2"/>
      <c r="K606" s="18">
        <v>45292</v>
      </c>
      <c r="L606" s="18">
        <v>45292</v>
      </c>
      <c r="M606" s="18">
        <v>45657</v>
      </c>
      <c r="N606" s="1">
        <v>4</v>
      </c>
      <c r="O606" s="19">
        <v>900000</v>
      </c>
      <c r="P606" s="18">
        <v>45657</v>
      </c>
      <c r="Q606" s="19"/>
      <c r="R606" s="772"/>
      <c r="S606" s="18"/>
      <c r="T606" s="2"/>
      <c r="U606" s="2">
        <v>3</v>
      </c>
      <c r="V606" s="3" t="s">
        <v>4625</v>
      </c>
      <c r="W606" s="3" t="s">
        <v>4625</v>
      </c>
      <c r="X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12.75" customHeight="1">
      <c r="A607" s="15">
        <v>606</v>
      </c>
      <c r="B607" s="736" t="s">
        <v>1555</v>
      </c>
      <c r="C607" s="16" t="s">
        <v>895</v>
      </c>
      <c r="D607" s="2" t="s">
        <v>3110</v>
      </c>
      <c r="E607" s="2" t="s">
        <v>3141</v>
      </c>
      <c r="F607" s="3" t="s">
        <v>3571</v>
      </c>
      <c r="G607" s="17">
        <v>25458302</v>
      </c>
      <c r="H607" s="2" t="s">
        <v>747</v>
      </c>
      <c r="I607" s="2" t="s">
        <v>896</v>
      </c>
      <c r="J607" s="2"/>
      <c r="K607" s="18">
        <v>45189</v>
      </c>
      <c r="L607" s="18">
        <v>45189</v>
      </c>
      <c r="M607" s="18">
        <v>45657</v>
      </c>
      <c r="N607" s="1">
        <v>4</v>
      </c>
      <c r="O607" s="19">
        <v>1000000</v>
      </c>
      <c r="P607" s="18">
        <v>45657</v>
      </c>
      <c r="Q607" s="19"/>
      <c r="R607" s="772"/>
      <c r="S607" s="18"/>
      <c r="T607" s="2"/>
      <c r="U607" s="2">
        <v>3</v>
      </c>
      <c r="V607" s="3" t="s">
        <v>4625</v>
      </c>
      <c r="W607" s="3" t="s">
        <v>4625</v>
      </c>
      <c r="X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12.75" customHeight="1">
      <c r="A608" s="15">
        <v>607</v>
      </c>
      <c r="B608" s="738" t="s">
        <v>3086</v>
      </c>
      <c r="C608" s="16" t="s">
        <v>1015</v>
      </c>
      <c r="D608" s="21" t="s">
        <v>3116</v>
      </c>
      <c r="E608" s="15" t="s">
        <v>3531</v>
      </c>
      <c r="F608" s="3" t="s">
        <v>3572</v>
      </c>
      <c r="G608" s="17">
        <v>25335651</v>
      </c>
      <c r="H608" s="2" t="s">
        <v>1007</v>
      </c>
      <c r="I608" s="2" t="s">
        <v>1016</v>
      </c>
      <c r="J608" s="2" t="s">
        <v>1016</v>
      </c>
      <c r="K608" s="30">
        <v>38029</v>
      </c>
      <c r="L608" s="30">
        <v>38029</v>
      </c>
      <c r="M608" s="30">
        <v>2958465</v>
      </c>
      <c r="N608" s="35"/>
      <c r="O608" s="32">
        <v>0</v>
      </c>
      <c r="P608" s="30">
        <v>2958465</v>
      </c>
      <c r="Q608" s="32"/>
      <c r="R608" s="31"/>
      <c r="S608" s="37"/>
      <c r="T608" s="35"/>
      <c r="U608" s="3">
        <v>3</v>
      </c>
      <c r="V608" s="35" t="s">
        <v>4625</v>
      </c>
      <c r="W608" s="35" t="s">
        <v>4631</v>
      </c>
      <c r="X608" s="42"/>
      <c r="Y608" s="109" t="s">
        <v>4717</v>
      </c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12.75" customHeight="1">
      <c r="A609" s="15">
        <v>608</v>
      </c>
      <c r="B609" s="736" t="s">
        <v>3086</v>
      </c>
      <c r="C609" s="16" t="s">
        <v>805</v>
      </c>
      <c r="D609" s="2" t="s">
        <v>3094</v>
      </c>
      <c r="E609" s="2" t="s">
        <v>3202</v>
      </c>
      <c r="F609" s="3" t="s">
        <v>3573</v>
      </c>
      <c r="G609" s="17">
        <v>25277961</v>
      </c>
      <c r="H609" s="2" t="s">
        <v>361</v>
      </c>
      <c r="I609" s="2" t="s">
        <v>806</v>
      </c>
      <c r="J609" s="2"/>
      <c r="K609" s="18">
        <v>45229</v>
      </c>
      <c r="L609" s="18">
        <v>45229</v>
      </c>
      <c r="M609" s="18">
        <v>45786</v>
      </c>
      <c r="N609" s="1">
        <v>6</v>
      </c>
      <c r="O609" s="19">
        <v>2419998.79</v>
      </c>
      <c r="P609" s="18">
        <v>45786</v>
      </c>
      <c r="Q609" s="19">
        <v>2305000</v>
      </c>
      <c r="R609" s="772" t="s">
        <v>3574</v>
      </c>
      <c r="S609" s="18" t="s">
        <v>3575</v>
      </c>
      <c r="T609" s="2"/>
      <c r="U609" s="105"/>
      <c r="V609" s="15"/>
      <c r="W609" s="15" t="s">
        <v>4625</v>
      </c>
      <c r="X609" s="72" t="s">
        <v>3576</v>
      </c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12.75" customHeight="1">
      <c r="A610" s="15">
        <v>609</v>
      </c>
      <c r="B610" s="738" t="s">
        <v>3086</v>
      </c>
      <c r="C610" s="16" t="s">
        <v>1301</v>
      </c>
      <c r="D610" s="15" t="s">
        <v>3168</v>
      </c>
      <c r="E610" s="3" t="s">
        <v>3117</v>
      </c>
      <c r="F610" s="3" t="s">
        <v>3577</v>
      </c>
      <c r="G610" s="17">
        <v>25194798</v>
      </c>
      <c r="H610" s="2" t="s">
        <v>147</v>
      </c>
      <c r="I610" s="2" t="s">
        <v>1302</v>
      </c>
      <c r="J610" s="2" t="s">
        <v>1303</v>
      </c>
      <c r="K610" s="30">
        <v>41751</v>
      </c>
      <c r="L610" s="30">
        <v>41751</v>
      </c>
      <c r="M610" s="30">
        <v>2958465</v>
      </c>
      <c r="N610" s="35"/>
      <c r="O610" s="32">
        <v>0</v>
      </c>
      <c r="P610" s="30">
        <v>2958465</v>
      </c>
      <c r="Q610" s="32">
        <v>0</v>
      </c>
      <c r="R610" s="31"/>
      <c r="S610" s="37"/>
      <c r="T610" s="35"/>
      <c r="U610" s="35">
        <v>3</v>
      </c>
      <c r="V610" s="15" t="s">
        <v>4625</v>
      </c>
      <c r="W610" s="15"/>
      <c r="X610" s="42"/>
      <c r="Y610" s="2" t="s">
        <v>5065</v>
      </c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12.75" customHeight="1">
      <c r="A611" s="15">
        <v>610</v>
      </c>
      <c r="B611" s="736" t="s">
        <v>1555</v>
      </c>
      <c r="C611" s="16" t="s">
        <v>2699</v>
      </c>
      <c r="D611" s="15" t="s">
        <v>3110</v>
      </c>
      <c r="E611" s="2" t="s">
        <v>3225</v>
      </c>
      <c r="F611" s="3" t="s">
        <v>3578</v>
      </c>
      <c r="G611" s="17">
        <v>25186434</v>
      </c>
      <c r="H611" s="2" t="s">
        <v>482</v>
      </c>
      <c r="I611" s="2" t="s">
        <v>2700</v>
      </c>
      <c r="J611" s="2"/>
      <c r="K611" s="18">
        <v>45020</v>
      </c>
      <c r="L611" s="18">
        <v>45020</v>
      </c>
      <c r="M611" s="18">
        <v>45169</v>
      </c>
      <c r="N611" s="1"/>
      <c r="O611" s="19">
        <v>160251.19</v>
      </c>
      <c r="P611" s="18">
        <v>45169</v>
      </c>
      <c r="Q611" s="19"/>
      <c r="R611" s="772"/>
      <c r="S611" s="18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12.75" customHeight="1">
      <c r="A612" s="15">
        <v>611</v>
      </c>
      <c r="B612" s="736" t="s">
        <v>1555</v>
      </c>
      <c r="C612" s="16" t="s">
        <v>2735</v>
      </c>
      <c r="D612" s="15" t="s">
        <v>3110</v>
      </c>
      <c r="E612" s="2" t="s">
        <v>3197</v>
      </c>
      <c r="F612" s="2" t="s">
        <v>3579</v>
      </c>
      <c r="G612" s="17">
        <v>25177583</v>
      </c>
      <c r="H612" s="2" t="s">
        <v>546</v>
      </c>
      <c r="I612" s="2" t="s">
        <v>2736</v>
      </c>
      <c r="J612" s="2"/>
      <c r="K612" s="18">
        <v>45049</v>
      </c>
      <c r="L612" s="18">
        <v>45049</v>
      </c>
      <c r="M612" s="18">
        <v>45131</v>
      </c>
      <c r="N612" s="1"/>
      <c r="O612" s="19">
        <v>66937.2</v>
      </c>
      <c r="P612" s="18">
        <v>45131</v>
      </c>
      <c r="Q612" s="19"/>
      <c r="R612" s="772"/>
      <c r="S612" s="18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12.75" customHeight="1">
      <c r="A613" s="15">
        <v>612</v>
      </c>
      <c r="B613" s="736" t="s">
        <v>1555</v>
      </c>
      <c r="C613" s="16" t="s">
        <v>2389</v>
      </c>
      <c r="D613" s="20" t="s">
        <v>3087</v>
      </c>
      <c r="E613" s="2" t="s">
        <v>3197</v>
      </c>
      <c r="F613" s="2" t="s">
        <v>3579</v>
      </c>
      <c r="G613" s="17">
        <v>25177583</v>
      </c>
      <c r="H613" s="2" t="s">
        <v>2388</v>
      </c>
      <c r="I613" s="2" t="s">
        <v>2390</v>
      </c>
      <c r="J613" s="2"/>
      <c r="K613" s="18">
        <v>44844</v>
      </c>
      <c r="L613" s="18">
        <v>44844</v>
      </c>
      <c r="M613" s="18">
        <v>44944</v>
      </c>
      <c r="N613" s="1"/>
      <c r="O613" s="19">
        <v>223124</v>
      </c>
      <c r="P613" s="18">
        <v>44944</v>
      </c>
      <c r="Q613" s="19"/>
      <c r="R613" s="772"/>
      <c r="S613" s="18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12.75" customHeight="1">
      <c r="A614" s="15">
        <v>613</v>
      </c>
      <c r="B614" s="736" t="s">
        <v>1555</v>
      </c>
      <c r="C614" s="16" t="s">
        <v>2480</v>
      </c>
      <c r="D614" s="20" t="s">
        <v>3087</v>
      </c>
      <c r="E614" s="2" t="s">
        <v>3197</v>
      </c>
      <c r="F614" s="2" t="s">
        <v>3579</v>
      </c>
      <c r="G614" s="17">
        <v>25177583</v>
      </c>
      <c r="H614" s="2" t="s">
        <v>546</v>
      </c>
      <c r="I614" s="2" t="s">
        <v>2481</v>
      </c>
      <c r="J614" s="2"/>
      <c r="K614" s="18">
        <v>44894</v>
      </c>
      <c r="L614" s="18">
        <v>44894</v>
      </c>
      <c r="M614" s="18"/>
      <c r="N614" s="1"/>
      <c r="O614" s="19">
        <v>223124</v>
      </c>
      <c r="P614" s="18">
        <v>44944</v>
      </c>
      <c r="Q614" s="19"/>
      <c r="R614" s="772"/>
      <c r="S614" s="18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12.75" customHeight="1">
      <c r="A615" s="15">
        <v>614</v>
      </c>
      <c r="B615" s="736" t="s">
        <v>1555</v>
      </c>
      <c r="C615" s="16" t="s">
        <v>1929</v>
      </c>
      <c r="D615" s="20" t="s">
        <v>3087</v>
      </c>
      <c r="E615" s="2" t="s">
        <v>3162</v>
      </c>
      <c r="F615" s="2" t="s">
        <v>3580</v>
      </c>
      <c r="G615" s="17">
        <v>25157795</v>
      </c>
      <c r="H615" s="96" t="s">
        <v>830</v>
      </c>
      <c r="I615" s="2" t="s">
        <v>1930</v>
      </c>
      <c r="J615" s="2"/>
      <c r="K615" s="18">
        <v>44550</v>
      </c>
      <c r="L615" s="18">
        <v>44562</v>
      </c>
      <c r="M615" s="18">
        <v>44742</v>
      </c>
      <c r="N615" s="1"/>
      <c r="O615" s="19">
        <v>5250</v>
      </c>
      <c r="P615" s="18">
        <v>44742</v>
      </c>
      <c r="Q615" s="19"/>
      <c r="R615" s="772"/>
      <c r="S615" s="18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12.75" customHeight="1">
      <c r="A616" s="15">
        <v>615</v>
      </c>
      <c r="B616" s="736" t="s">
        <v>1555</v>
      </c>
      <c r="C616" s="16" t="s">
        <v>2615</v>
      </c>
      <c r="D616" s="20" t="s">
        <v>3087</v>
      </c>
      <c r="E616" s="2" t="s">
        <v>3097</v>
      </c>
      <c r="F616" s="2" t="s">
        <v>3580</v>
      </c>
      <c r="G616" s="17">
        <v>25157795</v>
      </c>
      <c r="H616" s="96" t="s">
        <v>830</v>
      </c>
      <c r="I616" s="2" t="s">
        <v>2616</v>
      </c>
      <c r="J616" s="2"/>
      <c r="K616" s="18">
        <v>44939</v>
      </c>
      <c r="L616" s="18">
        <v>44939</v>
      </c>
      <c r="M616" s="18">
        <v>45046</v>
      </c>
      <c r="N616" s="1"/>
      <c r="O616" s="19">
        <v>4900</v>
      </c>
      <c r="P616" s="18">
        <v>45046</v>
      </c>
      <c r="Q616" s="19"/>
      <c r="R616" s="772"/>
      <c r="S616" s="18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12.75" customHeight="1">
      <c r="A617" s="15">
        <v>616</v>
      </c>
      <c r="B617" s="736" t="s">
        <v>3086</v>
      </c>
      <c r="C617" s="16" t="s">
        <v>298</v>
      </c>
      <c r="D617" s="2" t="s">
        <v>3110</v>
      </c>
      <c r="E617" s="2" t="s">
        <v>3228</v>
      </c>
      <c r="F617" s="2" t="s">
        <v>3581</v>
      </c>
      <c r="G617" s="17">
        <v>25148117</v>
      </c>
      <c r="H617" s="2" t="s">
        <v>245</v>
      </c>
      <c r="I617" s="2" t="s">
        <v>299</v>
      </c>
      <c r="J617" s="2"/>
      <c r="K617" s="30">
        <v>44218</v>
      </c>
      <c r="L617" s="30">
        <v>44218</v>
      </c>
      <c r="M617" s="30">
        <v>2958465</v>
      </c>
      <c r="N617" s="31">
        <v>7</v>
      </c>
      <c r="O617" s="32" t="s">
        <v>3582</v>
      </c>
      <c r="P617" s="30">
        <v>2958465</v>
      </c>
      <c r="Q617" s="40">
        <v>22828</v>
      </c>
      <c r="R617" s="775" t="s">
        <v>300</v>
      </c>
      <c r="S617" s="34">
        <v>44218</v>
      </c>
      <c r="T617" s="35"/>
      <c r="U617" s="35"/>
      <c r="V617" s="35"/>
      <c r="W617" s="35"/>
      <c r="X617" s="4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12.75" customHeight="1">
      <c r="A618" s="15">
        <v>617</v>
      </c>
      <c r="B618" s="736" t="s">
        <v>1555</v>
      </c>
      <c r="C618" s="16" t="s">
        <v>380</v>
      </c>
      <c r="D618" s="2" t="s">
        <v>3110</v>
      </c>
      <c r="E618" s="2" t="s">
        <v>3228</v>
      </c>
      <c r="F618" s="2" t="s">
        <v>3583</v>
      </c>
      <c r="G618" s="17">
        <v>25144251</v>
      </c>
      <c r="H618" s="2" t="s">
        <v>379</v>
      </c>
      <c r="I618" s="2" t="s">
        <v>381</v>
      </c>
      <c r="J618" s="2"/>
      <c r="K618" s="30">
        <v>44559</v>
      </c>
      <c r="L618" s="30">
        <v>44562</v>
      </c>
      <c r="M618" s="30">
        <v>45657</v>
      </c>
      <c r="N618" s="35"/>
      <c r="O618" s="33">
        <v>4335.01</v>
      </c>
      <c r="P618" s="30">
        <v>45657</v>
      </c>
      <c r="Q618" s="40"/>
      <c r="R618" s="31"/>
      <c r="S618" s="37"/>
      <c r="T618" s="35"/>
      <c r="U618" s="35"/>
      <c r="V618" s="36"/>
      <c r="W618" s="36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12.75" customHeight="1">
      <c r="A619" s="15">
        <v>618</v>
      </c>
      <c r="B619" s="736" t="s">
        <v>1555</v>
      </c>
      <c r="C619" s="16" t="s">
        <v>2947</v>
      </c>
      <c r="D619" s="15" t="s">
        <v>3110</v>
      </c>
      <c r="E619" s="2" t="s">
        <v>3197</v>
      </c>
      <c r="F619" s="2" t="s">
        <v>3584</v>
      </c>
      <c r="G619" s="17">
        <v>25130919</v>
      </c>
      <c r="H619" s="2" t="s">
        <v>677</v>
      </c>
      <c r="I619" s="2" t="s">
        <v>2948</v>
      </c>
      <c r="J619" s="2"/>
      <c r="K619" s="18">
        <v>45203</v>
      </c>
      <c r="L619" s="18">
        <v>45203</v>
      </c>
      <c r="M619" s="18">
        <v>45260</v>
      </c>
      <c r="N619" s="1"/>
      <c r="O619" s="19">
        <v>16000</v>
      </c>
      <c r="P619" s="18">
        <v>45260</v>
      </c>
      <c r="Q619" s="19"/>
      <c r="R619" s="772"/>
      <c r="S619" s="18"/>
      <c r="T619" s="2"/>
      <c r="U619" s="2"/>
      <c r="V619" s="2" t="s">
        <v>3091</v>
      </c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12.75" customHeight="1">
      <c r="A620" s="15">
        <v>619</v>
      </c>
      <c r="B620" s="737" t="s">
        <v>3086</v>
      </c>
      <c r="C620" s="71" t="s">
        <v>1135</v>
      </c>
      <c r="D620" s="20" t="s">
        <v>3087</v>
      </c>
      <c r="E620" s="75" t="s">
        <v>3197</v>
      </c>
      <c r="F620" s="75" t="s">
        <v>3585</v>
      </c>
      <c r="G620" s="76">
        <v>25115049</v>
      </c>
      <c r="H620" s="77" t="s">
        <v>1136</v>
      </c>
      <c r="I620" s="77" t="s">
        <v>1137</v>
      </c>
      <c r="J620" s="2" t="s">
        <v>1137</v>
      </c>
      <c r="K620" s="30">
        <v>40045</v>
      </c>
      <c r="L620" s="30">
        <v>40045</v>
      </c>
      <c r="M620" s="37"/>
      <c r="N620" s="35"/>
      <c r="O620" s="32">
        <v>0</v>
      </c>
      <c r="P620" s="37"/>
      <c r="Q620" s="32"/>
      <c r="R620" s="31"/>
      <c r="S620" s="37"/>
      <c r="T620" s="35"/>
      <c r="U620" s="35"/>
      <c r="V620" s="35"/>
      <c r="W620" s="35"/>
      <c r="X620" s="42" t="s">
        <v>3586</v>
      </c>
      <c r="Y620" s="2"/>
      <c r="Z620" s="2"/>
      <c r="AA620" s="2"/>
      <c r="AB620" s="2" t="s">
        <v>4741</v>
      </c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12.75" customHeight="1">
      <c r="A621" s="15">
        <v>620</v>
      </c>
      <c r="B621" s="736" t="s">
        <v>1555</v>
      </c>
      <c r="C621" s="16" t="s">
        <v>2462</v>
      </c>
      <c r="D621" s="20" t="s">
        <v>3087</v>
      </c>
      <c r="E621" s="2" t="s">
        <v>3202</v>
      </c>
      <c r="F621" s="2" t="s">
        <v>3587</v>
      </c>
      <c r="G621" s="17">
        <v>25108913</v>
      </c>
      <c r="H621" s="2" t="s">
        <v>677</v>
      </c>
      <c r="I621" s="2" t="s">
        <v>2463</v>
      </c>
      <c r="J621" s="2"/>
      <c r="K621" s="18">
        <v>44886</v>
      </c>
      <c r="L621" s="18">
        <v>44886</v>
      </c>
      <c r="M621" s="18">
        <v>45250</v>
      </c>
      <c r="N621" s="1"/>
      <c r="O621" s="19">
        <v>580800</v>
      </c>
      <c r="P621" s="18">
        <v>45250</v>
      </c>
      <c r="Q621" s="19"/>
      <c r="R621" s="772"/>
      <c r="S621" s="18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12.75" customHeight="1">
      <c r="A622" s="15">
        <v>621</v>
      </c>
      <c r="B622" s="736" t="s">
        <v>1555</v>
      </c>
      <c r="C622" s="16" t="s">
        <v>678</v>
      </c>
      <c r="D622" s="20" t="s">
        <v>3087</v>
      </c>
      <c r="E622" s="2" t="s">
        <v>3202</v>
      </c>
      <c r="F622" s="2" t="s">
        <v>3588</v>
      </c>
      <c r="G622" s="17">
        <v>25099019</v>
      </c>
      <c r="H622" s="2" t="s">
        <v>677</v>
      </c>
      <c r="I622" s="2" t="s">
        <v>679</v>
      </c>
      <c r="J622" s="2"/>
      <c r="K622" s="30">
        <v>45013</v>
      </c>
      <c r="L622" s="30">
        <v>45013</v>
      </c>
      <c r="M622" s="30">
        <v>45743</v>
      </c>
      <c r="N622" s="35"/>
      <c r="O622" s="32" t="s">
        <v>3382</v>
      </c>
      <c r="P622" s="30">
        <v>45743</v>
      </c>
      <c r="Q622" s="40">
        <v>2407900</v>
      </c>
      <c r="R622" s="775" t="s">
        <v>680</v>
      </c>
      <c r="S622" s="34">
        <v>45013</v>
      </c>
      <c r="T622" s="35"/>
      <c r="U622" s="35">
        <v>3</v>
      </c>
      <c r="V622" s="15" t="s">
        <v>4625</v>
      </c>
      <c r="W622" s="15"/>
      <c r="X622" s="70" t="s">
        <v>3568</v>
      </c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12.75" customHeight="1">
      <c r="A623" s="15">
        <v>622</v>
      </c>
      <c r="B623" s="736" t="s">
        <v>3086</v>
      </c>
      <c r="C623" s="16" t="s">
        <v>824</v>
      </c>
      <c r="D623" s="20" t="s">
        <v>3087</v>
      </c>
      <c r="E623" s="2" t="s">
        <v>3202</v>
      </c>
      <c r="F623" s="2" t="s">
        <v>3588</v>
      </c>
      <c r="G623" s="17">
        <v>25099019</v>
      </c>
      <c r="H623" s="2" t="s">
        <v>546</v>
      </c>
      <c r="I623" s="2" t="s">
        <v>825</v>
      </c>
      <c r="J623" s="2"/>
      <c r="K623" s="18">
        <v>45239</v>
      </c>
      <c r="L623" s="18">
        <v>45239</v>
      </c>
      <c r="M623" s="18">
        <v>45969</v>
      </c>
      <c r="N623" s="1"/>
      <c r="O623" s="19">
        <v>2225843.4</v>
      </c>
      <c r="P623" s="18">
        <v>45969</v>
      </c>
      <c r="Q623" s="19">
        <v>2225843.4</v>
      </c>
      <c r="R623" s="772" t="s">
        <v>826</v>
      </c>
      <c r="S623" s="18">
        <v>45239</v>
      </c>
      <c r="T623" s="2"/>
      <c r="U623" s="2">
        <v>3</v>
      </c>
      <c r="V623" s="15" t="s">
        <v>4625</v>
      </c>
      <c r="W623" s="15"/>
      <c r="X623" s="72" t="s">
        <v>3562</v>
      </c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12.75" customHeight="1">
      <c r="A624" s="15">
        <v>623</v>
      </c>
      <c r="B624" s="736" t="s">
        <v>1555</v>
      </c>
      <c r="C624" s="16" t="s">
        <v>1629</v>
      </c>
      <c r="D624" s="20" t="s">
        <v>3087</v>
      </c>
      <c r="E624" s="2" t="s">
        <v>3202</v>
      </c>
      <c r="F624" s="2" t="s">
        <v>3588</v>
      </c>
      <c r="G624" s="17">
        <v>25099019</v>
      </c>
      <c r="H624" s="2" t="s">
        <v>361</v>
      </c>
      <c r="I624" s="2" t="s">
        <v>1630</v>
      </c>
      <c r="J624" s="2"/>
      <c r="K624" s="18">
        <v>44336</v>
      </c>
      <c r="L624" s="18">
        <v>44336</v>
      </c>
      <c r="M624" s="18">
        <v>44337</v>
      </c>
      <c r="N624" s="1"/>
      <c r="O624" s="19">
        <v>1990000</v>
      </c>
      <c r="P624" s="18">
        <v>44337</v>
      </c>
      <c r="Q624" s="19"/>
      <c r="R624" s="772"/>
      <c r="S624" s="18"/>
      <c r="T624" s="2"/>
      <c r="U624" s="2"/>
      <c r="V624" s="2" t="s">
        <v>3091</v>
      </c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12.75" customHeight="1">
      <c r="A625" s="15">
        <v>624</v>
      </c>
      <c r="B625" s="736" t="s">
        <v>1555</v>
      </c>
      <c r="C625" s="16" t="s">
        <v>2110</v>
      </c>
      <c r="D625" s="20" t="s">
        <v>3087</v>
      </c>
      <c r="E625" s="2" t="s">
        <v>3202</v>
      </c>
      <c r="F625" s="2" t="s">
        <v>3588</v>
      </c>
      <c r="G625" s="17">
        <v>25099019</v>
      </c>
      <c r="H625" s="2" t="s">
        <v>361</v>
      </c>
      <c r="I625" s="2" t="s">
        <v>2111</v>
      </c>
      <c r="J625" s="2"/>
      <c r="K625" s="18">
        <v>44692</v>
      </c>
      <c r="L625" s="18">
        <v>44692</v>
      </c>
      <c r="M625" s="18">
        <v>45271</v>
      </c>
      <c r="N625" s="1"/>
      <c r="O625" s="19">
        <v>1550000</v>
      </c>
      <c r="P625" s="18">
        <v>45271</v>
      </c>
      <c r="Q625" s="19"/>
      <c r="R625" s="772"/>
      <c r="S625" s="18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12.75" customHeight="1">
      <c r="A626" s="15">
        <v>625</v>
      </c>
      <c r="B626" s="736" t="s">
        <v>1555</v>
      </c>
      <c r="C626" s="16" t="s">
        <v>1822</v>
      </c>
      <c r="D626" s="20" t="s">
        <v>3087</v>
      </c>
      <c r="E626" s="2" t="s">
        <v>3202</v>
      </c>
      <c r="F626" s="2" t="s">
        <v>3588</v>
      </c>
      <c r="G626" s="17">
        <v>25099019</v>
      </c>
      <c r="H626" s="2" t="s">
        <v>1821</v>
      </c>
      <c r="I626" s="2" t="s">
        <v>1823</v>
      </c>
      <c r="J626" s="2"/>
      <c r="K626" s="18">
        <v>44483</v>
      </c>
      <c r="L626" s="18">
        <v>44484</v>
      </c>
      <c r="M626" s="18">
        <v>44561</v>
      </c>
      <c r="N626" s="1"/>
      <c r="O626" s="19">
        <v>1.85</v>
      </c>
      <c r="P626" s="18">
        <v>44561</v>
      </c>
      <c r="Q626" s="19"/>
      <c r="R626" s="772"/>
      <c r="S626" s="18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12.75" customHeight="1">
      <c r="A627" s="15">
        <v>626</v>
      </c>
      <c r="B627" s="736" t="s">
        <v>1555</v>
      </c>
      <c r="C627" s="16" t="s">
        <v>2198</v>
      </c>
      <c r="D627" s="20" t="s">
        <v>3087</v>
      </c>
      <c r="E627" s="2" t="s">
        <v>3202</v>
      </c>
      <c r="F627" s="2" t="s">
        <v>3588</v>
      </c>
      <c r="G627" s="17">
        <v>25099019</v>
      </c>
      <c r="H627" s="2" t="s">
        <v>1821</v>
      </c>
      <c r="I627" s="2" t="s">
        <v>679</v>
      </c>
      <c r="J627" s="2"/>
      <c r="K627" s="18">
        <v>44750</v>
      </c>
      <c r="L627" s="18">
        <v>44750</v>
      </c>
      <c r="M627" s="18">
        <v>45015</v>
      </c>
      <c r="N627" s="1"/>
      <c r="O627" s="19">
        <v>915365</v>
      </c>
      <c r="P627" s="18">
        <v>45015</v>
      </c>
      <c r="Q627" s="19"/>
      <c r="R627" s="772"/>
      <c r="S627" s="18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12.75" customHeight="1">
      <c r="A628" s="15">
        <v>627</v>
      </c>
      <c r="B628" s="736" t="s">
        <v>1555</v>
      </c>
      <c r="C628" s="16" t="s">
        <v>2294</v>
      </c>
      <c r="D628" s="15" t="s">
        <v>3116</v>
      </c>
      <c r="E628" s="2" t="s">
        <v>3197</v>
      </c>
      <c r="F628" s="15" t="s">
        <v>3589</v>
      </c>
      <c r="G628" s="17">
        <v>25098314</v>
      </c>
      <c r="H628" s="2" t="s">
        <v>546</v>
      </c>
      <c r="I628" s="2" t="s">
        <v>2295</v>
      </c>
      <c r="J628" s="2"/>
      <c r="K628" s="18">
        <v>44811</v>
      </c>
      <c r="L628" s="18">
        <v>44811</v>
      </c>
      <c r="M628" s="18">
        <v>44848</v>
      </c>
      <c r="N628" s="1"/>
      <c r="O628" s="19">
        <v>409510.59</v>
      </c>
      <c r="P628" s="18">
        <v>44848</v>
      </c>
      <c r="Q628" s="19"/>
      <c r="R628" s="772"/>
      <c r="S628" s="18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12.75" customHeight="1">
      <c r="A629" s="15">
        <v>628</v>
      </c>
      <c r="B629" s="736" t="s">
        <v>3086</v>
      </c>
      <c r="C629" s="16" t="s">
        <v>426</v>
      </c>
      <c r="D629" s="20" t="s">
        <v>3110</v>
      </c>
      <c r="E629" s="2" t="s">
        <v>3228</v>
      </c>
      <c r="F629" s="2" t="s">
        <v>3590</v>
      </c>
      <c r="G629" s="17">
        <v>25085221</v>
      </c>
      <c r="H629" s="2" t="s">
        <v>64</v>
      </c>
      <c r="I629" s="2" t="s">
        <v>427</v>
      </c>
      <c r="J629" s="2"/>
      <c r="K629" s="18">
        <v>44672</v>
      </c>
      <c r="L629" s="18">
        <v>44672</v>
      </c>
      <c r="M629" s="18">
        <v>2958465</v>
      </c>
      <c r="N629" s="1">
        <v>4</v>
      </c>
      <c r="O629" s="19">
        <v>165000</v>
      </c>
      <c r="P629" s="18">
        <v>2958465</v>
      </c>
      <c r="Q629" s="19">
        <v>80000</v>
      </c>
      <c r="R629" s="772" t="s">
        <v>428</v>
      </c>
      <c r="S629" s="18">
        <v>44672</v>
      </c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12.75" customHeight="1">
      <c r="A630" s="15">
        <v>629</v>
      </c>
      <c r="B630" s="736" t="s">
        <v>1555</v>
      </c>
      <c r="C630" s="16" t="s">
        <v>470</v>
      </c>
      <c r="D630" s="20" t="s">
        <v>3110</v>
      </c>
      <c r="E630" s="2" t="s">
        <v>3228</v>
      </c>
      <c r="F630" s="2" t="s">
        <v>3590</v>
      </c>
      <c r="G630" s="17">
        <v>25085221</v>
      </c>
      <c r="H630" s="2" t="s">
        <v>64</v>
      </c>
      <c r="I630" s="2" t="s">
        <v>471</v>
      </c>
      <c r="J630" s="2"/>
      <c r="K630" s="30">
        <v>44729</v>
      </c>
      <c r="L630" s="30">
        <v>44729</v>
      </c>
      <c r="M630" s="30">
        <v>45443</v>
      </c>
      <c r="N630" s="35"/>
      <c r="O630" s="40"/>
      <c r="P630" s="30">
        <v>45443</v>
      </c>
      <c r="Q630" s="40"/>
      <c r="R630" s="31"/>
      <c r="S630" s="37"/>
      <c r="T630" s="35"/>
      <c r="U630" s="35"/>
      <c r="V630" s="35" t="s">
        <v>3091</v>
      </c>
      <c r="W630" s="35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12.75" customHeight="1">
      <c r="A631" s="15">
        <v>630</v>
      </c>
      <c r="B631" s="736" t="s">
        <v>1555</v>
      </c>
      <c r="C631" s="16" t="s">
        <v>1568</v>
      </c>
      <c r="D631" s="20" t="s">
        <v>3110</v>
      </c>
      <c r="E631" s="2" t="s">
        <v>3228</v>
      </c>
      <c r="F631" s="2" t="s">
        <v>3590</v>
      </c>
      <c r="G631" s="17">
        <v>25085221</v>
      </c>
      <c r="H631" s="2" t="s">
        <v>64</v>
      </c>
      <c r="I631" s="2" t="s">
        <v>1569</v>
      </c>
      <c r="J631" s="2"/>
      <c r="K631" s="18">
        <v>44239</v>
      </c>
      <c r="L631" s="18">
        <v>44239</v>
      </c>
      <c r="M631" s="18">
        <v>44651</v>
      </c>
      <c r="N631" s="1"/>
      <c r="O631" s="19">
        <v>72000</v>
      </c>
      <c r="P631" s="18">
        <v>44651</v>
      </c>
      <c r="Q631" s="19"/>
      <c r="R631" s="772"/>
      <c r="S631" s="18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12.75" customHeight="1">
      <c r="A632" s="15">
        <v>631</v>
      </c>
      <c r="B632" s="738" t="s">
        <v>3086</v>
      </c>
      <c r="C632" s="16" t="s">
        <v>1127</v>
      </c>
      <c r="D632" s="20" t="s">
        <v>3110</v>
      </c>
      <c r="E632" s="3" t="s">
        <v>3228</v>
      </c>
      <c r="F632" s="3" t="s">
        <v>3591</v>
      </c>
      <c r="G632" s="17">
        <v>25085000</v>
      </c>
      <c r="H632" s="2" t="s">
        <v>64</v>
      </c>
      <c r="I632" s="2" t="s">
        <v>1128</v>
      </c>
      <c r="J632" s="2" t="s">
        <v>1026</v>
      </c>
      <c r="K632" s="18">
        <v>39832</v>
      </c>
      <c r="L632" s="18">
        <v>39832</v>
      </c>
      <c r="M632" s="18">
        <v>2958465</v>
      </c>
      <c r="N632" s="1"/>
      <c r="O632" s="19">
        <v>4870</v>
      </c>
      <c r="P632" s="18">
        <v>2958465</v>
      </c>
      <c r="Q632" s="19"/>
      <c r="R632" s="773"/>
      <c r="S632" s="18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12.75" customHeight="1">
      <c r="A633" s="15">
        <v>632</v>
      </c>
      <c r="B633" s="736" t="s">
        <v>1555</v>
      </c>
      <c r="C633" s="16" t="s">
        <v>534</v>
      </c>
      <c r="D633" s="20" t="s">
        <v>3087</v>
      </c>
      <c r="E633" s="3" t="s">
        <v>3142</v>
      </c>
      <c r="F633" s="2" t="s">
        <v>3592</v>
      </c>
      <c r="G633" s="17">
        <v>25053370</v>
      </c>
      <c r="H633" s="2" t="s">
        <v>118</v>
      </c>
      <c r="I633" s="2" t="s">
        <v>512</v>
      </c>
      <c r="J633" s="2"/>
      <c r="K633" s="30">
        <v>44846</v>
      </c>
      <c r="L633" s="30">
        <v>44846</v>
      </c>
      <c r="M633" s="30">
        <v>45577</v>
      </c>
      <c r="N633" s="35"/>
      <c r="O633" s="40"/>
      <c r="P633" s="30">
        <v>45577</v>
      </c>
      <c r="Q633" s="40"/>
      <c r="R633" s="31"/>
      <c r="S633" s="37"/>
      <c r="T633" s="35"/>
      <c r="U633" s="35">
        <v>6</v>
      </c>
      <c r="V633" s="35"/>
      <c r="W633" s="35"/>
      <c r="X633" s="2"/>
      <c r="Y633" s="2" t="s">
        <v>4743</v>
      </c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12.75" customHeight="1">
      <c r="A634" s="15">
        <v>633</v>
      </c>
      <c r="B634" s="736" t="s">
        <v>1555</v>
      </c>
      <c r="C634" s="16" t="s">
        <v>2492</v>
      </c>
      <c r="D634" s="20" t="s">
        <v>3087</v>
      </c>
      <c r="E634" s="2" t="s">
        <v>3097</v>
      </c>
      <c r="F634" s="2" t="s">
        <v>3593</v>
      </c>
      <c r="G634" s="17">
        <v>24824488</v>
      </c>
      <c r="H634" s="96" t="s">
        <v>830</v>
      </c>
      <c r="I634" s="2" t="s">
        <v>2493</v>
      </c>
      <c r="J634" s="2"/>
      <c r="K634" s="18">
        <v>44888</v>
      </c>
      <c r="L634" s="18">
        <v>44888</v>
      </c>
      <c r="M634" s="18">
        <v>44963</v>
      </c>
      <c r="N634" s="1"/>
      <c r="O634" s="19">
        <v>350</v>
      </c>
      <c r="P634" s="18">
        <v>44963</v>
      </c>
      <c r="Q634" s="19"/>
      <c r="R634" s="772"/>
      <c r="S634" s="18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12.75" customHeight="1">
      <c r="A635" s="15">
        <v>634</v>
      </c>
      <c r="B635" s="736" t="s">
        <v>3086</v>
      </c>
      <c r="C635" s="16" t="s">
        <v>881</v>
      </c>
      <c r="D635" s="21" t="s">
        <v>3116</v>
      </c>
      <c r="E635" s="2"/>
      <c r="F635" s="2" t="s">
        <v>3594</v>
      </c>
      <c r="G635" s="17">
        <v>24808741</v>
      </c>
      <c r="H635" s="2" t="s">
        <v>880</v>
      </c>
      <c r="I635" s="2" t="s">
        <v>882</v>
      </c>
      <c r="J635" s="2"/>
      <c r="K635" s="30">
        <v>45278</v>
      </c>
      <c r="L635" s="30">
        <v>45278</v>
      </c>
      <c r="M635" s="30">
        <v>2958465</v>
      </c>
      <c r="N635" s="31">
        <v>1</v>
      </c>
      <c r="O635" s="32" t="s">
        <v>3595</v>
      </c>
      <c r="P635" s="30">
        <v>2958465</v>
      </c>
      <c r="Q635" s="40"/>
      <c r="R635" s="31"/>
      <c r="S635" s="37"/>
      <c r="T635" s="35"/>
      <c r="U635" s="3">
        <v>3</v>
      </c>
      <c r="V635" s="35" t="s">
        <v>4625</v>
      </c>
      <c r="W635" s="35" t="s">
        <v>4625</v>
      </c>
      <c r="X635" s="43" t="s">
        <v>3596</v>
      </c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12.75" customHeight="1">
      <c r="A636" s="15">
        <v>635</v>
      </c>
      <c r="B636" s="736" t="s">
        <v>3086</v>
      </c>
      <c r="C636" s="16" t="s">
        <v>883</v>
      </c>
      <c r="D636" s="21" t="s">
        <v>3116</v>
      </c>
      <c r="E636" s="2"/>
      <c r="F636" s="2" t="s">
        <v>3594</v>
      </c>
      <c r="G636" s="17">
        <v>24808741</v>
      </c>
      <c r="H636" s="2" t="s">
        <v>271</v>
      </c>
      <c r="I636" s="2" t="s">
        <v>884</v>
      </c>
      <c r="J636" s="2"/>
      <c r="K636" s="30">
        <v>45278</v>
      </c>
      <c r="L636" s="30">
        <v>45278</v>
      </c>
      <c r="M636" s="30">
        <v>2958465</v>
      </c>
      <c r="N636" s="35"/>
      <c r="O636" s="32">
        <v>0</v>
      </c>
      <c r="P636" s="30">
        <v>2958465</v>
      </c>
      <c r="Q636" s="40"/>
      <c r="R636" s="31"/>
      <c r="S636" s="37"/>
      <c r="T636" s="35"/>
      <c r="U636" s="3">
        <v>3</v>
      </c>
      <c r="V636" s="35" t="s">
        <v>4625</v>
      </c>
      <c r="W636" s="35" t="s">
        <v>4625</v>
      </c>
      <c r="X636" s="42" t="s">
        <v>3597</v>
      </c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12.75" customHeight="1">
      <c r="A637" s="15">
        <v>636</v>
      </c>
      <c r="B637" s="736" t="s">
        <v>1555</v>
      </c>
      <c r="C637" s="16" t="s">
        <v>2004</v>
      </c>
      <c r="D637" s="20" t="s">
        <v>3087</v>
      </c>
      <c r="E637" s="2" t="s">
        <v>3097</v>
      </c>
      <c r="F637" s="77" t="s">
        <v>3598</v>
      </c>
      <c r="G637" s="17">
        <v>24808636</v>
      </c>
      <c r="H637" s="96" t="s">
        <v>830</v>
      </c>
      <c r="I637" s="2" t="s">
        <v>2005</v>
      </c>
      <c r="J637" s="2"/>
      <c r="K637" s="18">
        <v>44624</v>
      </c>
      <c r="L637" s="18">
        <v>44624</v>
      </c>
      <c r="M637" s="18">
        <v>44651</v>
      </c>
      <c r="N637" s="1"/>
      <c r="O637" s="19">
        <v>2450</v>
      </c>
      <c r="P637" s="18">
        <v>44651</v>
      </c>
      <c r="Q637" s="19"/>
      <c r="R637" s="772"/>
      <c r="S637" s="18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12.75" customHeight="1">
      <c r="A638" s="15">
        <v>637</v>
      </c>
      <c r="B638" s="736" t="s">
        <v>1555</v>
      </c>
      <c r="C638" s="16" t="s">
        <v>2592</v>
      </c>
      <c r="D638" s="20" t="s">
        <v>3087</v>
      </c>
      <c r="E638" s="2" t="s">
        <v>3097</v>
      </c>
      <c r="F638" s="2" t="s">
        <v>3599</v>
      </c>
      <c r="G638" s="17">
        <v>24781622</v>
      </c>
      <c r="H638" s="96" t="s">
        <v>830</v>
      </c>
      <c r="I638" s="2" t="s">
        <v>2593</v>
      </c>
      <c r="J638" s="2"/>
      <c r="K638" s="18">
        <v>44949</v>
      </c>
      <c r="L638" s="18">
        <v>44949</v>
      </c>
      <c r="M638" s="18">
        <v>44985</v>
      </c>
      <c r="N638" s="1"/>
      <c r="O638" s="19">
        <v>6000</v>
      </c>
      <c r="P638" s="18">
        <v>44985</v>
      </c>
      <c r="Q638" s="19"/>
      <c r="R638" s="772"/>
      <c r="S638" s="18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12.75" customHeight="1">
      <c r="A639" s="15">
        <v>638</v>
      </c>
      <c r="B639" s="736" t="s">
        <v>1555</v>
      </c>
      <c r="C639" s="16" t="s">
        <v>855</v>
      </c>
      <c r="D639" s="20" t="s">
        <v>3087</v>
      </c>
      <c r="E639" s="2" t="s">
        <v>3197</v>
      </c>
      <c r="F639" s="2" t="s">
        <v>3600</v>
      </c>
      <c r="G639" s="17">
        <v>24766356</v>
      </c>
      <c r="H639" s="2" t="s">
        <v>546</v>
      </c>
      <c r="I639" s="2" t="s">
        <v>856</v>
      </c>
      <c r="J639" s="2"/>
      <c r="K639" s="30">
        <v>45273</v>
      </c>
      <c r="L639" s="30">
        <v>45273</v>
      </c>
      <c r="M639" s="30">
        <v>45382</v>
      </c>
      <c r="N639" s="35"/>
      <c r="O639" s="32" t="s">
        <v>3601</v>
      </c>
      <c r="P639" s="30">
        <v>45382</v>
      </c>
      <c r="Q639" s="40">
        <v>293671.84000000003</v>
      </c>
      <c r="R639" s="775" t="s">
        <v>857</v>
      </c>
      <c r="S639" s="34">
        <v>45274</v>
      </c>
      <c r="T639" s="35"/>
      <c r="U639" s="35"/>
      <c r="V639" s="35" t="s">
        <v>3091</v>
      </c>
      <c r="W639" s="35"/>
      <c r="X639" s="2" t="s">
        <v>3568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12.75" customHeight="1">
      <c r="A640" s="15">
        <v>639</v>
      </c>
      <c r="B640" s="736" t="s">
        <v>1555</v>
      </c>
      <c r="C640" s="16" t="s">
        <v>1817</v>
      </c>
      <c r="D640" s="20" t="s">
        <v>3087</v>
      </c>
      <c r="E640" s="2" t="s">
        <v>3202</v>
      </c>
      <c r="F640" s="2" t="s">
        <v>3600</v>
      </c>
      <c r="G640" s="17">
        <v>24766356</v>
      </c>
      <c r="H640" s="2" t="s">
        <v>361</v>
      </c>
      <c r="I640" s="2" t="s">
        <v>1818</v>
      </c>
      <c r="J640" s="2"/>
      <c r="K640" s="18">
        <v>44456</v>
      </c>
      <c r="L640" s="18">
        <v>44456</v>
      </c>
      <c r="M640" s="18">
        <v>45185</v>
      </c>
      <c r="N640" s="1"/>
      <c r="O640" s="19">
        <v>330550</v>
      </c>
      <c r="P640" s="18">
        <v>45185</v>
      </c>
      <c r="Q640" s="19"/>
      <c r="R640" s="772"/>
      <c r="S640" s="18"/>
      <c r="T640" s="2"/>
      <c r="U640" s="2"/>
      <c r="V640" s="74" t="s">
        <v>3602</v>
      </c>
      <c r="W640" s="74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12.75" customHeight="1">
      <c r="A641" s="15">
        <v>640</v>
      </c>
      <c r="B641" s="736" t="s">
        <v>1555</v>
      </c>
      <c r="C641" s="16" t="s">
        <v>3003</v>
      </c>
      <c r="D641" s="20" t="s">
        <v>3087</v>
      </c>
      <c r="E641" s="2" t="s">
        <v>3197</v>
      </c>
      <c r="F641" s="2" t="s">
        <v>3600</v>
      </c>
      <c r="G641" s="17">
        <v>24766356</v>
      </c>
      <c r="H641" s="2" t="s">
        <v>546</v>
      </c>
      <c r="I641" s="2" t="s">
        <v>3004</v>
      </c>
      <c r="J641" s="2"/>
      <c r="K641" s="18">
        <v>45243</v>
      </c>
      <c r="L641" s="18">
        <v>45243</v>
      </c>
      <c r="M641" s="18">
        <v>45291</v>
      </c>
      <c r="N641" s="1"/>
      <c r="O641" s="19">
        <v>164245.4</v>
      </c>
      <c r="P641" s="18">
        <v>45291</v>
      </c>
      <c r="Q641" s="19"/>
      <c r="R641" s="772"/>
      <c r="S641" s="18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12.75" customHeight="1">
      <c r="A642" s="15">
        <v>641</v>
      </c>
      <c r="B642" s="736" t="s">
        <v>1555</v>
      </c>
      <c r="C642" s="16" t="s">
        <v>2502</v>
      </c>
      <c r="D642" s="20" t="s">
        <v>3087</v>
      </c>
      <c r="E642" s="2" t="s">
        <v>3197</v>
      </c>
      <c r="F642" s="2" t="s">
        <v>3600</v>
      </c>
      <c r="G642" s="17">
        <v>24766356</v>
      </c>
      <c r="H642" s="2" t="s">
        <v>546</v>
      </c>
      <c r="I642" s="2" t="s">
        <v>2503</v>
      </c>
      <c r="J642" s="2"/>
      <c r="K642" s="18">
        <v>44904</v>
      </c>
      <c r="L642" s="18">
        <v>44904</v>
      </c>
      <c r="M642" s="18">
        <v>44957</v>
      </c>
      <c r="N642" s="1"/>
      <c r="O642" s="19">
        <v>141292</v>
      </c>
      <c r="P642" s="18">
        <v>44957</v>
      </c>
      <c r="Q642" s="19"/>
      <c r="R642" s="772"/>
      <c r="S642" s="18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12.75" customHeight="1">
      <c r="A643" s="15">
        <v>642</v>
      </c>
      <c r="B643" s="736" t="s">
        <v>1555</v>
      </c>
      <c r="C643" s="16" t="s">
        <v>2519</v>
      </c>
      <c r="D643" s="20" t="s">
        <v>3087</v>
      </c>
      <c r="E643" s="2" t="s">
        <v>3197</v>
      </c>
      <c r="F643" s="2" t="s">
        <v>3600</v>
      </c>
      <c r="G643" s="17">
        <v>24766356</v>
      </c>
      <c r="H643" s="2" t="s">
        <v>546</v>
      </c>
      <c r="I643" s="2" t="s">
        <v>2520</v>
      </c>
      <c r="J643" s="2"/>
      <c r="K643" s="18">
        <v>44910</v>
      </c>
      <c r="L643" s="18">
        <v>44910</v>
      </c>
      <c r="M643" s="18">
        <v>44935</v>
      </c>
      <c r="N643" s="1"/>
      <c r="O643" s="19">
        <v>197714</v>
      </c>
      <c r="P643" s="18">
        <v>44935</v>
      </c>
      <c r="Q643" s="19"/>
      <c r="R643" s="772"/>
      <c r="S643" s="18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12.75" customHeight="1">
      <c r="A644" s="15">
        <v>643</v>
      </c>
      <c r="B644" s="737" t="s">
        <v>3086</v>
      </c>
      <c r="C644" s="71" t="s">
        <v>1235</v>
      </c>
      <c r="D644" s="15" t="s">
        <v>3168</v>
      </c>
      <c r="E644" s="75" t="s">
        <v>3603</v>
      </c>
      <c r="F644" s="75" t="s">
        <v>3604</v>
      </c>
      <c r="G644" s="76">
        <v>24745391</v>
      </c>
      <c r="H644" s="77" t="s">
        <v>1236</v>
      </c>
      <c r="I644" s="77" t="s">
        <v>1237</v>
      </c>
      <c r="K644" s="18">
        <v>40896</v>
      </c>
      <c r="L644" s="18">
        <v>40896</v>
      </c>
      <c r="M644" s="18">
        <v>2958465</v>
      </c>
      <c r="N644" s="1"/>
      <c r="O644" s="19"/>
      <c r="P644" s="18">
        <v>2958465</v>
      </c>
      <c r="Q644" s="19"/>
      <c r="R644" s="773"/>
      <c r="S644" s="18"/>
      <c r="T644" s="2"/>
      <c r="U644" s="2"/>
      <c r="V644" s="2"/>
      <c r="W644" s="2"/>
      <c r="X644" s="43" t="s">
        <v>3605</v>
      </c>
      <c r="Y644" s="2" t="s">
        <v>5066</v>
      </c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12.75" customHeight="1">
      <c r="A645" s="15">
        <v>644</v>
      </c>
      <c r="B645" s="738" t="s">
        <v>3086</v>
      </c>
      <c r="C645" s="16" t="s">
        <v>125</v>
      </c>
      <c r="D645" s="15" t="s">
        <v>3168</v>
      </c>
      <c r="E645" s="3" t="s">
        <v>3117</v>
      </c>
      <c r="F645" s="3" t="s">
        <v>3604</v>
      </c>
      <c r="G645" s="17">
        <v>24745391</v>
      </c>
      <c r="H645" s="2" t="s">
        <v>124</v>
      </c>
      <c r="I645" s="2" t="s">
        <v>126</v>
      </c>
      <c r="K645" s="18">
        <v>43269</v>
      </c>
      <c r="L645" s="18">
        <v>43634</v>
      </c>
      <c r="M645" s="18">
        <v>2958465</v>
      </c>
      <c r="N645" s="1"/>
      <c r="O645" s="19">
        <v>0</v>
      </c>
      <c r="P645" s="18">
        <v>2958465</v>
      </c>
      <c r="Q645" s="19"/>
      <c r="R645" s="773"/>
      <c r="S645" s="18"/>
      <c r="T645" s="2"/>
      <c r="U645" s="2"/>
      <c r="V645" s="2"/>
      <c r="W645" s="2"/>
      <c r="X645" s="43" t="s">
        <v>3606</v>
      </c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12.75" customHeight="1">
      <c r="A646" s="15">
        <v>645</v>
      </c>
      <c r="B646" s="738" t="s">
        <v>3086</v>
      </c>
      <c r="C646" s="16" t="s">
        <v>72</v>
      </c>
      <c r="D646" s="15" t="s">
        <v>3110</v>
      </c>
      <c r="E646" s="3" t="s">
        <v>3520</v>
      </c>
      <c r="F646" s="3" t="s">
        <v>3604</v>
      </c>
      <c r="G646" s="17">
        <v>24745391</v>
      </c>
      <c r="H646" s="2" t="s">
        <v>71</v>
      </c>
      <c r="I646" s="2" t="s">
        <v>73</v>
      </c>
      <c r="J646" s="2" t="s">
        <v>74</v>
      </c>
      <c r="K646" s="18">
        <v>43053</v>
      </c>
      <c r="L646" s="18">
        <v>43053</v>
      </c>
      <c r="M646" s="18">
        <v>2958465</v>
      </c>
      <c r="N646" s="1"/>
      <c r="O646" s="19">
        <v>500000</v>
      </c>
      <c r="P646" s="78">
        <v>2958465</v>
      </c>
      <c r="Q646" s="19">
        <v>500000</v>
      </c>
      <c r="R646" s="772" t="s">
        <v>75</v>
      </c>
      <c r="S646" s="18">
        <v>43055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12.75" customHeight="1">
      <c r="A647" s="15">
        <v>646</v>
      </c>
      <c r="B647" s="736" t="s">
        <v>3086</v>
      </c>
      <c r="C647" s="16" t="s">
        <v>610</v>
      </c>
      <c r="D647" s="3" t="s">
        <v>3139</v>
      </c>
      <c r="E647" s="2" t="s">
        <v>3117</v>
      </c>
      <c r="F647" s="2" t="s">
        <v>3607</v>
      </c>
      <c r="G647" s="17">
        <v>24744808</v>
      </c>
      <c r="H647" s="2" t="s">
        <v>506</v>
      </c>
      <c r="I647" s="2" t="s">
        <v>611</v>
      </c>
      <c r="J647" s="2"/>
      <c r="K647" s="18">
        <v>44943</v>
      </c>
      <c r="L647" s="18">
        <v>44943</v>
      </c>
      <c r="M647" s="18">
        <v>46038</v>
      </c>
      <c r="N647" s="1">
        <v>5</v>
      </c>
      <c r="O647" s="19">
        <v>598950</v>
      </c>
      <c r="P647" s="18">
        <v>46038</v>
      </c>
      <c r="Q647" s="19">
        <v>598950</v>
      </c>
      <c r="R647" s="772" t="s">
        <v>612</v>
      </c>
      <c r="S647" s="18">
        <v>44944</v>
      </c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12.75" customHeight="1">
      <c r="A648" s="15">
        <v>647</v>
      </c>
      <c r="B648" s="738" t="s">
        <v>3086</v>
      </c>
      <c r="C648" s="16" t="s">
        <v>1037</v>
      </c>
      <c r="D648" s="2" t="s">
        <v>3110</v>
      </c>
      <c r="E648" s="3" t="s">
        <v>3123</v>
      </c>
      <c r="F648" s="3" t="s">
        <v>3608</v>
      </c>
      <c r="G648" s="17">
        <v>24738875</v>
      </c>
      <c r="H648" s="2" t="s">
        <v>323</v>
      </c>
      <c r="I648" s="2" t="s">
        <v>1038</v>
      </c>
      <c r="J648" s="2" t="s">
        <v>1038</v>
      </c>
      <c r="K648" s="18">
        <v>38336</v>
      </c>
      <c r="L648" s="18">
        <v>38336</v>
      </c>
      <c r="M648" s="18">
        <v>2958465</v>
      </c>
      <c r="N648" s="1"/>
      <c r="O648" s="19">
        <v>46200</v>
      </c>
      <c r="P648" s="18">
        <v>2958465</v>
      </c>
      <c r="Q648" s="19"/>
      <c r="R648" s="773"/>
      <c r="S648" s="18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12.75" customHeight="1">
      <c r="A649" s="15">
        <v>648</v>
      </c>
      <c r="B649" s="738" t="s">
        <v>3086</v>
      </c>
      <c r="C649" s="16" t="s">
        <v>1041</v>
      </c>
      <c r="D649" s="2" t="s">
        <v>3110</v>
      </c>
      <c r="E649" s="3" t="s">
        <v>3123</v>
      </c>
      <c r="F649" s="3" t="s">
        <v>3608</v>
      </c>
      <c r="G649" s="17">
        <v>24738875</v>
      </c>
      <c r="H649" s="2" t="s">
        <v>323</v>
      </c>
      <c r="I649" s="2" t="s">
        <v>1042</v>
      </c>
      <c r="J649" s="2" t="s">
        <v>1042</v>
      </c>
      <c r="K649" s="18">
        <v>38418</v>
      </c>
      <c r="L649" s="18">
        <v>38418</v>
      </c>
      <c r="M649" s="18">
        <v>2958465</v>
      </c>
      <c r="N649" s="1"/>
      <c r="O649" s="19">
        <v>46200</v>
      </c>
      <c r="P649" s="18">
        <v>2958465</v>
      </c>
      <c r="Q649" s="19"/>
      <c r="R649" s="773"/>
      <c r="S649" s="18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12.75" customHeight="1">
      <c r="A650" s="15">
        <v>649</v>
      </c>
      <c r="B650" s="738" t="s">
        <v>3086</v>
      </c>
      <c r="C650" s="16" t="s">
        <v>1043</v>
      </c>
      <c r="D650" s="2" t="s">
        <v>3110</v>
      </c>
      <c r="E650" s="3" t="s">
        <v>3123</v>
      </c>
      <c r="F650" s="3" t="s">
        <v>3608</v>
      </c>
      <c r="G650" s="17">
        <v>24738875</v>
      </c>
      <c r="H650" s="2" t="s">
        <v>323</v>
      </c>
      <c r="I650" s="2" t="s">
        <v>1044</v>
      </c>
      <c r="J650" s="2" t="s">
        <v>1044</v>
      </c>
      <c r="K650" s="18">
        <v>38413</v>
      </c>
      <c r="L650" s="18">
        <v>38413</v>
      </c>
      <c r="M650" s="18">
        <v>2958465</v>
      </c>
      <c r="N650" s="1"/>
      <c r="O650" s="19">
        <v>46200</v>
      </c>
      <c r="P650" s="18">
        <v>2958465</v>
      </c>
      <c r="Q650" s="19"/>
      <c r="R650" s="773"/>
      <c r="S650" s="18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12.75" customHeight="1">
      <c r="A651" s="15">
        <v>650</v>
      </c>
      <c r="B651" s="738" t="s">
        <v>3086</v>
      </c>
      <c r="C651" s="16" t="s">
        <v>1202</v>
      </c>
      <c r="D651" s="2" t="s">
        <v>3110</v>
      </c>
      <c r="E651" s="3" t="s">
        <v>3123</v>
      </c>
      <c r="F651" s="3" t="s">
        <v>3608</v>
      </c>
      <c r="G651" s="17">
        <v>24738875</v>
      </c>
      <c r="H651" s="2" t="s">
        <v>323</v>
      </c>
      <c r="I651" s="2" t="s">
        <v>1203</v>
      </c>
      <c r="J651" s="2" t="s">
        <v>1203</v>
      </c>
      <c r="K651" s="18">
        <v>40645</v>
      </c>
      <c r="L651" s="18">
        <v>40645</v>
      </c>
      <c r="M651" s="18">
        <v>46022</v>
      </c>
      <c r="N651" s="1"/>
      <c r="O651" s="19">
        <v>52500</v>
      </c>
      <c r="P651" s="18">
        <v>46022</v>
      </c>
      <c r="Q651" s="19"/>
      <c r="R651" s="773"/>
      <c r="S651" s="18"/>
      <c r="T651" s="2"/>
      <c r="U651" s="2"/>
      <c r="V651" s="2"/>
      <c r="W651" s="2"/>
      <c r="X651" s="79" t="s">
        <v>3609</v>
      </c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12.75" customHeight="1">
      <c r="A652" s="15">
        <v>651</v>
      </c>
      <c r="B652" s="738" t="s">
        <v>3086</v>
      </c>
      <c r="C652" s="16" t="s">
        <v>163</v>
      </c>
      <c r="D652" s="2" t="s">
        <v>3110</v>
      </c>
      <c r="E652" s="2" t="s">
        <v>3141</v>
      </c>
      <c r="F652" s="3" t="s">
        <v>3610</v>
      </c>
      <c r="G652" s="17">
        <v>24729035</v>
      </c>
      <c r="H652" s="2" t="s">
        <v>162</v>
      </c>
      <c r="I652" s="2" t="s">
        <v>164</v>
      </c>
      <c r="K652" s="18">
        <v>43454</v>
      </c>
      <c r="L652" s="18">
        <v>43466</v>
      </c>
      <c r="M652" s="18">
        <v>2958465</v>
      </c>
      <c r="N652" s="1"/>
      <c r="O652" s="19">
        <v>0</v>
      </c>
      <c r="P652" s="18">
        <v>2958465</v>
      </c>
      <c r="Q652" s="19"/>
      <c r="R652" s="773"/>
      <c r="S652" s="18"/>
      <c r="T652" s="2"/>
      <c r="U652" s="2">
        <v>3</v>
      </c>
      <c r="V652" s="3" t="s">
        <v>4625</v>
      </c>
      <c r="W652" s="3" t="s">
        <v>4625</v>
      </c>
      <c r="X652" s="43" t="s">
        <v>3611</v>
      </c>
      <c r="Y652" s="2" t="s">
        <v>4783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12.75" customHeight="1">
      <c r="A653" s="15">
        <v>652</v>
      </c>
      <c r="B653" s="736" t="s">
        <v>3086</v>
      </c>
      <c r="C653" s="16" t="s">
        <v>315</v>
      </c>
      <c r="D653" s="2" t="s">
        <v>3110</v>
      </c>
      <c r="E653" s="2" t="s">
        <v>3141</v>
      </c>
      <c r="F653" s="3" t="s">
        <v>3610</v>
      </c>
      <c r="G653" s="17">
        <v>24729035</v>
      </c>
      <c r="H653" s="2" t="s">
        <v>162</v>
      </c>
      <c r="I653" s="2" t="s">
        <v>316</v>
      </c>
      <c r="J653" s="2"/>
      <c r="K653" s="18">
        <v>44307</v>
      </c>
      <c r="L653" s="18">
        <v>44307</v>
      </c>
      <c r="M653" s="18">
        <v>2958465</v>
      </c>
      <c r="N653" s="1"/>
      <c r="O653" s="19">
        <v>0</v>
      </c>
      <c r="P653" s="18">
        <v>2958465</v>
      </c>
      <c r="Q653" s="19"/>
      <c r="R653" s="772"/>
      <c r="S653" s="18"/>
      <c r="T653" s="2"/>
      <c r="U653" s="2">
        <v>3</v>
      </c>
      <c r="V653" s="3" t="s">
        <v>4625</v>
      </c>
      <c r="W653" s="3" t="s">
        <v>4625</v>
      </c>
      <c r="X653" s="43" t="s">
        <v>3612</v>
      </c>
      <c r="Y653" s="2" t="s">
        <v>4783</v>
      </c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12.75" customHeight="1">
      <c r="A654" s="15">
        <v>653</v>
      </c>
      <c r="B654" s="736" t="s">
        <v>1555</v>
      </c>
      <c r="C654" s="16" t="s">
        <v>639</v>
      </c>
      <c r="D654" s="15" t="s">
        <v>3121</v>
      </c>
      <c r="E654" s="2" t="s">
        <v>3117</v>
      </c>
      <c r="F654" s="2" t="s">
        <v>3613</v>
      </c>
      <c r="G654" s="17">
        <v>24715298</v>
      </c>
      <c r="H654" s="2" t="s">
        <v>506</v>
      </c>
      <c r="I654" s="2" t="s">
        <v>640</v>
      </c>
      <c r="J654" s="2"/>
      <c r="K654" s="18">
        <v>44987</v>
      </c>
      <c r="L654" s="18">
        <v>44987</v>
      </c>
      <c r="M654" s="18">
        <v>46448</v>
      </c>
      <c r="N654" s="1"/>
      <c r="O654" s="19">
        <v>1440000</v>
      </c>
      <c r="P654" s="18">
        <v>46448</v>
      </c>
      <c r="Q654" s="19">
        <v>1440000</v>
      </c>
      <c r="R654" s="772" t="s">
        <v>641</v>
      </c>
      <c r="S654" s="18">
        <v>44987</v>
      </c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12.75" customHeight="1">
      <c r="A655" s="15">
        <v>654</v>
      </c>
      <c r="B655" s="736" t="s">
        <v>1555</v>
      </c>
      <c r="C655" s="16" t="s">
        <v>1705</v>
      </c>
      <c r="D655" s="20" t="s">
        <v>3087</v>
      </c>
      <c r="E655" s="2" t="s">
        <v>3162</v>
      </c>
      <c r="F655" s="2" t="s">
        <v>3614</v>
      </c>
      <c r="G655" s="17">
        <v>24676772</v>
      </c>
      <c r="H655" s="96" t="s">
        <v>830</v>
      </c>
      <c r="I655" s="2" t="s">
        <v>1706</v>
      </c>
      <c r="J655" s="2"/>
      <c r="K655" s="18">
        <v>44362</v>
      </c>
      <c r="L655" s="18">
        <v>44378</v>
      </c>
      <c r="M655" s="18">
        <v>44439</v>
      </c>
      <c r="N655" s="1"/>
      <c r="O655" s="19">
        <v>2450</v>
      </c>
      <c r="P655" s="18">
        <v>44439</v>
      </c>
      <c r="Q655" s="19"/>
      <c r="R655" s="772"/>
      <c r="S655" s="18"/>
      <c r="T655" s="2"/>
      <c r="U655" s="2"/>
      <c r="V655" s="2" t="s">
        <v>3091</v>
      </c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12.75" customHeight="1">
      <c r="A656" s="15">
        <v>655</v>
      </c>
      <c r="B656" s="736" t="s">
        <v>3086</v>
      </c>
      <c r="C656" s="16" t="s">
        <v>753</v>
      </c>
      <c r="D656" s="2" t="s">
        <v>3094</v>
      </c>
      <c r="E656" s="3" t="s">
        <v>3095</v>
      </c>
      <c r="F656" s="2" t="s">
        <v>3615</v>
      </c>
      <c r="G656" s="17">
        <v>24290386</v>
      </c>
      <c r="H656" s="2" t="s">
        <v>100</v>
      </c>
      <c r="I656" s="2" t="s">
        <v>754</v>
      </c>
      <c r="J656" s="2"/>
      <c r="K656" s="18">
        <v>45139</v>
      </c>
      <c r="L656" s="18">
        <v>45139</v>
      </c>
      <c r="M656" s="18">
        <v>46599</v>
      </c>
      <c r="N656" s="1"/>
      <c r="O656" s="19"/>
      <c r="P656" s="18">
        <v>46599</v>
      </c>
      <c r="Q656" s="19">
        <v>0</v>
      </c>
      <c r="R656" s="772" t="s">
        <v>755</v>
      </c>
      <c r="S656" s="18">
        <v>45145</v>
      </c>
      <c r="T656" s="2"/>
      <c r="U656" s="105">
        <v>3</v>
      </c>
      <c r="V656" s="2"/>
      <c r="W656" s="2" t="s">
        <v>4625</v>
      </c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12.75" customHeight="1">
      <c r="A657" s="15">
        <v>656</v>
      </c>
      <c r="B657" s="738" t="s">
        <v>1555</v>
      </c>
      <c r="C657" s="16" t="s">
        <v>288</v>
      </c>
      <c r="D657" s="20" t="s">
        <v>3087</v>
      </c>
      <c r="E657" s="3" t="s">
        <v>3142</v>
      </c>
      <c r="F657" s="3" t="s">
        <v>3616</v>
      </c>
      <c r="G657" s="17">
        <v>24288781</v>
      </c>
      <c r="H657" s="2" t="s">
        <v>118</v>
      </c>
      <c r="I657" s="2" t="s">
        <v>289</v>
      </c>
      <c r="K657" s="18">
        <v>44139</v>
      </c>
      <c r="L657" s="18">
        <v>44139</v>
      </c>
      <c r="M657" s="18">
        <v>45600</v>
      </c>
      <c r="N657" s="1"/>
      <c r="O657" s="19"/>
      <c r="P657" s="18">
        <v>45600</v>
      </c>
      <c r="Q657" s="19"/>
      <c r="R657" s="773"/>
      <c r="S657" s="18"/>
      <c r="T657" s="2"/>
      <c r="U657" s="2">
        <v>3</v>
      </c>
      <c r="V657" s="2"/>
      <c r="W657" s="2"/>
      <c r="X657" s="2"/>
      <c r="Y657" s="2" t="s">
        <v>4743</v>
      </c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12.75" customHeight="1">
      <c r="A658" s="15">
        <v>657</v>
      </c>
      <c r="B658" s="738" t="s">
        <v>3086</v>
      </c>
      <c r="C658" s="16" t="s">
        <v>24</v>
      </c>
      <c r="D658" s="21" t="s">
        <v>3116</v>
      </c>
      <c r="E658" s="3" t="s">
        <v>3166</v>
      </c>
      <c r="F658" s="3" t="s">
        <v>3617</v>
      </c>
      <c r="G658" s="17">
        <v>24288705</v>
      </c>
      <c r="H658" s="2" t="s">
        <v>23</v>
      </c>
      <c r="I658" s="2" t="s">
        <v>25</v>
      </c>
      <c r="K658" s="18">
        <v>42765</v>
      </c>
      <c r="L658" s="18">
        <v>42765</v>
      </c>
      <c r="M658" s="18">
        <v>2958465</v>
      </c>
      <c r="N658" s="1">
        <v>1</v>
      </c>
      <c r="O658" s="19">
        <v>20000</v>
      </c>
      <c r="P658" s="18">
        <v>2958465</v>
      </c>
      <c r="Q658" s="19"/>
      <c r="R658" s="773"/>
      <c r="S658" s="18"/>
      <c r="T658" s="2"/>
      <c r="U658" s="3">
        <v>3</v>
      </c>
      <c r="V658" s="35" t="s">
        <v>4625</v>
      </c>
      <c r="W658" s="35" t="s">
        <v>4625</v>
      </c>
      <c r="X658" s="43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12.75" customHeight="1">
      <c r="A659" s="15">
        <v>658</v>
      </c>
      <c r="B659" s="738" t="s">
        <v>3086</v>
      </c>
      <c r="C659" s="16" t="s">
        <v>1410</v>
      </c>
      <c r="D659" s="21" t="s">
        <v>3116</v>
      </c>
      <c r="E659" s="3" t="s">
        <v>3166</v>
      </c>
      <c r="F659" s="3" t="s">
        <v>3617</v>
      </c>
      <c r="G659" s="17">
        <v>24288705</v>
      </c>
      <c r="H659" s="2" t="s">
        <v>23</v>
      </c>
      <c r="I659" s="2" t="s">
        <v>1411</v>
      </c>
      <c r="J659" s="2" t="s">
        <v>1412</v>
      </c>
      <c r="K659" s="18">
        <v>42150</v>
      </c>
      <c r="L659" s="18">
        <v>42150</v>
      </c>
      <c r="M659" s="18">
        <v>2958465</v>
      </c>
      <c r="N659" s="1"/>
      <c r="O659" s="19">
        <v>960</v>
      </c>
      <c r="P659" s="18">
        <v>2958465</v>
      </c>
      <c r="Q659" s="19">
        <v>299</v>
      </c>
      <c r="R659" s="772" t="s">
        <v>1413</v>
      </c>
      <c r="S659" s="18">
        <v>42919</v>
      </c>
      <c r="T659" s="2"/>
      <c r="U659" s="3">
        <v>3</v>
      </c>
      <c r="V659" s="35" t="s">
        <v>4625</v>
      </c>
      <c r="W659" s="35" t="s">
        <v>4625</v>
      </c>
      <c r="X659" s="43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12.75" customHeight="1">
      <c r="A660" s="15">
        <v>659</v>
      </c>
      <c r="B660" s="738" t="s">
        <v>3086</v>
      </c>
      <c r="C660" s="16" t="s">
        <v>218</v>
      </c>
      <c r="D660" s="21" t="s">
        <v>3116</v>
      </c>
      <c r="E660" s="3" t="s">
        <v>3166</v>
      </c>
      <c r="F660" s="3" t="s">
        <v>3617</v>
      </c>
      <c r="G660" s="17">
        <v>24288705</v>
      </c>
      <c r="H660" s="2" t="s">
        <v>23</v>
      </c>
      <c r="I660" s="2" t="s">
        <v>219</v>
      </c>
      <c r="K660" s="18">
        <v>43858</v>
      </c>
      <c r="L660" s="18">
        <v>43871</v>
      </c>
      <c r="M660" s="18">
        <v>2958465</v>
      </c>
      <c r="N660" s="1"/>
      <c r="O660" s="19">
        <v>4200</v>
      </c>
      <c r="P660" s="18">
        <v>2958465</v>
      </c>
      <c r="Q660" s="19"/>
      <c r="R660" s="773"/>
      <c r="S660" s="18"/>
      <c r="T660" s="2"/>
      <c r="U660" s="3">
        <v>3</v>
      </c>
      <c r="V660" s="35" t="s">
        <v>4625</v>
      </c>
      <c r="W660" s="35" t="s">
        <v>4625</v>
      </c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12.75" customHeight="1">
      <c r="A661" s="15">
        <v>660</v>
      </c>
      <c r="B661" s="736" t="s">
        <v>1555</v>
      </c>
      <c r="C661" s="16" t="s">
        <v>2767</v>
      </c>
      <c r="D661" s="20" t="s">
        <v>3087</v>
      </c>
      <c r="E661" s="2" t="s">
        <v>3093</v>
      </c>
      <c r="F661" s="2" t="s">
        <v>3618</v>
      </c>
      <c r="G661" s="17">
        <v>24287628</v>
      </c>
      <c r="H661" s="96" t="s">
        <v>510</v>
      </c>
      <c r="I661" s="2" t="s">
        <v>2768</v>
      </c>
      <c r="J661" s="2"/>
      <c r="K661" s="18">
        <v>45064</v>
      </c>
      <c r="L661" s="18">
        <v>45064</v>
      </c>
      <c r="M661" s="18">
        <v>45138</v>
      </c>
      <c r="N661" s="1"/>
      <c r="O661" s="19">
        <v>12050</v>
      </c>
      <c r="P661" s="18">
        <v>45138</v>
      </c>
      <c r="Q661" s="19"/>
      <c r="R661" s="772"/>
      <c r="S661" s="18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12.75" customHeight="1">
      <c r="A662" s="15">
        <v>661</v>
      </c>
      <c r="B662" s="736" t="s">
        <v>1555</v>
      </c>
      <c r="C662" s="16" t="s">
        <v>2096</v>
      </c>
      <c r="D662" s="20" t="s">
        <v>3087</v>
      </c>
      <c r="E662" s="2" t="s">
        <v>3097</v>
      </c>
      <c r="F662" s="2" t="s">
        <v>3540</v>
      </c>
      <c r="G662" s="17">
        <v>24243949</v>
      </c>
      <c r="H662" s="96" t="s">
        <v>830</v>
      </c>
      <c r="I662" s="2" t="s">
        <v>2097</v>
      </c>
      <c r="J662" s="2"/>
      <c r="K662" s="18">
        <v>44680</v>
      </c>
      <c r="L662" s="18">
        <v>44680</v>
      </c>
      <c r="M662" s="18">
        <v>44834</v>
      </c>
      <c r="N662" s="1"/>
      <c r="O662" s="19">
        <v>2450</v>
      </c>
      <c r="P662" s="18">
        <v>44834</v>
      </c>
      <c r="Q662" s="19"/>
      <c r="R662" s="772"/>
      <c r="S662" s="18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12.75" customHeight="1">
      <c r="A663" s="15">
        <v>662</v>
      </c>
      <c r="B663" s="736" t="s">
        <v>1555</v>
      </c>
      <c r="C663" s="16" t="s">
        <v>2536</v>
      </c>
      <c r="D663" s="15" t="s">
        <v>3116</v>
      </c>
      <c r="E663" s="2" t="s">
        <v>3197</v>
      </c>
      <c r="F663" s="2" t="s">
        <v>3619</v>
      </c>
      <c r="G663" s="17">
        <v>24228991</v>
      </c>
      <c r="H663" s="2" t="s">
        <v>546</v>
      </c>
      <c r="I663" s="2" t="s">
        <v>2537</v>
      </c>
      <c r="J663" s="2"/>
      <c r="K663" s="18">
        <v>44922</v>
      </c>
      <c r="L663" s="18">
        <v>44922</v>
      </c>
      <c r="M663" s="18">
        <v>44985</v>
      </c>
      <c r="N663" s="1"/>
      <c r="O663" s="19">
        <v>1854194.32</v>
      </c>
      <c r="P663" s="18">
        <v>44985</v>
      </c>
      <c r="Q663" s="19"/>
      <c r="R663" s="772"/>
      <c r="S663" s="18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12.75" customHeight="1">
      <c r="A664" s="15">
        <v>663</v>
      </c>
      <c r="B664" s="736" t="s">
        <v>3086</v>
      </c>
      <c r="C664" s="16" t="s">
        <v>838</v>
      </c>
      <c r="D664" s="21" t="s">
        <v>3116</v>
      </c>
      <c r="E664" s="2" t="s">
        <v>3117</v>
      </c>
      <c r="F664" s="2" t="s">
        <v>3620</v>
      </c>
      <c r="G664" s="17">
        <v>24210951</v>
      </c>
      <c r="H664" s="2" t="s">
        <v>147</v>
      </c>
      <c r="I664" s="2" t="s">
        <v>839</v>
      </c>
      <c r="J664" s="2"/>
      <c r="K664" s="18">
        <v>45244</v>
      </c>
      <c r="L664" s="18">
        <v>45244</v>
      </c>
      <c r="M664" s="18">
        <v>2958465</v>
      </c>
      <c r="N664" s="1">
        <v>1</v>
      </c>
      <c r="O664" s="19">
        <v>16800</v>
      </c>
      <c r="P664" s="18">
        <v>2958465</v>
      </c>
      <c r="Q664" s="19"/>
      <c r="R664" s="772"/>
      <c r="S664" s="18"/>
      <c r="T664" s="2"/>
      <c r="U664" s="3">
        <v>3</v>
      </c>
      <c r="V664" s="35" t="s">
        <v>4625</v>
      </c>
      <c r="W664" s="35" t="s">
        <v>4625</v>
      </c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12.75" customHeight="1">
      <c r="A665" s="15">
        <v>664</v>
      </c>
      <c r="B665" s="736" t="s">
        <v>1555</v>
      </c>
      <c r="C665" s="16" t="s">
        <v>2527</v>
      </c>
      <c r="D665" s="20" t="s">
        <v>3110</v>
      </c>
      <c r="E665" s="2" t="s">
        <v>3621</v>
      </c>
      <c r="F665" s="2" t="s">
        <v>3622</v>
      </c>
      <c r="G665" s="17">
        <v>24210137</v>
      </c>
      <c r="H665" s="2" t="s">
        <v>1673</v>
      </c>
      <c r="I665" s="2" t="s">
        <v>2528</v>
      </c>
      <c r="J665" s="2"/>
      <c r="K665" s="18">
        <v>44914</v>
      </c>
      <c r="L665" s="18">
        <v>44914</v>
      </c>
      <c r="M665" s="18">
        <v>44985</v>
      </c>
      <c r="N665" s="1"/>
      <c r="O665" s="19">
        <v>4840</v>
      </c>
      <c r="P665" s="18">
        <v>44985</v>
      </c>
      <c r="Q665" s="19"/>
      <c r="R665" s="772"/>
      <c r="S665" s="18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12.75" customHeight="1">
      <c r="A666" s="15">
        <v>665</v>
      </c>
      <c r="B666" s="736" t="s">
        <v>1555</v>
      </c>
      <c r="C666" s="16" t="s">
        <v>423</v>
      </c>
      <c r="D666" s="20" t="s">
        <v>3087</v>
      </c>
      <c r="E666" s="2" t="s">
        <v>3202</v>
      </c>
      <c r="F666" s="2" t="s">
        <v>3623</v>
      </c>
      <c r="G666" s="17">
        <v>24201596</v>
      </c>
      <c r="H666" s="2" t="s">
        <v>422</v>
      </c>
      <c r="I666" s="2" t="s">
        <v>424</v>
      </c>
      <c r="J666" s="2"/>
      <c r="K666" s="18">
        <v>44672</v>
      </c>
      <c r="L666" s="18">
        <v>44672</v>
      </c>
      <c r="M666" s="18">
        <v>45403</v>
      </c>
      <c r="N666" s="1">
        <v>6</v>
      </c>
      <c r="O666" s="19">
        <v>2121071.92</v>
      </c>
      <c r="P666" s="18">
        <v>45403</v>
      </c>
      <c r="Q666" s="19">
        <v>2121071.92</v>
      </c>
      <c r="R666" s="772" t="s">
        <v>425</v>
      </c>
      <c r="S666" s="18">
        <v>44672</v>
      </c>
      <c r="T666" s="2"/>
      <c r="U666" s="2"/>
      <c r="V666" s="2" t="s">
        <v>3091</v>
      </c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12.75" customHeight="1">
      <c r="A667" s="15">
        <v>666</v>
      </c>
      <c r="B667" s="736" t="s">
        <v>1555</v>
      </c>
      <c r="C667" s="16" t="s">
        <v>1936</v>
      </c>
      <c r="D667" s="20" t="s">
        <v>3087</v>
      </c>
      <c r="E667" s="2" t="s">
        <v>3197</v>
      </c>
      <c r="F667" s="2" t="s">
        <v>3623</v>
      </c>
      <c r="G667" s="17">
        <v>24201596</v>
      </c>
      <c r="H667" s="2" t="s">
        <v>546</v>
      </c>
      <c r="I667" s="2" t="s">
        <v>1937</v>
      </c>
      <c r="J667" s="2"/>
      <c r="K667" s="18">
        <v>44572</v>
      </c>
      <c r="L667" s="18">
        <v>44572</v>
      </c>
      <c r="M667" s="18">
        <v>44589</v>
      </c>
      <c r="N667" s="1"/>
      <c r="O667" s="19">
        <v>84000</v>
      </c>
      <c r="P667" s="18">
        <v>44589</v>
      </c>
      <c r="Q667" s="19"/>
      <c r="R667" s="772"/>
      <c r="S667" s="18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12.75" customHeight="1">
      <c r="A668" s="15">
        <v>667</v>
      </c>
      <c r="B668" s="736" t="s">
        <v>1555</v>
      </c>
      <c r="C668" s="16" t="s">
        <v>1897</v>
      </c>
      <c r="D668" s="20" t="s">
        <v>3087</v>
      </c>
      <c r="E668" s="2" t="s">
        <v>3197</v>
      </c>
      <c r="F668" s="2" t="s">
        <v>3623</v>
      </c>
      <c r="G668" s="17">
        <v>24201596</v>
      </c>
      <c r="H668" s="2" t="s">
        <v>546</v>
      </c>
      <c r="I668" s="2" t="s">
        <v>1898</v>
      </c>
      <c r="J668" s="2"/>
      <c r="K668" s="18">
        <v>44538</v>
      </c>
      <c r="L668" s="18">
        <v>44538</v>
      </c>
      <c r="M668" s="18">
        <v>44560</v>
      </c>
      <c r="N668" s="1"/>
      <c r="O668" s="19">
        <v>630000</v>
      </c>
      <c r="P668" s="18">
        <v>44560</v>
      </c>
      <c r="Q668" s="19"/>
      <c r="R668" s="772"/>
      <c r="S668" s="18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12.75" customHeight="1">
      <c r="A669" s="15">
        <v>668</v>
      </c>
      <c r="B669" s="736" t="s">
        <v>1555</v>
      </c>
      <c r="C669" s="16" t="s">
        <v>2274</v>
      </c>
      <c r="D669" s="20" t="s">
        <v>3087</v>
      </c>
      <c r="E669" s="2" t="s">
        <v>3197</v>
      </c>
      <c r="F669" s="2" t="s">
        <v>3623</v>
      </c>
      <c r="G669" s="17">
        <v>24201596</v>
      </c>
      <c r="H669" s="2" t="s">
        <v>546</v>
      </c>
      <c r="I669" s="2" t="s">
        <v>2275</v>
      </c>
      <c r="J669" s="2"/>
      <c r="K669" s="18">
        <v>44795</v>
      </c>
      <c r="L669" s="18">
        <v>44795</v>
      </c>
      <c r="M669" s="18">
        <v>44926</v>
      </c>
      <c r="N669" s="1"/>
      <c r="O669" s="19">
        <v>2105400</v>
      </c>
      <c r="P669" s="18">
        <v>44926</v>
      </c>
      <c r="Q669" s="19"/>
      <c r="R669" s="772"/>
      <c r="S669" s="18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12.75" customHeight="1">
      <c r="A670" s="15">
        <v>669</v>
      </c>
      <c r="B670" s="736" t="s">
        <v>1555</v>
      </c>
      <c r="C670" s="16" t="s">
        <v>2351</v>
      </c>
      <c r="D670" s="20" t="s">
        <v>3087</v>
      </c>
      <c r="E670" s="2" t="s">
        <v>3097</v>
      </c>
      <c r="F670" s="2" t="s">
        <v>3624</v>
      </c>
      <c r="G670" s="17">
        <v>24200166</v>
      </c>
      <c r="H670" s="96" t="s">
        <v>830</v>
      </c>
      <c r="I670" s="2" t="s">
        <v>2352</v>
      </c>
      <c r="J670" s="2"/>
      <c r="K670" s="18">
        <v>44823</v>
      </c>
      <c r="L670" s="18">
        <v>44823</v>
      </c>
      <c r="M670" s="18">
        <v>44926</v>
      </c>
      <c r="N670" s="1"/>
      <c r="O670" s="19">
        <v>3500</v>
      </c>
      <c r="P670" s="18">
        <v>44926</v>
      </c>
      <c r="Q670" s="19"/>
      <c r="R670" s="772"/>
      <c r="S670" s="18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12.75" customHeight="1">
      <c r="A671" s="15">
        <v>670</v>
      </c>
      <c r="B671" s="738" t="s">
        <v>3086</v>
      </c>
      <c r="C671" s="16" t="s">
        <v>56</v>
      </c>
      <c r="D671" s="2" t="s">
        <v>3110</v>
      </c>
      <c r="E671" s="3" t="s">
        <v>3111</v>
      </c>
      <c r="F671" s="3" t="s">
        <v>3625</v>
      </c>
      <c r="G671" s="17">
        <v>24194204</v>
      </c>
      <c r="H671" s="2" t="s">
        <v>55</v>
      </c>
      <c r="I671" s="2" t="s">
        <v>57</v>
      </c>
      <c r="J671" s="2" t="s">
        <v>58</v>
      </c>
      <c r="K671" s="18">
        <v>42940</v>
      </c>
      <c r="L671" s="18">
        <v>42940</v>
      </c>
      <c r="M671" s="18">
        <v>46226</v>
      </c>
      <c r="N671" s="1"/>
      <c r="O671" s="19">
        <v>500</v>
      </c>
      <c r="P671" s="18">
        <v>46226</v>
      </c>
      <c r="Q671" s="19">
        <v>0</v>
      </c>
      <c r="R671" s="772" t="s">
        <v>59</v>
      </c>
      <c r="S671" s="18">
        <v>42940</v>
      </c>
      <c r="T671" s="2"/>
      <c r="U671" s="2"/>
      <c r="V671" s="2"/>
      <c r="W671" s="2"/>
      <c r="X671" s="43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12.75" customHeight="1">
      <c r="A672" s="15">
        <v>671</v>
      </c>
      <c r="B672" s="736" t="s">
        <v>1555</v>
      </c>
      <c r="C672" s="16" t="s">
        <v>2997</v>
      </c>
      <c r="D672" s="20" t="s">
        <v>3087</v>
      </c>
      <c r="E672" s="2" t="s">
        <v>3097</v>
      </c>
      <c r="F672" s="2" t="s">
        <v>3626</v>
      </c>
      <c r="G672" s="17">
        <v>24179264</v>
      </c>
      <c r="H672" s="96" t="s">
        <v>830</v>
      </c>
      <c r="I672" s="2" t="s">
        <v>2998</v>
      </c>
      <c r="J672" s="2"/>
      <c r="K672" s="18">
        <v>45208</v>
      </c>
      <c r="L672" s="18">
        <v>45208</v>
      </c>
      <c r="M672" s="18">
        <v>45221</v>
      </c>
      <c r="N672" s="1"/>
      <c r="O672" s="19">
        <v>6000</v>
      </c>
      <c r="P672" s="18">
        <v>45221</v>
      </c>
      <c r="Q672" s="19"/>
      <c r="R672" s="772"/>
      <c r="S672" s="18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12.75" customHeight="1">
      <c r="A673" s="15">
        <v>672</v>
      </c>
      <c r="B673" s="738" t="s">
        <v>1555</v>
      </c>
      <c r="C673" s="16" t="s">
        <v>127</v>
      </c>
      <c r="D673" s="15" t="s">
        <v>3094</v>
      </c>
      <c r="E673" s="3" t="s">
        <v>3095</v>
      </c>
      <c r="F673" s="3" t="s">
        <v>3627</v>
      </c>
      <c r="G673" s="17">
        <v>24174319</v>
      </c>
      <c r="H673" s="2" t="s">
        <v>100</v>
      </c>
      <c r="I673" s="2" t="s">
        <v>128</v>
      </c>
      <c r="J673" s="2" t="s">
        <v>129</v>
      </c>
      <c r="K673" s="18">
        <v>43313</v>
      </c>
      <c r="L673" s="18">
        <v>43252</v>
      </c>
      <c r="M673" s="18">
        <v>45443</v>
      </c>
      <c r="N673" s="1"/>
      <c r="O673" s="19">
        <v>300</v>
      </c>
      <c r="P673" s="18">
        <v>45443</v>
      </c>
      <c r="Q673" s="19">
        <v>300</v>
      </c>
      <c r="R673" s="772" t="s">
        <v>130</v>
      </c>
      <c r="S673" s="18">
        <v>43314</v>
      </c>
      <c r="T673" s="2"/>
      <c r="U673" s="105"/>
      <c r="V673" s="2"/>
      <c r="W673" s="2"/>
      <c r="X673" s="2"/>
      <c r="Y673" s="2" t="s">
        <v>4691</v>
      </c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12.75" customHeight="1">
      <c r="A674" s="15">
        <v>673</v>
      </c>
      <c r="B674" s="736" t="s">
        <v>3086</v>
      </c>
      <c r="C674" s="16" t="s">
        <v>375</v>
      </c>
      <c r="D674" s="2" t="s">
        <v>3110</v>
      </c>
      <c r="E674" s="2" t="s">
        <v>3111</v>
      </c>
      <c r="F674" s="3" t="s">
        <v>3627</v>
      </c>
      <c r="G674" s="17">
        <v>24174319</v>
      </c>
      <c r="H674" s="2" t="s">
        <v>55</v>
      </c>
      <c r="I674" s="2" t="s">
        <v>376</v>
      </c>
      <c r="J674" s="2"/>
      <c r="K674" s="18">
        <v>44558</v>
      </c>
      <c r="L674" s="18">
        <v>44562</v>
      </c>
      <c r="M674" s="18">
        <v>45716</v>
      </c>
      <c r="N674" s="1"/>
      <c r="O674" s="19">
        <v>69412</v>
      </c>
      <c r="P674" s="18">
        <v>45716</v>
      </c>
      <c r="Q674" s="19">
        <v>300</v>
      </c>
      <c r="R674" s="778">
        <v>17564983.313040599</v>
      </c>
      <c r="S674" s="80" t="s">
        <v>5742</v>
      </c>
      <c r="T674" s="2"/>
      <c r="U674" s="2"/>
      <c r="V674" s="81"/>
      <c r="W674" s="81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12.75" customHeight="1">
      <c r="A675" s="15">
        <v>674</v>
      </c>
      <c r="B675" s="736" t="s">
        <v>1555</v>
      </c>
      <c r="C675" s="16" t="s">
        <v>1575</v>
      </c>
      <c r="D675" s="20" t="s">
        <v>3110</v>
      </c>
      <c r="E675" s="2" t="s">
        <v>3111</v>
      </c>
      <c r="F675" s="3" t="s">
        <v>3627</v>
      </c>
      <c r="G675" s="17">
        <v>24174319</v>
      </c>
      <c r="H675" s="2" t="s">
        <v>250</v>
      </c>
      <c r="I675" s="2" t="s">
        <v>376</v>
      </c>
      <c r="J675" s="2"/>
      <c r="K675" s="18">
        <v>44253</v>
      </c>
      <c r="L675" s="18">
        <v>44256</v>
      </c>
      <c r="M675" s="18">
        <v>44985</v>
      </c>
      <c r="N675" s="1"/>
      <c r="O675" s="19">
        <v>10500</v>
      </c>
      <c r="P675" s="18">
        <v>44648</v>
      </c>
      <c r="Q675" s="19"/>
      <c r="R675" s="772"/>
      <c r="S675" s="18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12.75" customHeight="1">
      <c r="A676" s="15">
        <v>675</v>
      </c>
      <c r="B676" s="736" t="s">
        <v>1555</v>
      </c>
      <c r="C676" s="16" t="s">
        <v>1914</v>
      </c>
      <c r="D676" s="20" t="s">
        <v>3110</v>
      </c>
      <c r="E676" s="2" t="s">
        <v>3114</v>
      </c>
      <c r="F676" s="3" t="s">
        <v>3627</v>
      </c>
      <c r="G676" s="17">
        <v>24174319</v>
      </c>
      <c r="H676" s="2" t="s">
        <v>1905</v>
      </c>
      <c r="I676" s="2" t="s">
        <v>1915</v>
      </c>
      <c r="J676" s="2"/>
      <c r="K676" s="18">
        <v>44558</v>
      </c>
      <c r="L676" s="18">
        <v>44558</v>
      </c>
      <c r="M676" s="18">
        <v>44561</v>
      </c>
      <c r="N676" s="1"/>
      <c r="O676" s="19">
        <v>1</v>
      </c>
      <c r="P676" s="18">
        <v>44561</v>
      </c>
      <c r="Q676" s="19"/>
      <c r="R676" s="772"/>
      <c r="S676" s="18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12.75" customHeight="1">
      <c r="A677" s="15">
        <v>676</v>
      </c>
      <c r="B677" s="736" t="s">
        <v>1555</v>
      </c>
      <c r="C677" s="16" t="s">
        <v>499</v>
      </c>
      <c r="D677" s="20" t="s">
        <v>3110</v>
      </c>
      <c r="E677" s="2" t="s">
        <v>3369</v>
      </c>
      <c r="F677" s="2" t="s">
        <v>3628</v>
      </c>
      <c r="G677" s="17">
        <v>24154041</v>
      </c>
      <c r="H677" s="2" t="s">
        <v>482</v>
      </c>
      <c r="I677" s="2" t="s">
        <v>500</v>
      </c>
      <c r="J677" s="2"/>
      <c r="K677" s="18">
        <v>44792</v>
      </c>
      <c r="L677" s="18">
        <v>44792</v>
      </c>
      <c r="M677" s="18">
        <v>44812</v>
      </c>
      <c r="N677" s="1"/>
      <c r="O677" s="19">
        <v>151250</v>
      </c>
      <c r="P677" s="18">
        <v>44812</v>
      </c>
      <c r="Q677" s="19">
        <v>151250</v>
      </c>
      <c r="R677" s="778" t="s">
        <v>501</v>
      </c>
      <c r="S677" s="80">
        <v>44795</v>
      </c>
      <c r="T677" s="2"/>
      <c r="U677" s="2"/>
      <c r="V677" s="2" t="s">
        <v>3091</v>
      </c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12.75" customHeight="1">
      <c r="A678" s="15">
        <v>677</v>
      </c>
      <c r="B678" s="736" t="s">
        <v>1555</v>
      </c>
      <c r="C678" s="16" t="s">
        <v>1941</v>
      </c>
      <c r="D678" s="20" t="s">
        <v>3110</v>
      </c>
      <c r="E678" s="2" t="s">
        <v>3225</v>
      </c>
      <c r="F678" s="2" t="s">
        <v>3628</v>
      </c>
      <c r="G678" s="17">
        <v>24154041</v>
      </c>
      <c r="H678" s="2" t="s">
        <v>482</v>
      </c>
      <c r="I678" s="2" t="s">
        <v>1942</v>
      </c>
      <c r="J678" s="2"/>
      <c r="K678" s="18">
        <v>44578</v>
      </c>
      <c r="L678" s="18">
        <v>44578</v>
      </c>
      <c r="M678" s="18">
        <v>44609</v>
      </c>
      <c r="N678" s="1"/>
      <c r="O678" s="19">
        <v>150000</v>
      </c>
      <c r="P678" s="18">
        <v>44609</v>
      </c>
      <c r="Q678" s="19"/>
      <c r="R678" s="772"/>
      <c r="S678" s="18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12.75" customHeight="1">
      <c r="A679" s="15">
        <v>678</v>
      </c>
      <c r="B679" s="736" t="s">
        <v>1555</v>
      </c>
      <c r="C679" s="16" t="s">
        <v>2558</v>
      </c>
      <c r="D679" s="15" t="s">
        <v>3110</v>
      </c>
      <c r="E679" s="2" t="s">
        <v>3225</v>
      </c>
      <c r="F679" s="2" t="s">
        <v>3628</v>
      </c>
      <c r="G679" s="17">
        <v>24154041</v>
      </c>
      <c r="H679" s="2" t="s">
        <v>482</v>
      </c>
      <c r="I679" s="2" t="s">
        <v>2559</v>
      </c>
      <c r="J679" s="2"/>
      <c r="K679" s="18">
        <v>44937</v>
      </c>
      <c r="L679" s="18">
        <v>44937</v>
      </c>
      <c r="M679" s="18">
        <v>45016</v>
      </c>
      <c r="N679" s="1"/>
      <c r="O679" s="19">
        <v>265000</v>
      </c>
      <c r="P679" s="18">
        <v>45016</v>
      </c>
      <c r="Q679" s="19"/>
      <c r="R679" s="772"/>
      <c r="S679" s="18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12.75" customHeight="1">
      <c r="A680" s="15">
        <v>679</v>
      </c>
      <c r="B680" s="736" t="s">
        <v>1555</v>
      </c>
      <c r="C680" s="16" t="s">
        <v>3052</v>
      </c>
      <c r="D680" s="15" t="s">
        <v>3110</v>
      </c>
      <c r="E680" s="2" t="s">
        <v>3225</v>
      </c>
      <c r="F680" s="2" t="s">
        <v>3628</v>
      </c>
      <c r="G680" s="17">
        <v>24154041</v>
      </c>
      <c r="H680" s="2" t="s">
        <v>482</v>
      </c>
      <c r="I680" s="2" t="s">
        <v>3629</v>
      </c>
      <c r="J680" s="2" t="s">
        <v>3630</v>
      </c>
      <c r="K680" s="18">
        <v>45448</v>
      </c>
      <c r="L680" s="18">
        <v>45448</v>
      </c>
      <c r="M680" s="18">
        <v>45468</v>
      </c>
      <c r="N680" s="1">
        <v>7</v>
      </c>
      <c r="O680" s="19">
        <v>726000</v>
      </c>
      <c r="P680" s="18">
        <v>45468</v>
      </c>
      <c r="Q680" s="19">
        <v>726000</v>
      </c>
      <c r="R680" s="772" t="s">
        <v>3631</v>
      </c>
      <c r="S680" s="18">
        <v>45468</v>
      </c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12.75" customHeight="1">
      <c r="A681" s="15">
        <v>680</v>
      </c>
      <c r="B681" s="736" t="s">
        <v>1555</v>
      </c>
      <c r="C681" s="16" t="s">
        <v>2034</v>
      </c>
      <c r="D681" s="20" t="s">
        <v>3110</v>
      </c>
      <c r="E681" s="2" t="s">
        <v>3225</v>
      </c>
      <c r="F681" s="2" t="s">
        <v>3628</v>
      </c>
      <c r="G681" s="17">
        <v>24154041</v>
      </c>
      <c r="H681" s="2" t="s">
        <v>482</v>
      </c>
      <c r="I681" s="2" t="s">
        <v>2035</v>
      </c>
      <c r="J681" s="2"/>
      <c r="K681" s="18">
        <v>44651</v>
      </c>
      <c r="L681" s="18">
        <v>44651</v>
      </c>
      <c r="M681" s="18">
        <v>44742</v>
      </c>
      <c r="N681" s="1"/>
      <c r="O681" s="19">
        <v>266200</v>
      </c>
      <c r="P681" s="18">
        <v>44742</v>
      </c>
      <c r="Q681" s="19"/>
      <c r="R681" s="772"/>
      <c r="S681" s="18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12.75" customHeight="1">
      <c r="A682" s="15">
        <v>681</v>
      </c>
      <c r="B682" s="736" t="s">
        <v>1555</v>
      </c>
      <c r="C682" s="16" t="s">
        <v>2619</v>
      </c>
      <c r="D682" s="15" t="s">
        <v>3110</v>
      </c>
      <c r="E682" s="2" t="s">
        <v>3225</v>
      </c>
      <c r="F682" s="2" t="s">
        <v>3628</v>
      </c>
      <c r="G682" s="17">
        <v>24154041</v>
      </c>
      <c r="H682" s="2" t="s">
        <v>482</v>
      </c>
      <c r="I682" s="2" t="s">
        <v>2620</v>
      </c>
      <c r="J682" s="2"/>
      <c r="K682" s="18">
        <v>44985</v>
      </c>
      <c r="L682" s="18">
        <v>44985</v>
      </c>
      <c r="M682" s="18">
        <v>45077</v>
      </c>
      <c r="N682" s="1"/>
      <c r="O682" s="19">
        <v>429550</v>
      </c>
      <c r="P682" s="18">
        <v>45077</v>
      </c>
      <c r="Q682" s="19"/>
      <c r="R682" s="772"/>
      <c r="S682" s="18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12.75" customHeight="1">
      <c r="A683" s="15">
        <v>682</v>
      </c>
      <c r="B683" s="736" t="s">
        <v>1555</v>
      </c>
      <c r="C683" s="16" t="s">
        <v>2124</v>
      </c>
      <c r="D683" s="20" t="s">
        <v>3110</v>
      </c>
      <c r="E683" s="2" t="s">
        <v>3225</v>
      </c>
      <c r="F683" s="2" t="s">
        <v>3628</v>
      </c>
      <c r="G683" s="17">
        <v>24154041</v>
      </c>
      <c r="H683" s="2" t="s">
        <v>482</v>
      </c>
      <c r="I683" s="2" t="s">
        <v>2125</v>
      </c>
      <c r="J683" s="2"/>
      <c r="K683" s="18">
        <v>44699</v>
      </c>
      <c r="L683" s="18">
        <v>44699</v>
      </c>
      <c r="M683" s="18">
        <v>44804</v>
      </c>
      <c r="N683" s="1"/>
      <c r="O683" s="19">
        <v>190000</v>
      </c>
      <c r="P683" s="18">
        <v>44804</v>
      </c>
      <c r="Q683" s="19"/>
      <c r="R683" s="772"/>
      <c r="S683" s="18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12.75" customHeight="1">
      <c r="A684" s="15">
        <v>683</v>
      </c>
      <c r="B684" s="736" t="s">
        <v>1555</v>
      </c>
      <c r="C684" s="16" t="s">
        <v>1777</v>
      </c>
      <c r="D684" s="20" t="s">
        <v>3110</v>
      </c>
      <c r="E684" s="2" t="s">
        <v>3225</v>
      </c>
      <c r="F684" s="2" t="s">
        <v>3628</v>
      </c>
      <c r="G684" s="17">
        <v>24154041</v>
      </c>
      <c r="H684" s="2" t="s">
        <v>482</v>
      </c>
      <c r="I684" s="2" t="s">
        <v>1778</v>
      </c>
      <c r="J684" s="2"/>
      <c r="K684" s="18">
        <v>44447</v>
      </c>
      <c r="L684" s="18">
        <v>44447</v>
      </c>
      <c r="M684" s="18">
        <v>44468</v>
      </c>
      <c r="N684" s="1"/>
      <c r="O684" s="19">
        <v>350000</v>
      </c>
      <c r="P684" s="18">
        <v>44468</v>
      </c>
      <c r="Q684" s="19"/>
      <c r="R684" s="772"/>
      <c r="S684" s="18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12.75" customHeight="1">
      <c r="A685" s="15">
        <v>684</v>
      </c>
      <c r="B685" s="736" t="s">
        <v>1555</v>
      </c>
      <c r="C685" s="16" t="s">
        <v>1783</v>
      </c>
      <c r="D685" s="20" t="s">
        <v>3110</v>
      </c>
      <c r="E685" s="2" t="s">
        <v>3225</v>
      </c>
      <c r="F685" s="2" t="s">
        <v>3628</v>
      </c>
      <c r="G685" s="17">
        <v>24154041</v>
      </c>
      <c r="H685" s="2" t="s">
        <v>482</v>
      </c>
      <c r="I685" s="2" t="s">
        <v>1784</v>
      </c>
      <c r="J685" s="2"/>
      <c r="K685" s="18">
        <v>44447</v>
      </c>
      <c r="L685" s="18">
        <v>44447</v>
      </c>
      <c r="M685" s="18">
        <v>44468</v>
      </c>
      <c r="N685" s="1"/>
      <c r="O685" s="19">
        <v>750000</v>
      </c>
      <c r="P685" s="18">
        <v>44468</v>
      </c>
      <c r="Q685" s="19"/>
      <c r="R685" s="772"/>
      <c r="S685" s="18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12.75" customHeight="1">
      <c r="A686" s="15">
        <v>685</v>
      </c>
      <c r="B686" s="736" t="s">
        <v>1555</v>
      </c>
      <c r="C686" s="16" t="s">
        <v>2272</v>
      </c>
      <c r="D686" s="15" t="s">
        <v>3110</v>
      </c>
      <c r="E686" s="2" t="s">
        <v>3369</v>
      </c>
      <c r="F686" s="2" t="s">
        <v>3628</v>
      </c>
      <c r="G686" s="17">
        <v>24154041</v>
      </c>
      <c r="H686" s="2" t="s">
        <v>482</v>
      </c>
      <c r="I686" s="2" t="s">
        <v>2273</v>
      </c>
      <c r="J686" s="2"/>
      <c r="K686" s="18">
        <v>44795</v>
      </c>
      <c r="L686" s="18">
        <v>44795</v>
      </c>
      <c r="M686" s="18">
        <v>44926</v>
      </c>
      <c r="N686" s="1"/>
      <c r="O686" s="19">
        <v>1300750</v>
      </c>
      <c r="P686" s="18">
        <v>44926</v>
      </c>
      <c r="Q686" s="19"/>
      <c r="R686" s="772"/>
      <c r="S686" s="18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12.75" customHeight="1">
      <c r="A687" s="15">
        <v>686</v>
      </c>
      <c r="B687" s="736" t="s">
        <v>1555</v>
      </c>
      <c r="C687" s="16" t="s">
        <v>2885</v>
      </c>
      <c r="D687" s="15" t="s">
        <v>3110</v>
      </c>
      <c r="E687" s="2" t="s">
        <v>3225</v>
      </c>
      <c r="F687" s="2" t="s">
        <v>3628</v>
      </c>
      <c r="G687" s="17">
        <v>24154041</v>
      </c>
      <c r="H687" s="2" t="s">
        <v>482</v>
      </c>
      <c r="I687" s="2" t="s">
        <v>2886</v>
      </c>
      <c r="J687" s="2"/>
      <c r="K687" s="18">
        <v>45127</v>
      </c>
      <c r="L687" s="18">
        <v>45127</v>
      </c>
      <c r="M687" s="18">
        <v>45220</v>
      </c>
      <c r="N687" s="1"/>
      <c r="O687" s="19">
        <v>165000</v>
      </c>
      <c r="P687" s="18">
        <v>45220</v>
      </c>
      <c r="Q687" s="19"/>
      <c r="R687" s="772"/>
      <c r="S687" s="18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12.75" customHeight="1">
      <c r="A688" s="15">
        <v>687</v>
      </c>
      <c r="B688" s="736" t="s">
        <v>1555</v>
      </c>
      <c r="C688" s="16" t="s">
        <v>2901</v>
      </c>
      <c r="D688" s="20" t="s">
        <v>3087</v>
      </c>
      <c r="E688" s="2" t="s">
        <v>3097</v>
      </c>
      <c r="F688" s="2" t="s">
        <v>3632</v>
      </c>
      <c r="G688" s="17">
        <v>24151360</v>
      </c>
      <c r="H688" s="96" t="s">
        <v>830</v>
      </c>
      <c r="I688" s="2" t="s">
        <v>2902</v>
      </c>
      <c r="J688" s="2"/>
      <c r="K688" s="18">
        <v>45138</v>
      </c>
      <c r="L688" s="18">
        <v>45138</v>
      </c>
      <c r="M688" s="18">
        <v>45230</v>
      </c>
      <c r="N688" s="1"/>
      <c r="O688" s="19">
        <v>4200</v>
      </c>
      <c r="P688" s="18">
        <v>45230</v>
      </c>
      <c r="Q688" s="19"/>
      <c r="R688" s="772"/>
      <c r="S688" s="18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12.75" customHeight="1">
      <c r="A689" s="15">
        <v>688</v>
      </c>
      <c r="B689" s="736" t="s">
        <v>1555</v>
      </c>
      <c r="C689" s="16" t="s">
        <v>525</v>
      </c>
      <c r="D689" s="739" t="s">
        <v>5353</v>
      </c>
      <c r="E689" s="2" t="s">
        <v>3117</v>
      </c>
      <c r="F689" s="2" t="s">
        <v>3633</v>
      </c>
      <c r="G689" s="17">
        <v>24146978</v>
      </c>
      <c r="H689" s="2" t="s">
        <v>524</v>
      </c>
      <c r="I689" s="2" t="s">
        <v>526</v>
      </c>
      <c r="J689" s="2"/>
      <c r="K689" s="18">
        <v>44825</v>
      </c>
      <c r="L689" s="18">
        <v>44825</v>
      </c>
      <c r="M689" s="18">
        <v>2958465</v>
      </c>
      <c r="N689" s="1"/>
      <c r="O689" s="19">
        <v>162556.24</v>
      </c>
      <c r="P689" s="18">
        <v>45162</v>
      </c>
      <c r="Q689" s="19">
        <v>162556.24</v>
      </c>
      <c r="R689" s="772" t="s">
        <v>527</v>
      </c>
      <c r="S689" s="18">
        <v>44827</v>
      </c>
      <c r="T689" s="2"/>
      <c r="U689" s="2"/>
      <c r="V689" s="2" t="s">
        <v>3091</v>
      </c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12.75" customHeight="1">
      <c r="A690" s="15">
        <v>689</v>
      </c>
      <c r="B690" s="738" t="s">
        <v>1555</v>
      </c>
      <c r="C690" s="16" t="s">
        <v>1272</v>
      </c>
      <c r="D690" s="20" t="s">
        <v>3087</v>
      </c>
      <c r="E690" s="3" t="s">
        <v>3142</v>
      </c>
      <c r="F690" s="3" t="s">
        <v>3634</v>
      </c>
      <c r="G690" s="17">
        <v>24143022</v>
      </c>
      <c r="H690" s="2" t="s">
        <v>118</v>
      </c>
      <c r="I690" s="2" t="s">
        <v>1273</v>
      </c>
      <c r="J690" s="2" t="s">
        <v>1274</v>
      </c>
      <c r="K690" s="18">
        <v>41403</v>
      </c>
      <c r="L690" s="18">
        <v>41403</v>
      </c>
      <c r="M690" s="18">
        <v>2958465</v>
      </c>
      <c r="N690" s="1"/>
      <c r="O690" s="19">
        <v>0</v>
      </c>
      <c r="P690" s="18">
        <v>2958465</v>
      </c>
      <c r="Q690" s="19"/>
      <c r="R690" s="773"/>
      <c r="S690" s="18"/>
      <c r="T690" s="2"/>
      <c r="U690" s="2"/>
      <c r="V690" s="2"/>
      <c r="W690" s="2"/>
      <c r="X690" s="43"/>
      <c r="Y690" s="2" t="s">
        <v>4743</v>
      </c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12.75" customHeight="1">
      <c r="A691" s="15">
        <v>690</v>
      </c>
      <c r="B691" s="736" t="s">
        <v>1555</v>
      </c>
      <c r="C691" s="16" t="s">
        <v>511</v>
      </c>
      <c r="D691" s="20" t="s">
        <v>3087</v>
      </c>
      <c r="E691" s="2" t="s">
        <v>3093</v>
      </c>
      <c r="F691" s="3" t="s">
        <v>3634</v>
      </c>
      <c r="G691" s="17">
        <v>24143022</v>
      </c>
      <c r="H691" s="96" t="s">
        <v>510</v>
      </c>
      <c r="I691" s="2" t="s">
        <v>512</v>
      </c>
      <c r="J691" s="2"/>
      <c r="K691" s="18">
        <v>44813</v>
      </c>
      <c r="L691" s="18">
        <v>44813</v>
      </c>
      <c r="M691" s="18">
        <v>45544</v>
      </c>
      <c r="N691" s="1"/>
      <c r="O691" s="19"/>
      <c r="P691" s="18">
        <v>45544</v>
      </c>
      <c r="Q691" s="19"/>
      <c r="R691" s="772"/>
      <c r="S691" s="18"/>
      <c r="T691" s="2"/>
      <c r="U691" s="2">
        <v>3</v>
      </c>
      <c r="V691" s="2"/>
      <c r="W691" s="2"/>
      <c r="X691" s="2"/>
      <c r="Y691" s="2" t="s">
        <v>4743</v>
      </c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12.75" customHeight="1">
      <c r="A692" s="15">
        <v>691</v>
      </c>
      <c r="B692" s="736" t="s">
        <v>1555</v>
      </c>
      <c r="C692" s="16" t="s">
        <v>1571</v>
      </c>
      <c r="D692" s="20" t="s">
        <v>3087</v>
      </c>
      <c r="E692" s="3" t="s">
        <v>3142</v>
      </c>
      <c r="F692" s="3" t="s">
        <v>3634</v>
      </c>
      <c r="G692" s="17">
        <v>24143022</v>
      </c>
      <c r="H692" s="2" t="s">
        <v>1570</v>
      </c>
      <c r="I692" s="2" t="s">
        <v>1572</v>
      </c>
      <c r="J692" s="2"/>
      <c r="K692" s="18">
        <v>44242</v>
      </c>
      <c r="L692" s="18">
        <v>44242</v>
      </c>
      <c r="M692" s="18">
        <v>44243</v>
      </c>
      <c r="N692" s="1"/>
      <c r="O692" s="19"/>
      <c r="P692" s="18">
        <v>44243</v>
      </c>
      <c r="Q692" s="19"/>
      <c r="R692" s="772"/>
      <c r="S692" s="18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12.75" customHeight="1">
      <c r="A693" s="15">
        <v>692</v>
      </c>
      <c r="B693" s="736" t="s">
        <v>1555</v>
      </c>
      <c r="C693" s="16" t="s">
        <v>2234</v>
      </c>
      <c r="D693" s="20" t="s">
        <v>3087</v>
      </c>
      <c r="E693" s="2" t="s">
        <v>3093</v>
      </c>
      <c r="F693" s="2" t="s">
        <v>3635</v>
      </c>
      <c r="G693" s="17">
        <v>24126934</v>
      </c>
      <c r="H693" s="96" t="s">
        <v>510</v>
      </c>
      <c r="I693" s="2" t="s">
        <v>2235</v>
      </c>
      <c r="J693" s="2"/>
      <c r="K693" s="18">
        <v>44762</v>
      </c>
      <c r="L693" s="18">
        <v>44762</v>
      </c>
      <c r="M693" s="18">
        <v>44865</v>
      </c>
      <c r="N693" s="1"/>
      <c r="O693" s="19">
        <v>6160</v>
      </c>
      <c r="P693" s="18">
        <v>44865</v>
      </c>
      <c r="Q693" s="19"/>
      <c r="R693" s="772"/>
      <c r="S693" s="18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12.75" customHeight="1">
      <c r="A694" s="15">
        <v>693</v>
      </c>
      <c r="B694" s="736" t="s">
        <v>1555</v>
      </c>
      <c r="C694" s="16" t="s">
        <v>2361</v>
      </c>
      <c r="D694" s="20" t="s">
        <v>3087</v>
      </c>
      <c r="E694" s="2" t="s">
        <v>3093</v>
      </c>
      <c r="F694" s="2" t="s">
        <v>3635</v>
      </c>
      <c r="G694" s="17">
        <v>24126934</v>
      </c>
      <c r="H694" s="96" t="s">
        <v>510</v>
      </c>
      <c r="I694" s="2" t="s">
        <v>2362</v>
      </c>
      <c r="J694" s="2"/>
      <c r="K694" s="18">
        <v>44827</v>
      </c>
      <c r="L694" s="18">
        <v>44827</v>
      </c>
      <c r="M694" s="18">
        <v>44926</v>
      </c>
      <c r="N694" s="1"/>
      <c r="O694" s="19">
        <v>6160</v>
      </c>
      <c r="P694" s="18">
        <v>44926</v>
      </c>
      <c r="Q694" s="19"/>
      <c r="R694" s="772"/>
      <c r="S694" s="18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12.75" customHeight="1">
      <c r="A695" s="15">
        <v>694</v>
      </c>
      <c r="B695" s="736" t="s">
        <v>1555</v>
      </c>
      <c r="C695" s="16" t="s">
        <v>2763</v>
      </c>
      <c r="D695" s="20" t="s">
        <v>3087</v>
      </c>
      <c r="E695" s="2" t="s">
        <v>3093</v>
      </c>
      <c r="F695" s="2" t="s">
        <v>3636</v>
      </c>
      <c r="G695" s="17">
        <v>22898867</v>
      </c>
      <c r="H695" s="96" t="s">
        <v>510</v>
      </c>
      <c r="I695" s="2" t="s">
        <v>2764</v>
      </c>
      <c r="J695" s="2"/>
      <c r="K695" s="18">
        <v>45063</v>
      </c>
      <c r="L695" s="18">
        <v>45063</v>
      </c>
      <c r="M695" s="18">
        <v>45107</v>
      </c>
      <c r="N695" s="1"/>
      <c r="O695" s="19">
        <v>63600</v>
      </c>
      <c r="P695" s="18">
        <v>45107</v>
      </c>
      <c r="Q695" s="19"/>
      <c r="R695" s="772"/>
      <c r="S695" s="18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12.75" customHeight="1">
      <c r="A696" s="15">
        <v>695</v>
      </c>
      <c r="B696" s="736" t="s">
        <v>1555</v>
      </c>
      <c r="C696" s="16" t="s">
        <v>2845</v>
      </c>
      <c r="D696" s="20" t="s">
        <v>3087</v>
      </c>
      <c r="E696" s="2" t="s">
        <v>3093</v>
      </c>
      <c r="F696" s="2" t="s">
        <v>3637</v>
      </c>
      <c r="G696" s="17">
        <v>22880470</v>
      </c>
      <c r="H696" s="96" t="s">
        <v>510</v>
      </c>
      <c r="I696" s="2" t="s">
        <v>2846</v>
      </c>
      <c r="J696" s="2"/>
      <c r="K696" s="18">
        <v>45100</v>
      </c>
      <c r="L696" s="18">
        <v>45100</v>
      </c>
      <c r="M696" s="18">
        <v>45138</v>
      </c>
      <c r="N696" s="1"/>
      <c r="O696" s="19"/>
      <c r="P696" s="18">
        <v>45138</v>
      </c>
      <c r="Q696" s="19"/>
      <c r="R696" s="772"/>
      <c r="S696" s="18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13.2">
      <c r="A697" s="15">
        <v>696</v>
      </c>
      <c r="B697" s="736" t="s">
        <v>1555</v>
      </c>
      <c r="C697" s="16" t="s">
        <v>2719</v>
      </c>
      <c r="D697" s="15" t="s">
        <v>3110</v>
      </c>
      <c r="E697" s="2" t="s">
        <v>3092</v>
      </c>
      <c r="F697" s="2" t="s">
        <v>3638</v>
      </c>
      <c r="G697" s="17">
        <v>22735569</v>
      </c>
      <c r="H697" s="2" t="s">
        <v>592</v>
      </c>
      <c r="I697" s="2" t="s">
        <v>2720</v>
      </c>
      <c r="J697" s="2"/>
      <c r="K697" s="18">
        <v>45042</v>
      </c>
      <c r="L697" s="18">
        <v>45042</v>
      </c>
      <c r="M697" s="18">
        <v>45097</v>
      </c>
      <c r="N697" s="1"/>
      <c r="O697" s="19">
        <v>34000</v>
      </c>
      <c r="P697" s="18">
        <v>45097</v>
      </c>
      <c r="Q697" s="19"/>
      <c r="R697" s="772"/>
      <c r="S697" s="18"/>
      <c r="T697" s="2"/>
      <c r="U697" s="2"/>
      <c r="V697" s="3" t="s">
        <v>3091</v>
      </c>
      <c r="W697" s="3" t="s">
        <v>3091</v>
      </c>
      <c r="X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12.75" customHeight="1">
      <c r="A698" s="15">
        <v>697</v>
      </c>
      <c r="B698" s="736" t="s">
        <v>1555</v>
      </c>
      <c r="C698" s="16" t="s">
        <v>2873</v>
      </c>
      <c r="D698" s="15" t="s">
        <v>3110</v>
      </c>
      <c r="E698" s="2" t="s">
        <v>3092</v>
      </c>
      <c r="F698" s="2" t="s">
        <v>3638</v>
      </c>
      <c r="G698" s="17">
        <v>22735569</v>
      </c>
      <c r="H698" s="2" t="s">
        <v>592</v>
      </c>
      <c r="I698" s="2" t="s">
        <v>2874</v>
      </c>
      <c r="J698" s="2"/>
      <c r="K698" s="18">
        <v>45141</v>
      </c>
      <c r="L698" s="18">
        <v>45141</v>
      </c>
      <c r="M698" s="18">
        <v>45156</v>
      </c>
      <c r="N698" s="1"/>
      <c r="O698" s="19">
        <v>74000</v>
      </c>
      <c r="P698" s="18">
        <v>45156</v>
      </c>
      <c r="Q698" s="19"/>
      <c r="R698" s="772"/>
      <c r="S698" s="18"/>
      <c r="T698" s="2"/>
      <c r="U698" s="2"/>
      <c r="V698" s="3" t="s">
        <v>3091</v>
      </c>
      <c r="W698" s="3" t="s">
        <v>3091</v>
      </c>
      <c r="X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12.75" customHeight="1">
      <c r="A699" s="15">
        <v>698</v>
      </c>
      <c r="B699" s="736" t="s">
        <v>3086</v>
      </c>
      <c r="C699" s="16" t="s">
        <v>852</v>
      </c>
      <c r="D699" s="21" t="s">
        <v>3116</v>
      </c>
      <c r="E699" s="2" t="s">
        <v>3092</v>
      </c>
      <c r="F699" s="3" t="s">
        <v>3639</v>
      </c>
      <c r="G699" s="17">
        <v>19573499</v>
      </c>
      <c r="H699" s="2" t="s">
        <v>495</v>
      </c>
      <c r="I699" s="2" t="s">
        <v>853</v>
      </c>
      <c r="J699" s="2"/>
      <c r="K699" s="18">
        <v>45246</v>
      </c>
      <c r="L699" s="18">
        <v>45246</v>
      </c>
      <c r="M699" s="18" t="s">
        <v>3640</v>
      </c>
      <c r="N699" s="1"/>
      <c r="O699" s="19">
        <v>822800</v>
      </c>
      <c r="P699" s="18" t="s">
        <v>3640</v>
      </c>
      <c r="Q699" s="19">
        <v>822200</v>
      </c>
      <c r="R699" s="772" t="s">
        <v>854</v>
      </c>
      <c r="S699" s="18">
        <v>45249</v>
      </c>
      <c r="T699" s="2"/>
      <c r="U699" s="3">
        <v>3</v>
      </c>
      <c r="V699" s="2" t="s">
        <v>4625</v>
      </c>
      <c r="W699" s="2" t="s">
        <v>4625</v>
      </c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12.75" customHeight="1">
      <c r="A700" s="15">
        <v>699</v>
      </c>
      <c r="B700" s="736" t="s">
        <v>3086</v>
      </c>
      <c r="C700" s="16" t="s">
        <v>450</v>
      </c>
      <c r="D700" s="20" t="s">
        <v>3110</v>
      </c>
      <c r="E700" s="2" t="s">
        <v>3228</v>
      </c>
      <c r="F700" s="2" t="s">
        <v>3641</v>
      </c>
      <c r="G700" s="17">
        <v>19012161</v>
      </c>
      <c r="H700" s="2" t="s">
        <v>449</v>
      </c>
      <c r="I700" s="2" t="s">
        <v>451</v>
      </c>
      <c r="J700" s="2"/>
      <c r="K700" s="18">
        <v>44729</v>
      </c>
      <c r="L700" s="18">
        <v>44729</v>
      </c>
      <c r="M700" s="18">
        <v>2958465</v>
      </c>
      <c r="N700" s="1"/>
      <c r="O700" s="19">
        <v>150000</v>
      </c>
      <c r="P700" s="18">
        <v>2958465</v>
      </c>
      <c r="Q700" s="19" t="s">
        <v>5828</v>
      </c>
      <c r="R700" s="772" t="s">
        <v>5829</v>
      </c>
      <c r="S700" s="18" t="s">
        <v>5830</v>
      </c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12.75" customHeight="1">
      <c r="A701" s="15">
        <v>700</v>
      </c>
      <c r="B701" s="736" t="s">
        <v>1555</v>
      </c>
      <c r="C701" s="16" t="s">
        <v>715</v>
      </c>
      <c r="D701" s="20" t="s">
        <v>3094</v>
      </c>
      <c r="E701" s="2" t="s">
        <v>3202</v>
      </c>
      <c r="F701" s="2" t="s">
        <v>3642</v>
      </c>
      <c r="G701" s="17">
        <v>19010290</v>
      </c>
      <c r="H701" s="2" t="s">
        <v>385</v>
      </c>
      <c r="I701" s="2" t="s">
        <v>716</v>
      </c>
      <c r="J701" s="2"/>
      <c r="K701" s="30">
        <v>45051</v>
      </c>
      <c r="L701" s="30">
        <v>45051</v>
      </c>
      <c r="M701" s="30">
        <v>45830</v>
      </c>
      <c r="N701" s="35"/>
      <c r="O701" s="32" t="s">
        <v>3382</v>
      </c>
      <c r="P701" s="30">
        <v>45830</v>
      </c>
      <c r="Q701" s="40">
        <v>2407900</v>
      </c>
      <c r="R701" s="775" t="s">
        <v>717</v>
      </c>
      <c r="S701" s="34">
        <v>45051</v>
      </c>
      <c r="T701" s="35"/>
      <c r="U701" s="107">
        <v>9</v>
      </c>
      <c r="V701" s="2"/>
      <c r="W701" s="2" t="s">
        <v>4625</v>
      </c>
      <c r="X701" s="82" t="s">
        <v>3643</v>
      </c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12.75" customHeight="1">
      <c r="A702" s="15">
        <v>701</v>
      </c>
      <c r="B702" s="736" t="s">
        <v>1555</v>
      </c>
      <c r="C702" s="16" t="s">
        <v>1687</v>
      </c>
      <c r="D702" s="20" t="s">
        <v>3087</v>
      </c>
      <c r="E702" s="2" t="s">
        <v>3202</v>
      </c>
      <c r="F702" s="2" t="s">
        <v>3642</v>
      </c>
      <c r="G702" s="17">
        <v>19010290</v>
      </c>
      <c r="H702" s="2" t="s">
        <v>546</v>
      </c>
      <c r="I702" s="2" t="s">
        <v>1688</v>
      </c>
      <c r="J702" s="2"/>
      <c r="K702" s="18">
        <v>44368</v>
      </c>
      <c r="L702" s="18">
        <v>44368</v>
      </c>
      <c r="M702" s="18">
        <v>45097</v>
      </c>
      <c r="N702" s="1"/>
      <c r="O702" s="19">
        <v>1990000</v>
      </c>
      <c r="P702" s="18">
        <v>45097</v>
      </c>
      <c r="Q702" s="19"/>
      <c r="R702" s="772"/>
      <c r="S702" s="18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12.75" customHeight="1">
      <c r="A703" s="15">
        <v>702</v>
      </c>
      <c r="B703" s="736" t="s">
        <v>1555</v>
      </c>
      <c r="C703" s="16" t="s">
        <v>476</v>
      </c>
      <c r="D703" s="20" t="s">
        <v>3110</v>
      </c>
      <c r="E703" s="2" t="s">
        <v>3228</v>
      </c>
      <c r="F703" s="15" t="s">
        <v>3644</v>
      </c>
      <c r="G703" s="17">
        <v>18602495</v>
      </c>
      <c r="H703" s="2" t="s">
        <v>245</v>
      </c>
      <c r="I703" s="2" t="s">
        <v>477</v>
      </c>
      <c r="J703" s="2"/>
      <c r="K703" s="18">
        <v>44753</v>
      </c>
      <c r="L703" s="18">
        <v>44753</v>
      </c>
      <c r="M703" s="18">
        <v>45483</v>
      </c>
      <c r="N703" s="1"/>
      <c r="O703" s="19">
        <v>190000</v>
      </c>
      <c r="P703" s="18">
        <v>45483</v>
      </c>
      <c r="Q703" s="19">
        <v>190000</v>
      </c>
      <c r="R703" s="778" t="s">
        <v>478</v>
      </c>
      <c r="S703" s="80">
        <v>44754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12.75" customHeight="1">
      <c r="A704" s="15">
        <v>703</v>
      </c>
      <c r="B704" s="736" t="s">
        <v>1555</v>
      </c>
      <c r="C704" s="16" t="s">
        <v>2717</v>
      </c>
      <c r="D704" s="15" t="s">
        <v>3110</v>
      </c>
      <c r="E704" s="2" t="s">
        <v>3092</v>
      </c>
      <c r="F704" s="2" t="s">
        <v>3645</v>
      </c>
      <c r="G704" s="17">
        <v>17477719</v>
      </c>
      <c r="H704" s="2" t="s">
        <v>592</v>
      </c>
      <c r="I704" s="2" t="s">
        <v>2718</v>
      </c>
      <c r="J704" s="2"/>
      <c r="K704" s="18">
        <v>45035</v>
      </c>
      <c r="L704" s="18">
        <v>45035</v>
      </c>
      <c r="M704" s="18">
        <v>45050</v>
      </c>
      <c r="N704" s="1"/>
      <c r="O704" s="19">
        <v>66550</v>
      </c>
      <c r="P704" s="18">
        <v>45050</v>
      </c>
      <c r="Q704" s="19"/>
      <c r="R704" s="772"/>
      <c r="S704" s="18"/>
      <c r="T704" s="2"/>
      <c r="U704" s="2"/>
      <c r="V704" s="3" t="s">
        <v>3091</v>
      </c>
      <c r="W704" s="3" t="s">
        <v>3091</v>
      </c>
      <c r="X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12.75" customHeight="1">
      <c r="A705" s="15">
        <v>704</v>
      </c>
      <c r="B705" s="738" t="s">
        <v>1555</v>
      </c>
      <c r="C705" s="16" t="s">
        <v>1017</v>
      </c>
      <c r="D705" s="21" t="s">
        <v>3116</v>
      </c>
      <c r="E705" s="15" t="s">
        <v>3531</v>
      </c>
      <c r="F705" s="3" t="s">
        <v>3646</v>
      </c>
      <c r="G705" s="17">
        <v>16979613</v>
      </c>
      <c r="H705" s="2" t="s">
        <v>1007</v>
      </c>
      <c r="I705" s="2" t="s">
        <v>1018</v>
      </c>
      <c r="J705" s="2" t="s">
        <v>1019</v>
      </c>
      <c r="K705" s="18">
        <v>38117</v>
      </c>
      <c r="L705" s="18">
        <v>38117</v>
      </c>
      <c r="M705" s="18">
        <v>45586</v>
      </c>
      <c r="N705" s="1"/>
      <c r="O705" s="19">
        <v>0</v>
      </c>
      <c r="P705" s="18">
        <v>45596</v>
      </c>
      <c r="Q705" s="19">
        <v>0</v>
      </c>
      <c r="R705" s="772" t="s">
        <v>1020</v>
      </c>
      <c r="S705" s="18">
        <v>42842</v>
      </c>
      <c r="T705" s="2"/>
      <c r="U705" s="3">
        <v>3</v>
      </c>
      <c r="V705" s="2" t="s">
        <v>4625</v>
      </c>
      <c r="W705" s="2" t="s">
        <v>4625</v>
      </c>
      <c r="X705" s="43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12.75" customHeight="1">
      <c r="A706" s="15">
        <v>705</v>
      </c>
      <c r="B706" s="738" t="s">
        <v>1555</v>
      </c>
      <c r="C706" s="16" t="s">
        <v>148</v>
      </c>
      <c r="D706" s="15" t="s">
        <v>3116</v>
      </c>
      <c r="E706" s="3" t="s">
        <v>3647</v>
      </c>
      <c r="F706" s="3" t="s">
        <v>3646</v>
      </c>
      <c r="G706" s="17">
        <v>16979613</v>
      </c>
      <c r="H706" s="2" t="s">
        <v>147</v>
      </c>
      <c r="I706" s="2" t="s">
        <v>149</v>
      </c>
      <c r="J706" s="2" t="s">
        <v>150</v>
      </c>
      <c r="K706" s="18">
        <v>43437</v>
      </c>
      <c r="L706" s="18">
        <v>43437</v>
      </c>
      <c r="M706" s="18">
        <v>44897</v>
      </c>
      <c r="N706" s="1">
        <v>7</v>
      </c>
      <c r="O706" s="19">
        <v>156332</v>
      </c>
      <c r="P706" s="18">
        <v>44897</v>
      </c>
      <c r="Q706" s="19">
        <v>156332</v>
      </c>
      <c r="R706" s="772" t="s">
        <v>151</v>
      </c>
      <c r="S706" s="18">
        <v>43437</v>
      </c>
      <c r="T706" s="2"/>
      <c r="U706" s="2"/>
      <c r="V706" s="2" t="s">
        <v>3091</v>
      </c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12.75" customHeight="1">
      <c r="A707" s="15">
        <v>706</v>
      </c>
      <c r="B707" s="738" t="s">
        <v>3086</v>
      </c>
      <c r="C707" s="16" t="s">
        <v>143</v>
      </c>
      <c r="D707" s="2" t="s">
        <v>3110</v>
      </c>
      <c r="E707" s="3" t="s">
        <v>3132</v>
      </c>
      <c r="F707" s="3" t="s">
        <v>3648</v>
      </c>
      <c r="G707" s="17">
        <v>16977424</v>
      </c>
      <c r="H707" s="2" t="s">
        <v>48</v>
      </c>
      <c r="I707" s="2" t="s">
        <v>144</v>
      </c>
      <c r="K707" s="18">
        <v>43399</v>
      </c>
      <c r="L707" s="18">
        <v>43403</v>
      </c>
      <c r="M707" s="18">
        <v>46326</v>
      </c>
      <c r="N707" s="1"/>
      <c r="O707" s="19">
        <v>1691</v>
      </c>
      <c r="P707" s="18">
        <v>46326</v>
      </c>
      <c r="Q707" s="19"/>
      <c r="R707" s="773"/>
      <c r="S707" s="18"/>
      <c r="T707" s="2"/>
      <c r="U707" s="2"/>
      <c r="V707" s="15"/>
      <c r="W707" s="15"/>
      <c r="X707" s="83" t="s">
        <v>3649</v>
      </c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12.75" customHeight="1">
      <c r="A708" s="15">
        <v>707</v>
      </c>
      <c r="B708" s="736" t="s">
        <v>1555</v>
      </c>
      <c r="C708" s="16" t="s">
        <v>1809</v>
      </c>
      <c r="D708" s="20" t="s">
        <v>3087</v>
      </c>
      <c r="E708" s="2" t="s">
        <v>3103</v>
      </c>
      <c r="F708" s="2" t="s">
        <v>3650</v>
      </c>
      <c r="G708" s="17">
        <v>16977017</v>
      </c>
      <c r="H708" s="2" t="s">
        <v>180</v>
      </c>
      <c r="I708" s="2" t="s">
        <v>1810</v>
      </c>
      <c r="J708" s="2"/>
      <c r="K708" s="18">
        <v>44446</v>
      </c>
      <c r="L708" s="18">
        <v>44449</v>
      </c>
      <c r="M708" s="18">
        <v>44450</v>
      </c>
      <c r="N708" s="1"/>
      <c r="O708" s="19">
        <v>0</v>
      </c>
      <c r="P708" s="18">
        <v>44450</v>
      </c>
      <c r="Q708" s="19"/>
      <c r="R708" s="772"/>
      <c r="S708" s="18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12.75" customHeight="1">
      <c r="A709" s="15">
        <v>708</v>
      </c>
      <c r="B709" s="738" t="s">
        <v>3086</v>
      </c>
      <c r="C709" s="16" t="s">
        <v>1198</v>
      </c>
      <c r="D709" s="2" t="s">
        <v>3110</v>
      </c>
      <c r="E709" s="3" t="s">
        <v>3312</v>
      </c>
      <c r="F709" s="3" t="s">
        <v>3651</v>
      </c>
      <c r="G709" s="17">
        <v>16949218</v>
      </c>
      <c r="H709" s="2" t="s">
        <v>50</v>
      </c>
      <c r="I709" s="2" t="s">
        <v>1199</v>
      </c>
      <c r="J709" s="2" t="s">
        <v>1199</v>
      </c>
      <c r="K709" s="18">
        <v>40582</v>
      </c>
      <c r="L709" s="18">
        <v>40582</v>
      </c>
      <c r="M709" s="18">
        <v>2958465</v>
      </c>
      <c r="N709" s="1">
        <v>3</v>
      </c>
      <c r="O709" s="19">
        <v>3000</v>
      </c>
      <c r="P709" s="18">
        <v>2958465</v>
      </c>
      <c r="Q709" s="19"/>
      <c r="R709" s="773"/>
      <c r="S709" s="18"/>
      <c r="T709" s="2"/>
      <c r="U709" s="2">
        <v>3</v>
      </c>
      <c r="V709" s="2" t="s">
        <v>4625</v>
      </c>
      <c r="W709" s="2" t="s">
        <v>4625</v>
      </c>
      <c r="X709" s="43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12.75" customHeight="1">
      <c r="A710" s="15">
        <v>709</v>
      </c>
      <c r="B710" s="738" t="s">
        <v>1555</v>
      </c>
      <c r="C710" s="16" t="s">
        <v>1299</v>
      </c>
      <c r="D710" s="2" t="s">
        <v>3110</v>
      </c>
      <c r="E710" s="3" t="s">
        <v>3312</v>
      </c>
      <c r="F710" s="3" t="s">
        <v>3652</v>
      </c>
      <c r="G710" s="17">
        <v>14802201</v>
      </c>
      <c r="H710" s="2" t="s">
        <v>50</v>
      </c>
      <c r="I710" s="2" t="s">
        <v>1300</v>
      </c>
      <c r="J710" s="2" t="s">
        <v>1300</v>
      </c>
      <c r="K710" s="18">
        <v>41682</v>
      </c>
      <c r="L710" s="18">
        <v>41682</v>
      </c>
      <c r="M710" s="18">
        <v>45727</v>
      </c>
      <c r="N710" s="1">
        <v>1</v>
      </c>
      <c r="O710" s="19">
        <v>150</v>
      </c>
      <c r="P710" s="18">
        <v>45727</v>
      </c>
      <c r="Q710" s="84"/>
      <c r="R710" s="773"/>
      <c r="S710" s="18"/>
      <c r="T710" s="2"/>
      <c r="U710" s="2">
        <v>3</v>
      </c>
      <c r="V710" s="2" t="s">
        <v>4625</v>
      </c>
      <c r="W710" s="2" t="s">
        <v>4625</v>
      </c>
      <c r="X710" s="43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12.75" customHeight="1">
      <c r="A711" s="15">
        <v>710</v>
      </c>
      <c r="B711" s="736" t="s">
        <v>1555</v>
      </c>
      <c r="C711" s="16" t="s">
        <v>2993</v>
      </c>
      <c r="D711" s="20" t="s">
        <v>3087</v>
      </c>
      <c r="E711" s="2" t="s">
        <v>3117</v>
      </c>
      <c r="F711" s="2" t="s">
        <v>3653</v>
      </c>
      <c r="G711" s="17">
        <v>14226855</v>
      </c>
      <c r="H711" s="2" t="s">
        <v>180</v>
      </c>
      <c r="I711" s="2" t="s">
        <v>2994</v>
      </c>
      <c r="J711" s="2"/>
      <c r="K711" s="18">
        <v>45209</v>
      </c>
      <c r="L711" s="18">
        <v>45233</v>
      </c>
      <c r="M711" s="18">
        <v>45233</v>
      </c>
      <c r="N711" s="1"/>
      <c r="O711" s="19">
        <v>9100</v>
      </c>
      <c r="P711" s="18">
        <v>45233</v>
      </c>
      <c r="Q711" s="19"/>
      <c r="R711" s="772"/>
      <c r="S711" s="18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12.75" customHeight="1">
      <c r="A712" s="15">
        <v>711</v>
      </c>
      <c r="B712" s="736" t="s">
        <v>3086</v>
      </c>
      <c r="C712" s="16" t="s">
        <v>531</v>
      </c>
      <c r="D712" s="21" t="s">
        <v>3116</v>
      </c>
      <c r="E712" s="2" t="s">
        <v>3273</v>
      </c>
      <c r="F712" s="2" t="s">
        <v>3654</v>
      </c>
      <c r="G712" s="17">
        <v>13583531</v>
      </c>
      <c r="H712" s="2" t="s">
        <v>271</v>
      </c>
      <c r="I712" s="2" t="s">
        <v>532</v>
      </c>
      <c r="J712" s="2"/>
      <c r="K712" s="18">
        <v>44838</v>
      </c>
      <c r="L712" s="18">
        <v>44838</v>
      </c>
      <c r="M712" s="18">
        <v>2958465</v>
      </c>
      <c r="N712" s="1">
        <v>1</v>
      </c>
      <c r="O712" s="19">
        <v>84700</v>
      </c>
      <c r="P712" s="18">
        <v>2958465</v>
      </c>
      <c r="Q712" s="19">
        <v>338800</v>
      </c>
      <c r="R712" s="772" t="s">
        <v>533</v>
      </c>
      <c r="S712" s="18">
        <v>44838</v>
      </c>
      <c r="T712" s="2"/>
      <c r="U712" s="3">
        <v>3</v>
      </c>
      <c r="V712" s="2" t="s">
        <v>4625</v>
      </c>
      <c r="W712" s="2" t="s">
        <v>4625</v>
      </c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12.75" customHeight="1">
      <c r="A713" s="15">
        <v>712</v>
      </c>
      <c r="B713" s="736" t="s">
        <v>1555</v>
      </c>
      <c r="C713" s="16" t="s">
        <v>2134</v>
      </c>
      <c r="D713" s="20" t="s">
        <v>3087</v>
      </c>
      <c r="E713" s="2" t="s">
        <v>3093</v>
      </c>
      <c r="F713" s="2" t="s">
        <v>3655</v>
      </c>
      <c r="G713" s="17">
        <v>13285149</v>
      </c>
      <c r="H713" s="96" t="s">
        <v>510</v>
      </c>
      <c r="I713" s="2" t="s">
        <v>2135</v>
      </c>
      <c r="J713" s="2"/>
      <c r="K713" s="18">
        <v>44698</v>
      </c>
      <c r="L713" s="18">
        <v>44698</v>
      </c>
      <c r="M713" s="18">
        <v>44773</v>
      </c>
      <c r="N713" s="1"/>
      <c r="O713" s="19">
        <v>10000</v>
      </c>
      <c r="P713" s="18">
        <v>44773</v>
      </c>
      <c r="Q713" s="19"/>
      <c r="R713" s="772"/>
      <c r="S713" s="18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12.75" customHeight="1">
      <c r="A714" s="15">
        <v>713</v>
      </c>
      <c r="B714" s="738" t="s">
        <v>3086</v>
      </c>
      <c r="C714" s="16" t="s">
        <v>153</v>
      </c>
      <c r="D714" s="2" t="s">
        <v>3110</v>
      </c>
      <c r="E714" s="3" t="s">
        <v>3228</v>
      </c>
      <c r="F714" s="15" t="s">
        <v>3656</v>
      </c>
      <c r="G714" s="17">
        <v>13215442</v>
      </c>
      <c r="H714" s="2" t="s">
        <v>152</v>
      </c>
      <c r="I714" s="2" t="s">
        <v>154</v>
      </c>
      <c r="K714" s="18">
        <v>43440</v>
      </c>
      <c r="L714" s="18">
        <v>43440</v>
      </c>
      <c r="M714" s="18">
        <v>2958465</v>
      </c>
      <c r="N714" s="1"/>
      <c r="O714" s="19">
        <v>1210</v>
      </c>
      <c r="P714" s="18">
        <v>2958465</v>
      </c>
      <c r="Q714" s="19"/>
      <c r="R714" s="773"/>
      <c r="S714" s="18"/>
      <c r="T714" s="2"/>
      <c r="U714" s="2"/>
      <c r="V714" s="15"/>
      <c r="W714" s="15"/>
      <c r="X714" s="83" t="s">
        <v>3657</v>
      </c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12.75" customHeight="1">
      <c r="A715" s="15">
        <v>714</v>
      </c>
      <c r="B715" s="738" t="s">
        <v>3086</v>
      </c>
      <c r="C715" s="16" t="s">
        <v>993</v>
      </c>
      <c r="D715" s="2" t="s">
        <v>3110</v>
      </c>
      <c r="E715" s="3" t="s">
        <v>3273</v>
      </c>
      <c r="F715" s="3" t="s">
        <v>3658</v>
      </c>
      <c r="G715" s="17">
        <v>12257044</v>
      </c>
      <c r="H715" s="2" t="s">
        <v>271</v>
      </c>
      <c r="I715" s="2" t="s">
        <v>994</v>
      </c>
      <c r="J715" s="2" t="s">
        <v>995</v>
      </c>
      <c r="K715" s="18">
        <v>37748</v>
      </c>
      <c r="L715" s="18">
        <v>37748</v>
      </c>
      <c r="M715" s="18">
        <v>2958465</v>
      </c>
      <c r="N715" s="1"/>
      <c r="O715" s="19">
        <v>3872</v>
      </c>
      <c r="P715" s="18">
        <v>2958465</v>
      </c>
      <c r="Q715" s="19">
        <v>0</v>
      </c>
      <c r="R715" s="773"/>
      <c r="S715" s="18"/>
      <c r="T715" s="2"/>
      <c r="U715" s="2"/>
      <c r="V715" s="2"/>
      <c r="W715" s="2"/>
      <c r="X715" s="43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12.75" customHeight="1">
      <c r="A716" s="15">
        <v>715</v>
      </c>
      <c r="B716" s="738" t="s">
        <v>1555</v>
      </c>
      <c r="C716" s="71" t="s">
        <v>978</v>
      </c>
      <c r="D716" s="2" t="s">
        <v>3110</v>
      </c>
      <c r="E716" s="15" t="s">
        <v>3273</v>
      </c>
      <c r="F716" s="3" t="s">
        <v>3659</v>
      </c>
      <c r="G716" s="17">
        <v>12235466</v>
      </c>
      <c r="H716" s="2" t="s">
        <v>271</v>
      </c>
      <c r="I716" s="2" t="s">
        <v>979</v>
      </c>
      <c r="J716" s="2" t="s">
        <v>980</v>
      </c>
      <c r="K716" s="18">
        <v>36783</v>
      </c>
      <c r="L716" s="18">
        <v>36783</v>
      </c>
      <c r="M716" s="18">
        <v>45362</v>
      </c>
      <c r="N716" s="1"/>
      <c r="O716" s="19">
        <v>0</v>
      </c>
      <c r="P716" s="18">
        <v>45362</v>
      </c>
      <c r="Q716" s="19"/>
      <c r="R716" s="773"/>
      <c r="S716" s="18"/>
      <c r="T716" s="2"/>
      <c r="U716" s="2"/>
      <c r="V716" s="71"/>
      <c r="W716" s="71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12.75" customHeight="1">
      <c r="A717" s="15">
        <v>716</v>
      </c>
      <c r="B717" s="736" t="s">
        <v>1555</v>
      </c>
      <c r="C717" s="16" t="s">
        <v>483</v>
      </c>
      <c r="D717" s="2" t="s">
        <v>3110</v>
      </c>
      <c r="E717" s="2" t="s">
        <v>3369</v>
      </c>
      <c r="F717" s="2" t="s">
        <v>3659</v>
      </c>
      <c r="G717" s="17">
        <v>12235466</v>
      </c>
      <c r="H717" s="2" t="s">
        <v>482</v>
      </c>
      <c r="I717" s="2" t="s">
        <v>484</v>
      </c>
      <c r="J717" s="2"/>
      <c r="K717" s="18">
        <v>44763</v>
      </c>
      <c r="L717" s="18">
        <v>44763</v>
      </c>
      <c r="M717" s="18">
        <v>45494</v>
      </c>
      <c r="N717" s="1"/>
      <c r="O717" s="19">
        <v>125000</v>
      </c>
      <c r="P717" s="18">
        <v>45494</v>
      </c>
      <c r="Q717" s="19">
        <v>125000</v>
      </c>
      <c r="R717" s="778" t="s">
        <v>485</v>
      </c>
      <c r="S717" s="80">
        <v>44763</v>
      </c>
      <c r="T717" s="2"/>
      <c r="U717" s="2"/>
      <c r="V717" s="2"/>
      <c r="W717" s="2"/>
      <c r="X717" s="43" t="s">
        <v>3660</v>
      </c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12.75" customHeight="1">
      <c r="A718" s="15">
        <v>717</v>
      </c>
      <c r="B718" s="736" t="s">
        <v>1555</v>
      </c>
      <c r="C718" s="16" t="s">
        <v>1986</v>
      </c>
      <c r="D718" s="20" t="s">
        <v>3087</v>
      </c>
      <c r="E718" s="2" t="s">
        <v>3162</v>
      </c>
      <c r="F718" s="2" t="s">
        <v>3661</v>
      </c>
      <c r="G718" s="17">
        <v>11916435</v>
      </c>
      <c r="H718" s="96" t="s">
        <v>830</v>
      </c>
      <c r="I718" s="2" t="s">
        <v>1987</v>
      </c>
      <c r="J718" s="2"/>
      <c r="K718" s="18">
        <v>44603</v>
      </c>
      <c r="L718" s="18">
        <v>44603</v>
      </c>
      <c r="M718" s="18">
        <v>44926</v>
      </c>
      <c r="N718" s="1"/>
      <c r="O718" s="19"/>
      <c r="P718" s="18">
        <v>44926</v>
      </c>
      <c r="Q718" s="19"/>
      <c r="R718" s="772"/>
      <c r="S718" s="18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12.75" customHeight="1">
      <c r="A719" s="15">
        <v>718</v>
      </c>
      <c r="B719" s="736" t="s">
        <v>1555</v>
      </c>
      <c r="C719" s="16" t="s">
        <v>3055</v>
      </c>
      <c r="D719" s="20" t="s">
        <v>3087</v>
      </c>
      <c r="E719" s="2" t="s">
        <v>3093</v>
      </c>
      <c r="F719" s="2" t="s">
        <v>3662</v>
      </c>
      <c r="G719" s="17">
        <v>11660066</v>
      </c>
      <c r="H719" s="2" t="s">
        <v>180</v>
      </c>
      <c r="I719" s="2" t="s">
        <v>3056</v>
      </c>
      <c r="J719" s="2"/>
      <c r="K719" s="18">
        <v>45300</v>
      </c>
      <c r="L719" s="18">
        <v>45318</v>
      </c>
      <c r="M719" s="18">
        <v>45318</v>
      </c>
      <c r="N719" s="1"/>
      <c r="O719" s="19">
        <v>10240</v>
      </c>
      <c r="P719" s="18">
        <v>45318</v>
      </c>
      <c r="Q719" s="19"/>
      <c r="R719" s="772"/>
      <c r="S719" s="18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12.75" customHeight="1">
      <c r="A720" s="15">
        <v>719</v>
      </c>
      <c r="B720" s="736" t="s">
        <v>1555</v>
      </c>
      <c r="C720" s="16" t="s">
        <v>643</v>
      </c>
      <c r="D720" s="2" t="s">
        <v>3110</v>
      </c>
      <c r="E720" s="2" t="s">
        <v>3141</v>
      </c>
      <c r="F720" s="3" t="s">
        <v>3663</v>
      </c>
      <c r="G720" s="17">
        <v>11305304</v>
      </c>
      <c r="H720" s="2" t="s">
        <v>642</v>
      </c>
      <c r="I720" s="2" t="s">
        <v>644</v>
      </c>
      <c r="J720" s="2"/>
      <c r="K720" s="18">
        <v>44971</v>
      </c>
      <c r="L720" s="18">
        <v>44977</v>
      </c>
      <c r="M720" s="18">
        <v>45707</v>
      </c>
      <c r="N720" s="1"/>
      <c r="O720" s="19">
        <v>24000</v>
      </c>
      <c r="P720" s="18">
        <v>45707</v>
      </c>
      <c r="Q720" s="19"/>
      <c r="R720" s="772"/>
      <c r="S720" s="18"/>
      <c r="T720" s="2"/>
      <c r="U720" s="2">
        <v>3</v>
      </c>
      <c r="V720" s="3" t="s">
        <v>4625</v>
      </c>
      <c r="W720" s="3" t="s">
        <v>4625</v>
      </c>
      <c r="X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12.75" customHeight="1">
      <c r="A721" s="15">
        <v>720</v>
      </c>
      <c r="B721" s="736" t="s">
        <v>1555</v>
      </c>
      <c r="C721" s="16" t="s">
        <v>1709</v>
      </c>
      <c r="D721" s="20" t="s">
        <v>3110</v>
      </c>
      <c r="E721" s="2" t="s">
        <v>3141</v>
      </c>
      <c r="F721" s="3" t="s">
        <v>3663</v>
      </c>
      <c r="G721" s="17">
        <v>11305304</v>
      </c>
      <c r="H721" s="2" t="s">
        <v>642</v>
      </c>
      <c r="I721" s="2" t="s">
        <v>1710</v>
      </c>
      <c r="J721" s="2"/>
      <c r="K721" s="18">
        <v>44375</v>
      </c>
      <c r="L721" s="18">
        <v>44375</v>
      </c>
      <c r="M721" s="18">
        <v>44976</v>
      </c>
      <c r="N721" s="1"/>
      <c r="O721" s="19">
        <v>1000</v>
      </c>
      <c r="P721" s="18">
        <v>44976</v>
      </c>
      <c r="Q721" s="19"/>
      <c r="R721" s="772"/>
      <c r="S721" s="18"/>
      <c r="T721" s="2"/>
      <c r="U721" s="2"/>
      <c r="V721" t="s">
        <v>4625</v>
      </c>
      <c r="W721" t="s">
        <v>4625</v>
      </c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12.75" customHeight="1">
      <c r="A722" s="15">
        <v>721</v>
      </c>
      <c r="B722" s="736" t="s">
        <v>1555</v>
      </c>
      <c r="C722" s="16" t="s">
        <v>2036</v>
      </c>
      <c r="D722" s="2" t="s">
        <v>5351</v>
      </c>
      <c r="E722" s="2" t="s">
        <v>3664</v>
      </c>
      <c r="F722" s="2" t="s">
        <v>3665</v>
      </c>
      <c r="G722" s="17">
        <v>10999639</v>
      </c>
      <c r="H722" s="2" t="s">
        <v>718</v>
      </c>
      <c r="I722" s="2" t="s">
        <v>2037</v>
      </c>
      <c r="J722" s="2"/>
      <c r="K722" s="18">
        <v>44651</v>
      </c>
      <c r="L722" s="18">
        <v>44651</v>
      </c>
      <c r="M722" s="18">
        <v>45202</v>
      </c>
      <c r="N722" s="1"/>
      <c r="O722" s="19">
        <v>400000</v>
      </c>
      <c r="P722" s="18">
        <v>45202</v>
      </c>
      <c r="Q722" s="19"/>
      <c r="R722" s="772"/>
      <c r="S722" s="18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12.75" customHeight="1">
      <c r="A723" s="15">
        <v>722</v>
      </c>
      <c r="B723" s="736" t="s">
        <v>1555</v>
      </c>
      <c r="C723" s="16" t="s">
        <v>3053</v>
      </c>
      <c r="D723" s="20" t="s">
        <v>3087</v>
      </c>
      <c r="E723" s="2" t="s">
        <v>3093</v>
      </c>
      <c r="F723" s="2" t="s">
        <v>3666</v>
      </c>
      <c r="G723" s="17">
        <v>10876294</v>
      </c>
      <c r="H723" s="2" t="s">
        <v>180</v>
      </c>
      <c r="I723" s="2" t="s">
        <v>3054</v>
      </c>
      <c r="J723" s="2"/>
      <c r="K723" s="18">
        <v>45300</v>
      </c>
      <c r="L723" s="18">
        <v>45302</v>
      </c>
      <c r="M723" s="18">
        <v>45302</v>
      </c>
      <c r="N723" s="1"/>
      <c r="O723" s="19">
        <v>7380</v>
      </c>
      <c r="P723" s="18">
        <v>45302</v>
      </c>
      <c r="Q723" s="19"/>
      <c r="R723" s="772"/>
      <c r="S723" s="18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12.75" customHeight="1">
      <c r="A724" s="15">
        <v>723</v>
      </c>
      <c r="B724" s="736" t="s">
        <v>1555</v>
      </c>
      <c r="C724" s="16" t="s">
        <v>1858</v>
      </c>
      <c r="D724" s="20" t="s">
        <v>3110</v>
      </c>
      <c r="E724" s="2" t="s">
        <v>3197</v>
      </c>
      <c r="F724" s="2" t="s">
        <v>3667</v>
      </c>
      <c r="G724" s="17">
        <v>9996842</v>
      </c>
      <c r="H724" s="2" t="s">
        <v>546</v>
      </c>
      <c r="I724" s="2" t="s">
        <v>1859</v>
      </c>
      <c r="J724" s="2"/>
      <c r="K724" s="18">
        <v>44502</v>
      </c>
      <c r="L724" s="18">
        <v>44502</v>
      </c>
      <c r="M724" s="18">
        <v>44530</v>
      </c>
      <c r="N724" s="1"/>
      <c r="O724" s="19">
        <v>229221</v>
      </c>
      <c r="P724" s="18">
        <v>44530</v>
      </c>
      <c r="Q724" s="19"/>
      <c r="R724" s="772"/>
      <c r="S724" s="18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12.75" customHeight="1">
      <c r="A725" s="15">
        <v>724</v>
      </c>
      <c r="B725" s="736" t="s">
        <v>1555</v>
      </c>
      <c r="C725" s="16" t="s">
        <v>1805</v>
      </c>
      <c r="D725" s="20" t="s">
        <v>3087</v>
      </c>
      <c r="E725" s="2" t="s">
        <v>3103</v>
      </c>
      <c r="F725" s="2" t="s">
        <v>3668</v>
      </c>
      <c r="G725" s="17">
        <v>9880674</v>
      </c>
      <c r="H725" s="2" t="s">
        <v>180</v>
      </c>
      <c r="I725" s="2" t="s">
        <v>1806</v>
      </c>
      <c r="J725" s="2"/>
      <c r="K725" s="18">
        <v>44428</v>
      </c>
      <c r="L725" s="18">
        <v>44428</v>
      </c>
      <c r="M725" s="18">
        <v>44430</v>
      </c>
      <c r="N725" s="1"/>
      <c r="O725" s="19">
        <v>14610</v>
      </c>
      <c r="P725" s="18">
        <v>44430</v>
      </c>
      <c r="Q725" s="19"/>
      <c r="R725" s="772"/>
      <c r="S725" s="18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12.75" customHeight="1">
      <c r="A726" s="15">
        <v>725</v>
      </c>
      <c r="B726" s="736" t="s">
        <v>1555</v>
      </c>
      <c r="C726" s="16" t="s">
        <v>2427</v>
      </c>
      <c r="D726" s="21" t="s">
        <v>3168</v>
      </c>
      <c r="E726" s="2" t="s">
        <v>3669</v>
      </c>
      <c r="F726" s="2" t="s">
        <v>3670</v>
      </c>
      <c r="G726" s="17">
        <v>9788018</v>
      </c>
      <c r="H726" s="2" t="s">
        <v>2426</v>
      </c>
      <c r="I726" s="2" t="s">
        <v>2428</v>
      </c>
      <c r="J726" s="2"/>
      <c r="K726" s="18">
        <v>44858</v>
      </c>
      <c r="L726" s="18">
        <v>44858</v>
      </c>
      <c r="M726" s="18">
        <v>44943</v>
      </c>
      <c r="N726" s="1"/>
      <c r="O726" s="19">
        <v>168795</v>
      </c>
      <c r="P726" s="18">
        <v>44943</v>
      </c>
      <c r="Q726" s="19"/>
      <c r="R726" s="772"/>
      <c r="S726" s="18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12.75" customHeight="1">
      <c r="A727" s="15">
        <v>726</v>
      </c>
      <c r="B727" s="736" t="s">
        <v>1555</v>
      </c>
      <c r="C727" s="16" t="s">
        <v>1948</v>
      </c>
      <c r="D727" s="739" t="s">
        <v>5353</v>
      </c>
      <c r="E727" s="2" t="s">
        <v>3117</v>
      </c>
      <c r="F727" s="2" t="s">
        <v>3671</v>
      </c>
      <c r="G727" s="17">
        <v>9692142</v>
      </c>
      <c r="H727" s="2" t="s">
        <v>1947</v>
      </c>
      <c r="I727" s="2" t="s">
        <v>1949</v>
      </c>
      <c r="J727" s="2"/>
      <c r="K727" s="18">
        <v>44581</v>
      </c>
      <c r="L727" s="18">
        <v>44581</v>
      </c>
      <c r="M727" s="18">
        <v>45015</v>
      </c>
      <c r="N727" s="1"/>
      <c r="O727" s="19">
        <v>165000</v>
      </c>
      <c r="P727" s="18">
        <v>45015</v>
      </c>
      <c r="Q727" s="19"/>
      <c r="R727" s="772"/>
      <c r="S727" s="18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12.75" customHeight="1">
      <c r="A728" s="15">
        <v>727</v>
      </c>
      <c r="B728" s="736" t="s">
        <v>1555</v>
      </c>
      <c r="C728" s="16" t="s">
        <v>1982</v>
      </c>
      <c r="D728" s="739" t="s">
        <v>5353</v>
      </c>
      <c r="E728" s="2" t="s">
        <v>3117</v>
      </c>
      <c r="F728" s="2" t="s">
        <v>3671</v>
      </c>
      <c r="G728" s="17">
        <v>9692142</v>
      </c>
      <c r="H728" s="2" t="s">
        <v>1981</v>
      </c>
      <c r="I728" s="2" t="s">
        <v>1983</v>
      </c>
      <c r="J728" s="2"/>
      <c r="K728" s="18">
        <v>44602</v>
      </c>
      <c r="L728" s="18">
        <v>44602</v>
      </c>
      <c r="M728" s="18">
        <v>44819</v>
      </c>
      <c r="N728" s="1"/>
      <c r="O728" s="19">
        <v>489000</v>
      </c>
      <c r="P728" s="18">
        <v>44819</v>
      </c>
      <c r="Q728" s="19"/>
      <c r="R728" s="772"/>
      <c r="S728" s="18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12.75" customHeight="1">
      <c r="A729" s="15">
        <v>729</v>
      </c>
      <c r="B729" s="736" t="s">
        <v>1555</v>
      </c>
      <c r="C729" s="16" t="s">
        <v>909</v>
      </c>
      <c r="D729" s="3" t="s">
        <v>3139</v>
      </c>
      <c r="E729" s="2" t="s">
        <v>3117</v>
      </c>
      <c r="F729" s="2" t="s">
        <v>3672</v>
      </c>
      <c r="G729" s="17">
        <v>9275525</v>
      </c>
      <c r="H729" s="2" t="s">
        <v>908</v>
      </c>
      <c r="I729" s="2" t="s">
        <v>910</v>
      </c>
      <c r="J729" s="2"/>
      <c r="K729" s="30">
        <v>45300</v>
      </c>
      <c r="L729" s="30">
        <v>45300</v>
      </c>
      <c r="M729" s="30">
        <v>46030</v>
      </c>
      <c r="N729" s="31">
        <v>6</v>
      </c>
      <c r="O729" s="32">
        <v>296450</v>
      </c>
      <c r="P729" s="30">
        <v>46030</v>
      </c>
      <c r="Q729" s="40">
        <v>296450</v>
      </c>
      <c r="R729" s="775" t="s">
        <v>911</v>
      </c>
      <c r="S729" s="34">
        <v>45300</v>
      </c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12.75" customHeight="1">
      <c r="A730" s="15">
        <v>730</v>
      </c>
      <c r="B730" s="736" t="s">
        <v>3086</v>
      </c>
      <c r="C730" s="16" t="s">
        <v>615</v>
      </c>
      <c r="D730" s="3" t="s">
        <v>3139</v>
      </c>
      <c r="E730" s="2" t="s">
        <v>3117</v>
      </c>
      <c r="F730" s="2" t="s">
        <v>3672</v>
      </c>
      <c r="G730" s="17">
        <v>9275525</v>
      </c>
      <c r="H730" s="2" t="s">
        <v>506</v>
      </c>
      <c r="I730" s="2" t="s">
        <v>616</v>
      </c>
      <c r="J730" s="2"/>
      <c r="K730" s="18">
        <v>44944</v>
      </c>
      <c r="L730" s="18">
        <v>44944</v>
      </c>
      <c r="M730" s="18">
        <v>2958465</v>
      </c>
      <c r="N730" s="1">
        <v>6</v>
      </c>
      <c r="O730" s="19">
        <v>119790</v>
      </c>
      <c r="P730" s="18">
        <v>2958465</v>
      </c>
      <c r="Q730" s="19">
        <v>119790</v>
      </c>
      <c r="R730" s="772" t="s">
        <v>617</v>
      </c>
      <c r="S730" s="18">
        <v>44945</v>
      </c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12.75" customHeight="1">
      <c r="A731" s="15">
        <v>731</v>
      </c>
      <c r="B731" s="736" t="s">
        <v>1555</v>
      </c>
      <c r="C731" s="16" t="s">
        <v>1932</v>
      </c>
      <c r="D731" s="2" t="s">
        <v>5351</v>
      </c>
      <c r="E731" s="2" t="s">
        <v>3117</v>
      </c>
      <c r="F731" s="2" t="s">
        <v>3672</v>
      </c>
      <c r="G731" s="17">
        <v>9275525</v>
      </c>
      <c r="H731" s="2" t="s">
        <v>1931</v>
      </c>
      <c r="I731" s="2" t="s">
        <v>1933</v>
      </c>
      <c r="J731" s="2"/>
      <c r="K731" s="18">
        <v>44571</v>
      </c>
      <c r="L731" s="18">
        <v>44571</v>
      </c>
      <c r="M731" s="18">
        <v>44926</v>
      </c>
      <c r="N731" s="1"/>
      <c r="O731" s="19">
        <v>1</v>
      </c>
      <c r="P731" s="18">
        <v>44926</v>
      </c>
      <c r="Q731" s="19"/>
      <c r="R731" s="772"/>
      <c r="S731" s="18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12.75" customHeight="1">
      <c r="A732" s="15">
        <v>732</v>
      </c>
      <c r="B732" s="736" t="s">
        <v>1555</v>
      </c>
      <c r="C732" s="16" t="s">
        <v>1968</v>
      </c>
      <c r="D732" s="2" t="s">
        <v>5351</v>
      </c>
      <c r="E732" s="2" t="s">
        <v>3117</v>
      </c>
      <c r="F732" s="2" t="s">
        <v>3673</v>
      </c>
      <c r="G732" s="17">
        <v>9275444</v>
      </c>
      <c r="H732" s="2" t="s">
        <v>1967</v>
      </c>
      <c r="I732" s="2" t="s">
        <v>1969</v>
      </c>
      <c r="J732" s="2"/>
      <c r="K732" s="18">
        <v>44602</v>
      </c>
      <c r="L732" s="18">
        <v>44602</v>
      </c>
      <c r="M732" s="18">
        <v>44926</v>
      </c>
      <c r="N732" s="1"/>
      <c r="O732" s="19">
        <v>487000</v>
      </c>
      <c r="P732" s="18">
        <v>44926</v>
      </c>
      <c r="Q732" s="19"/>
      <c r="R732" s="772"/>
      <c r="S732" s="18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12.75" customHeight="1">
      <c r="A733" s="15">
        <v>733</v>
      </c>
      <c r="B733" s="736" t="s">
        <v>1555</v>
      </c>
      <c r="C733" s="16" t="s">
        <v>2907</v>
      </c>
      <c r="D733" s="20" t="s">
        <v>3087</v>
      </c>
      <c r="E733" s="2" t="s">
        <v>3093</v>
      </c>
      <c r="F733" s="2" t="s">
        <v>3674</v>
      </c>
      <c r="G733" s="17">
        <v>9219978</v>
      </c>
      <c r="H733" s="96" t="s">
        <v>510</v>
      </c>
      <c r="I733" s="2" t="s">
        <v>2908</v>
      </c>
      <c r="J733" s="2"/>
      <c r="K733" s="18">
        <v>45148</v>
      </c>
      <c r="L733" s="18">
        <v>45148</v>
      </c>
      <c r="M733" s="18">
        <v>45169</v>
      </c>
      <c r="N733" s="1"/>
      <c r="O733" s="19"/>
      <c r="P733" s="18">
        <v>45169</v>
      </c>
      <c r="Q733" s="19"/>
      <c r="R733" s="772"/>
      <c r="S733" s="18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12.75" customHeight="1">
      <c r="A734" s="15">
        <v>734</v>
      </c>
      <c r="B734" s="736" t="s">
        <v>1555</v>
      </c>
      <c r="C734" s="16" t="s">
        <v>1813</v>
      </c>
      <c r="D734" s="20" t="s">
        <v>3110</v>
      </c>
      <c r="E734" s="2" t="s">
        <v>3141</v>
      </c>
      <c r="F734" s="2" t="s">
        <v>3675</v>
      </c>
      <c r="G734" s="17">
        <v>8955131</v>
      </c>
      <c r="H734" s="2" t="s">
        <v>5255</v>
      </c>
      <c r="I734" s="2" t="s">
        <v>1814</v>
      </c>
      <c r="J734" s="2"/>
      <c r="K734" s="18">
        <v>44455</v>
      </c>
      <c r="L734" s="18">
        <v>44455</v>
      </c>
      <c r="M734" s="18">
        <v>45184</v>
      </c>
      <c r="N734" s="1"/>
      <c r="O734" s="19">
        <v>35000</v>
      </c>
      <c r="P734" s="18">
        <v>45184</v>
      </c>
      <c r="Q734" s="19"/>
      <c r="R734" s="772"/>
      <c r="S734" s="18"/>
      <c r="T734" s="2"/>
      <c r="U734" s="2"/>
      <c r="V734" t="s">
        <v>4625</v>
      </c>
      <c r="W734" t="s">
        <v>4625</v>
      </c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12.75" customHeight="1">
      <c r="A735" s="15">
        <v>735</v>
      </c>
      <c r="B735" s="736" t="s">
        <v>1555</v>
      </c>
      <c r="C735" s="16" t="s">
        <v>2731</v>
      </c>
      <c r="D735" s="20" t="s">
        <v>3087</v>
      </c>
      <c r="E735" s="2" t="s">
        <v>3097</v>
      </c>
      <c r="F735" s="2" t="s">
        <v>3676</v>
      </c>
      <c r="G735" s="17">
        <v>8807523</v>
      </c>
      <c r="H735" s="96" t="s">
        <v>830</v>
      </c>
      <c r="I735" s="2" t="s">
        <v>2732</v>
      </c>
      <c r="J735" s="2"/>
      <c r="K735" s="18">
        <v>45040</v>
      </c>
      <c r="L735" s="18">
        <v>45040</v>
      </c>
      <c r="M735" s="18">
        <v>45107</v>
      </c>
      <c r="N735" s="1"/>
      <c r="O735" s="19">
        <v>4200</v>
      </c>
      <c r="P735" s="18">
        <v>45107</v>
      </c>
      <c r="Q735" s="19"/>
      <c r="R735" s="772"/>
      <c r="S735" s="18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12.75" customHeight="1">
      <c r="A736" s="15">
        <v>736</v>
      </c>
      <c r="B736" s="736" t="s">
        <v>1555</v>
      </c>
      <c r="C736" s="16" t="s">
        <v>2761</v>
      </c>
      <c r="D736" s="20" t="s">
        <v>3087</v>
      </c>
      <c r="E736" s="2" t="s">
        <v>3093</v>
      </c>
      <c r="F736" s="2" t="s">
        <v>3677</v>
      </c>
      <c r="G736" s="17">
        <v>8509760</v>
      </c>
      <c r="H736" s="96" t="s">
        <v>510</v>
      </c>
      <c r="I736" s="2" t="s">
        <v>2762</v>
      </c>
      <c r="J736" s="2"/>
      <c r="K736" s="18">
        <v>45064</v>
      </c>
      <c r="L736" s="18">
        <v>45064</v>
      </c>
      <c r="M736" s="18">
        <v>45076</v>
      </c>
      <c r="N736" s="1"/>
      <c r="O736" s="19"/>
      <c r="P736" s="18">
        <v>45076</v>
      </c>
      <c r="Q736" s="19"/>
      <c r="R736" s="772"/>
      <c r="S736" s="18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12.75" customHeight="1">
      <c r="A737" s="15">
        <v>737</v>
      </c>
      <c r="B737" s="736" t="s">
        <v>1555</v>
      </c>
      <c r="C737" s="16" t="s">
        <v>2765</v>
      </c>
      <c r="D737" s="20" t="s">
        <v>3087</v>
      </c>
      <c r="E737" s="2" t="s">
        <v>3093</v>
      </c>
      <c r="F737" s="2" t="s">
        <v>3678</v>
      </c>
      <c r="G737" s="17">
        <v>8234663</v>
      </c>
      <c r="H737" s="96" t="s">
        <v>510</v>
      </c>
      <c r="I737" s="2" t="s">
        <v>2766</v>
      </c>
      <c r="J737" s="2"/>
      <c r="K737" s="18">
        <v>45069</v>
      </c>
      <c r="L737" s="18">
        <v>45069</v>
      </c>
      <c r="M737" s="18">
        <v>45076</v>
      </c>
      <c r="N737" s="1"/>
      <c r="O737" s="19"/>
      <c r="P737" s="18">
        <v>45076</v>
      </c>
      <c r="Q737" s="19"/>
      <c r="R737" s="772"/>
      <c r="S737" s="18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12.75" customHeight="1">
      <c r="A738" s="15">
        <v>738</v>
      </c>
      <c r="B738" s="736" t="s">
        <v>1555</v>
      </c>
      <c r="C738" s="16" t="s">
        <v>414</v>
      </c>
      <c r="D738" s="20" t="s">
        <v>3110</v>
      </c>
      <c r="E738" s="2" t="s">
        <v>3679</v>
      </c>
      <c r="F738" s="2" t="s">
        <v>3680</v>
      </c>
      <c r="G738" s="17">
        <v>8157154</v>
      </c>
      <c r="H738" s="2" t="s">
        <v>645</v>
      </c>
      <c r="I738" s="2" t="s">
        <v>415</v>
      </c>
      <c r="J738" s="2"/>
      <c r="K738" s="18">
        <v>44648</v>
      </c>
      <c r="L738" s="18">
        <v>44648</v>
      </c>
      <c r="M738" s="18">
        <v>45379</v>
      </c>
      <c r="N738" s="1"/>
      <c r="O738" s="19">
        <v>480000</v>
      </c>
      <c r="P738" s="18">
        <v>45379</v>
      </c>
      <c r="Q738" s="19">
        <v>480000</v>
      </c>
      <c r="R738" s="772" t="s">
        <v>416</v>
      </c>
      <c r="S738" s="18">
        <v>44648</v>
      </c>
      <c r="T738" s="2"/>
      <c r="U738" s="2"/>
      <c r="V738" s="2" t="s">
        <v>3091</v>
      </c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12.75" customHeight="1">
      <c r="A739" s="15">
        <v>739</v>
      </c>
      <c r="B739" s="736" t="s">
        <v>1555</v>
      </c>
      <c r="C739" s="16" t="s">
        <v>1581</v>
      </c>
      <c r="D739" s="20" t="s">
        <v>3110</v>
      </c>
      <c r="E739" s="2" t="s">
        <v>3679</v>
      </c>
      <c r="F739" s="2" t="s">
        <v>3680</v>
      </c>
      <c r="G739" s="17">
        <v>8157154</v>
      </c>
      <c r="H739" s="2" t="s">
        <v>645</v>
      </c>
      <c r="I739" s="2" t="s">
        <v>1582</v>
      </c>
      <c r="J739" s="2"/>
      <c r="K739" s="18">
        <v>44256</v>
      </c>
      <c r="L739" s="18">
        <v>44256</v>
      </c>
      <c r="M739" s="18">
        <v>44620</v>
      </c>
      <c r="N739" s="1"/>
      <c r="O739" s="19">
        <v>141.1</v>
      </c>
      <c r="P739" s="18">
        <v>44620</v>
      </c>
      <c r="Q739" s="19"/>
      <c r="R739" s="772"/>
      <c r="S739" s="18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12.75" customHeight="1">
      <c r="A740" s="15">
        <v>740</v>
      </c>
      <c r="B740" s="736" t="s">
        <v>1555</v>
      </c>
      <c r="C740" s="16" t="s">
        <v>2327</v>
      </c>
      <c r="D740" s="20" t="s">
        <v>3110</v>
      </c>
      <c r="E740" s="2" t="s">
        <v>3197</v>
      </c>
      <c r="F740" s="2" t="s">
        <v>3681</v>
      </c>
      <c r="G740" s="17">
        <v>8131066</v>
      </c>
      <c r="H740" s="2" t="s">
        <v>546</v>
      </c>
      <c r="I740" s="2" t="s">
        <v>2328</v>
      </c>
      <c r="J740" s="2"/>
      <c r="K740" s="18">
        <v>44816</v>
      </c>
      <c r="L740" s="18">
        <v>44816</v>
      </c>
      <c r="M740" s="18">
        <v>44873</v>
      </c>
      <c r="N740" s="1"/>
      <c r="O740" s="19">
        <v>179510</v>
      </c>
      <c r="P740" s="18">
        <v>44873</v>
      </c>
      <c r="Q740" s="19"/>
      <c r="R740" s="772"/>
      <c r="S740" s="18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12.75" customHeight="1">
      <c r="A741" s="15">
        <v>741</v>
      </c>
      <c r="B741" s="736" t="s">
        <v>1555</v>
      </c>
      <c r="C741" s="16" t="s">
        <v>1803</v>
      </c>
      <c r="D741" s="20" t="s">
        <v>3087</v>
      </c>
      <c r="E741" s="2" t="s">
        <v>3103</v>
      </c>
      <c r="F741" s="2" t="s">
        <v>3682</v>
      </c>
      <c r="G741" s="17">
        <v>8030707</v>
      </c>
      <c r="H741" s="2" t="s">
        <v>180</v>
      </c>
      <c r="I741" s="2" t="s">
        <v>1804</v>
      </c>
      <c r="J741" s="2"/>
      <c r="K741" s="18">
        <v>44428</v>
      </c>
      <c r="L741" s="18">
        <v>44428</v>
      </c>
      <c r="M741" s="18">
        <v>44431</v>
      </c>
      <c r="N741" s="1"/>
      <c r="O741" s="19">
        <v>46480</v>
      </c>
      <c r="P741" s="18">
        <v>44431</v>
      </c>
      <c r="Q741" s="19"/>
      <c r="R741" s="772"/>
      <c r="S741" s="18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12.75" customHeight="1">
      <c r="A742" s="15">
        <v>742</v>
      </c>
      <c r="B742" s="736" t="s">
        <v>1555</v>
      </c>
      <c r="C742" s="16" t="s">
        <v>2757</v>
      </c>
      <c r="D742" s="20" t="s">
        <v>3087</v>
      </c>
      <c r="E742" s="2" t="s">
        <v>3093</v>
      </c>
      <c r="F742" s="2" t="s">
        <v>3683</v>
      </c>
      <c r="G742" s="17">
        <v>7964943</v>
      </c>
      <c r="H742" s="96" t="s">
        <v>510</v>
      </c>
      <c r="I742" s="2" t="s">
        <v>2758</v>
      </c>
      <c r="J742" s="2"/>
      <c r="K742" s="18">
        <v>45056</v>
      </c>
      <c r="L742" s="18">
        <v>45056</v>
      </c>
      <c r="M742" s="18">
        <v>45169</v>
      </c>
      <c r="N742" s="1"/>
      <c r="O742" s="19">
        <v>4000</v>
      </c>
      <c r="P742" s="18">
        <v>45169</v>
      </c>
      <c r="Q742" s="19"/>
      <c r="R742" s="772"/>
      <c r="S742" s="18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12.75" customHeight="1">
      <c r="A743" s="15">
        <v>743</v>
      </c>
      <c r="B743" s="736" t="s">
        <v>1555</v>
      </c>
      <c r="C743" s="16" t="s">
        <v>2199</v>
      </c>
      <c r="D743" s="20" t="s">
        <v>3087</v>
      </c>
      <c r="E743" s="2" t="s">
        <v>3093</v>
      </c>
      <c r="F743" s="2" t="s">
        <v>3683</v>
      </c>
      <c r="G743" s="17">
        <v>7964943</v>
      </c>
      <c r="H743" s="96" t="s">
        <v>510</v>
      </c>
      <c r="I743" s="2" t="s">
        <v>2200</v>
      </c>
      <c r="J743" s="2"/>
      <c r="K743" s="18">
        <v>44753</v>
      </c>
      <c r="L743" s="18">
        <v>44753</v>
      </c>
      <c r="M743" s="18">
        <v>44865</v>
      </c>
      <c r="N743" s="1"/>
      <c r="O743" s="19">
        <v>4000</v>
      </c>
      <c r="P743" s="18">
        <v>44865</v>
      </c>
      <c r="Q743" s="19"/>
      <c r="R743" s="772"/>
      <c r="S743" s="18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12.75" customHeight="1">
      <c r="A744" s="15">
        <v>744</v>
      </c>
      <c r="B744" s="736" t="s">
        <v>3086</v>
      </c>
      <c r="C744" s="16" t="s">
        <v>309</v>
      </c>
      <c r="D744" s="2" t="s">
        <v>3110</v>
      </c>
      <c r="E744" s="2" t="s">
        <v>3228</v>
      </c>
      <c r="F744" s="2" t="s">
        <v>3684</v>
      </c>
      <c r="G744" s="17">
        <v>7725680</v>
      </c>
      <c r="H744" s="2" t="s">
        <v>64</v>
      </c>
      <c r="I744" s="2" t="s">
        <v>310</v>
      </c>
      <c r="J744" s="2"/>
      <c r="K744" s="18">
        <v>44286</v>
      </c>
      <c r="L744" s="18">
        <v>44286</v>
      </c>
      <c r="M744" s="18">
        <v>2958465</v>
      </c>
      <c r="N744" s="1">
        <v>1</v>
      </c>
      <c r="O744" s="19">
        <v>21700</v>
      </c>
      <c r="P744" s="18">
        <v>2958465</v>
      </c>
      <c r="Q744" s="19">
        <v>22000</v>
      </c>
      <c r="R744" s="772" t="s">
        <v>311</v>
      </c>
      <c r="S744" s="18">
        <v>44286</v>
      </c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12.75" customHeight="1">
      <c r="A745" s="15">
        <v>745</v>
      </c>
      <c r="B745" s="736" t="s">
        <v>1555</v>
      </c>
      <c r="C745" s="16" t="s">
        <v>1619</v>
      </c>
      <c r="D745" s="2"/>
      <c r="E745" s="96" t="s">
        <v>5143</v>
      </c>
      <c r="F745" s="2" t="s">
        <v>3685</v>
      </c>
      <c r="G745" s="17">
        <v>7705069</v>
      </c>
      <c r="H745" s="2" t="s">
        <v>1729</v>
      </c>
      <c r="I745" s="2" t="s">
        <v>1620</v>
      </c>
      <c r="J745" s="2"/>
      <c r="K745" s="18">
        <v>44315</v>
      </c>
      <c r="L745" s="18">
        <v>44315</v>
      </c>
      <c r="M745" s="18">
        <v>44336</v>
      </c>
      <c r="N745" s="1"/>
      <c r="O745" s="19">
        <v>23000</v>
      </c>
      <c r="P745" s="18">
        <v>44336</v>
      </c>
      <c r="Q745" s="19"/>
      <c r="R745" s="772"/>
      <c r="S745" s="18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12.75" customHeight="1">
      <c r="A746" s="15">
        <v>746</v>
      </c>
      <c r="B746" s="736" t="s">
        <v>1555</v>
      </c>
      <c r="C746" s="16" t="s">
        <v>1685</v>
      </c>
      <c r="D746" s="2"/>
      <c r="E746" s="96" t="s">
        <v>5143</v>
      </c>
      <c r="F746" s="2" t="s">
        <v>3685</v>
      </c>
      <c r="G746" s="17">
        <v>7705069</v>
      </c>
      <c r="H746" s="2" t="s">
        <v>1729</v>
      </c>
      <c r="I746" s="2" t="s">
        <v>1686</v>
      </c>
      <c r="J746" s="2"/>
      <c r="K746" s="18">
        <v>44363</v>
      </c>
      <c r="L746" s="18">
        <v>44363</v>
      </c>
      <c r="M746" s="18">
        <v>44367</v>
      </c>
      <c r="N746" s="1"/>
      <c r="O746" s="19">
        <v>9200</v>
      </c>
      <c r="P746" s="18">
        <v>44367</v>
      </c>
      <c r="Q746" s="19"/>
      <c r="R746" s="772"/>
      <c r="S746" s="18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12.75" customHeight="1">
      <c r="A747" s="15">
        <v>747</v>
      </c>
      <c r="B747" s="736" t="s">
        <v>1555</v>
      </c>
      <c r="C747" s="16" t="s">
        <v>2957</v>
      </c>
      <c r="D747" s="20" t="s">
        <v>3087</v>
      </c>
      <c r="E747" s="2" t="s">
        <v>3093</v>
      </c>
      <c r="F747" s="2" t="s">
        <v>3686</v>
      </c>
      <c r="G747" s="17">
        <v>7593961</v>
      </c>
      <c r="H747" s="96" t="s">
        <v>510</v>
      </c>
      <c r="I747" s="2" t="s">
        <v>2958</v>
      </c>
      <c r="J747" s="2"/>
      <c r="K747" s="18">
        <v>45187</v>
      </c>
      <c r="L747" s="18">
        <v>45187</v>
      </c>
      <c r="M747" s="18">
        <v>45230</v>
      </c>
      <c r="N747" s="1"/>
      <c r="O747" s="19">
        <v>9240</v>
      </c>
      <c r="P747" s="18">
        <v>45230</v>
      </c>
      <c r="Q747" s="19"/>
      <c r="R747" s="772"/>
      <c r="S747" s="18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12.75" customHeight="1">
      <c r="A748" s="15">
        <v>748</v>
      </c>
      <c r="B748" s="736" t="s">
        <v>1555</v>
      </c>
      <c r="C748" s="16" t="s">
        <v>2028</v>
      </c>
      <c r="D748" s="20" t="s">
        <v>3087</v>
      </c>
      <c r="E748" s="2" t="s">
        <v>3093</v>
      </c>
      <c r="F748" s="2" t="s">
        <v>3687</v>
      </c>
      <c r="G748" s="17">
        <v>7556586</v>
      </c>
      <c r="H748" s="96" t="s">
        <v>510</v>
      </c>
      <c r="I748" s="2" t="s">
        <v>2029</v>
      </c>
      <c r="J748" s="2"/>
      <c r="K748" s="18">
        <v>44645</v>
      </c>
      <c r="L748" s="18">
        <v>44645</v>
      </c>
      <c r="M748" s="18">
        <v>44666</v>
      </c>
      <c r="N748" s="1"/>
      <c r="O748" s="19">
        <v>0</v>
      </c>
      <c r="P748" s="18">
        <v>44666</v>
      </c>
      <c r="Q748" s="19"/>
      <c r="R748" s="772"/>
      <c r="S748" s="18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12.75" customHeight="1">
      <c r="A749" s="15">
        <v>749</v>
      </c>
      <c r="B749" s="736" t="s">
        <v>1555</v>
      </c>
      <c r="C749" s="16" t="s">
        <v>2689</v>
      </c>
      <c r="D749" s="20" t="s">
        <v>3087</v>
      </c>
      <c r="E749" s="2" t="s">
        <v>3093</v>
      </c>
      <c r="F749" s="2" t="s">
        <v>3687</v>
      </c>
      <c r="G749" s="17">
        <v>7556586</v>
      </c>
      <c r="H749" s="96" t="s">
        <v>510</v>
      </c>
      <c r="I749" s="2" t="s">
        <v>2690</v>
      </c>
      <c r="J749" s="2"/>
      <c r="K749" s="18">
        <v>45015</v>
      </c>
      <c r="L749" s="18">
        <v>45015</v>
      </c>
      <c r="M749" s="18">
        <v>45046</v>
      </c>
      <c r="N749" s="1"/>
      <c r="O749" s="19"/>
      <c r="P749" s="18">
        <v>45046</v>
      </c>
      <c r="Q749" s="19"/>
      <c r="R749" s="772"/>
      <c r="S749" s="18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12.75" customHeight="1">
      <c r="A750" s="15">
        <v>750</v>
      </c>
      <c r="B750" s="736" t="s">
        <v>3086</v>
      </c>
      <c r="C750" s="16" t="s">
        <v>595</v>
      </c>
      <c r="D750" s="21" t="s">
        <v>3116</v>
      </c>
      <c r="E750" s="2" t="s">
        <v>3202</v>
      </c>
      <c r="F750" s="2" t="s">
        <v>3688</v>
      </c>
      <c r="G750" s="17">
        <v>7524145</v>
      </c>
      <c r="H750" s="2" t="s">
        <v>385</v>
      </c>
      <c r="I750" s="2" t="s">
        <v>596</v>
      </c>
      <c r="J750" s="2"/>
      <c r="K750" s="18">
        <v>44915</v>
      </c>
      <c r="L750" s="18">
        <v>44915</v>
      </c>
      <c r="M750" s="18">
        <v>46375</v>
      </c>
      <c r="N750" s="1">
        <v>6</v>
      </c>
      <c r="O750" s="19">
        <v>1300992</v>
      </c>
      <c r="P750" s="18">
        <v>46375</v>
      </c>
      <c r="Q750" s="19">
        <v>1300992</v>
      </c>
      <c r="R750" s="772" t="s">
        <v>597</v>
      </c>
      <c r="S750" s="18">
        <v>44915</v>
      </c>
      <c r="T750" s="2"/>
      <c r="U750" s="3">
        <v>3</v>
      </c>
      <c r="V750" s="2" t="s">
        <v>4625</v>
      </c>
      <c r="W750" s="2" t="s">
        <v>4625</v>
      </c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12.75" customHeight="1">
      <c r="A751" s="15">
        <v>751</v>
      </c>
      <c r="B751" s="736" t="s">
        <v>1555</v>
      </c>
      <c r="C751" s="16" t="s">
        <v>2406</v>
      </c>
      <c r="D751" s="15" t="s">
        <v>3116</v>
      </c>
      <c r="E751" s="2" t="s">
        <v>3197</v>
      </c>
      <c r="F751" s="2" t="s">
        <v>3688</v>
      </c>
      <c r="G751" s="17">
        <v>7524145</v>
      </c>
      <c r="H751" s="2" t="s">
        <v>546</v>
      </c>
      <c r="I751" s="2" t="s">
        <v>2407</v>
      </c>
      <c r="J751" s="2"/>
      <c r="K751" s="18">
        <v>44853</v>
      </c>
      <c r="L751" s="18">
        <v>44853</v>
      </c>
      <c r="M751" s="18">
        <v>44957</v>
      </c>
      <c r="N751" s="1"/>
      <c r="O751" s="19">
        <v>1183924.5</v>
      </c>
      <c r="P751" s="18">
        <v>44957</v>
      </c>
      <c r="Q751" s="19"/>
      <c r="R751" s="772"/>
      <c r="S751" s="18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12.75" customHeight="1">
      <c r="A752" s="15">
        <v>752</v>
      </c>
      <c r="B752" s="736" t="s">
        <v>3086</v>
      </c>
      <c r="C752" s="16" t="s">
        <v>417</v>
      </c>
      <c r="D752" s="2" t="s">
        <v>3110</v>
      </c>
      <c r="E752" s="2" t="s">
        <v>3228</v>
      </c>
      <c r="F752" s="2" t="s">
        <v>3689</v>
      </c>
      <c r="G752" s="17">
        <v>7476728</v>
      </c>
      <c r="H752" s="2" t="s">
        <v>947</v>
      </c>
      <c r="I752" s="2" t="s">
        <v>418</v>
      </c>
      <c r="J752" s="2"/>
      <c r="K752" s="30">
        <v>44649</v>
      </c>
      <c r="L752" s="30">
        <v>44649</v>
      </c>
      <c r="M752" s="30">
        <v>2958465</v>
      </c>
      <c r="N752" s="31">
        <v>1</v>
      </c>
      <c r="O752" s="32" t="s">
        <v>3690</v>
      </c>
      <c r="P752" s="30">
        <v>2958465</v>
      </c>
      <c r="Q752" s="40">
        <v>1200000</v>
      </c>
      <c r="R752" s="775" t="s">
        <v>6281</v>
      </c>
      <c r="S752" s="34" t="s">
        <v>6282</v>
      </c>
      <c r="T752" s="35"/>
      <c r="U752" s="35"/>
      <c r="V752" s="35"/>
      <c r="W752" s="35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12.75" customHeight="1">
      <c r="A753" s="15">
        <v>753</v>
      </c>
      <c r="B753" s="738" t="s">
        <v>1555</v>
      </c>
      <c r="C753" s="16" t="s">
        <v>266</v>
      </c>
      <c r="D753" s="2" t="s">
        <v>3110</v>
      </c>
      <c r="E753" s="3" t="s">
        <v>3495</v>
      </c>
      <c r="F753" s="3" t="s">
        <v>3691</v>
      </c>
      <c r="G753" s="17">
        <v>7410514</v>
      </c>
      <c r="H753" s="2" t="s">
        <v>265</v>
      </c>
      <c r="I753" s="2" t="s">
        <v>267</v>
      </c>
      <c r="K753" s="18">
        <v>44055</v>
      </c>
      <c r="L753" s="18">
        <v>44055</v>
      </c>
      <c r="M753" s="18">
        <v>45516</v>
      </c>
      <c r="N753" s="1"/>
      <c r="O753" s="19">
        <v>1104.73</v>
      </c>
      <c r="P753" s="18">
        <v>45516</v>
      </c>
      <c r="Q753" s="19"/>
      <c r="R753" s="773"/>
      <c r="S753" s="18"/>
      <c r="T753" s="2"/>
      <c r="U753" s="2"/>
      <c r="V753" s="35"/>
      <c r="W753" s="35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12.75" customHeight="1">
      <c r="A754" s="15">
        <v>754</v>
      </c>
      <c r="B754" s="736" t="s">
        <v>1555</v>
      </c>
      <c r="C754" s="16" t="s">
        <v>2594</v>
      </c>
      <c r="D754" s="20" t="s">
        <v>3087</v>
      </c>
      <c r="E754" s="2" t="s">
        <v>3097</v>
      </c>
      <c r="F754" s="2" t="s">
        <v>3692</v>
      </c>
      <c r="G754" s="17">
        <v>6724655</v>
      </c>
      <c r="H754" s="96" t="s">
        <v>830</v>
      </c>
      <c r="I754" s="2" t="s">
        <v>2595</v>
      </c>
      <c r="J754" s="2"/>
      <c r="K754" s="18">
        <v>44951</v>
      </c>
      <c r="L754" s="18">
        <v>44951</v>
      </c>
      <c r="M754" s="18">
        <v>45046</v>
      </c>
      <c r="N754" s="1"/>
      <c r="O754" s="19">
        <v>2450</v>
      </c>
      <c r="P754" s="18">
        <v>45046</v>
      </c>
      <c r="Q754" s="19"/>
      <c r="R754" s="772"/>
      <c r="S754" s="18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12.75" customHeight="1">
      <c r="A755" s="15">
        <v>755</v>
      </c>
      <c r="B755" s="736" t="s">
        <v>1555</v>
      </c>
      <c r="C755" s="16" t="s">
        <v>1573</v>
      </c>
      <c r="D755" s="20" t="s">
        <v>3110</v>
      </c>
      <c r="E755" s="2" t="s">
        <v>3958</v>
      </c>
      <c r="F755" s="2" t="s">
        <v>3693</v>
      </c>
      <c r="G755" s="17">
        <v>6647561</v>
      </c>
      <c r="H755" s="2" t="s">
        <v>588</v>
      </c>
      <c r="I755" s="2" t="s">
        <v>1574</v>
      </c>
      <c r="J755" s="2"/>
      <c r="K755" s="18">
        <v>44239</v>
      </c>
      <c r="L755" s="18">
        <v>44239</v>
      </c>
      <c r="M755" s="18">
        <v>44255</v>
      </c>
      <c r="N755" s="1"/>
      <c r="O755" s="19">
        <v>19863</v>
      </c>
      <c r="P755" s="18">
        <v>44255</v>
      </c>
      <c r="Q755" s="19"/>
      <c r="R755" s="772"/>
      <c r="S755" s="18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12.75" customHeight="1">
      <c r="A756" s="15">
        <v>756</v>
      </c>
      <c r="B756" s="736" t="s">
        <v>1555</v>
      </c>
      <c r="C756" s="16" t="s">
        <v>1674</v>
      </c>
      <c r="D756" s="20" t="s">
        <v>3110</v>
      </c>
      <c r="E756" s="2" t="s">
        <v>3621</v>
      </c>
      <c r="F756" s="2" t="s">
        <v>3693</v>
      </c>
      <c r="G756" s="17">
        <v>6647561</v>
      </c>
      <c r="H756" s="2" t="s">
        <v>1673</v>
      </c>
      <c r="I756" s="2" t="s">
        <v>1675</v>
      </c>
      <c r="J756" s="2"/>
      <c r="K756" s="18">
        <v>44363</v>
      </c>
      <c r="L756" s="18">
        <v>44378</v>
      </c>
      <c r="M756" s="18">
        <v>44439</v>
      </c>
      <c r="N756" s="1"/>
      <c r="O756" s="19">
        <v>34000</v>
      </c>
      <c r="P756" s="18">
        <v>44439</v>
      </c>
      <c r="Q756" s="19"/>
      <c r="R756" s="772"/>
      <c r="S756" s="18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12.75" customHeight="1">
      <c r="A757" s="15">
        <v>757</v>
      </c>
      <c r="B757" s="736" t="s">
        <v>1555</v>
      </c>
      <c r="C757" s="16" t="s">
        <v>2169</v>
      </c>
      <c r="D757" s="20" t="s">
        <v>3110</v>
      </c>
      <c r="E757" s="2" t="s">
        <v>3621</v>
      </c>
      <c r="F757" s="2" t="s">
        <v>3693</v>
      </c>
      <c r="G757" s="17">
        <v>6647561</v>
      </c>
      <c r="H757" s="2" t="s">
        <v>1673</v>
      </c>
      <c r="I757" s="2" t="s">
        <v>2170</v>
      </c>
      <c r="J757" s="2"/>
      <c r="K757" s="18">
        <v>44726</v>
      </c>
      <c r="L757" s="18">
        <v>44743</v>
      </c>
      <c r="M757" s="18">
        <v>44804</v>
      </c>
      <c r="N757" s="1"/>
      <c r="O757" s="19">
        <v>68000</v>
      </c>
      <c r="P757" s="18">
        <v>44804</v>
      </c>
      <c r="Q757" s="19"/>
      <c r="R757" s="772"/>
      <c r="S757" s="18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12.75" customHeight="1">
      <c r="A758" s="15">
        <v>758</v>
      </c>
      <c r="B758" s="736" t="s">
        <v>1555</v>
      </c>
      <c r="C758" s="16" t="s">
        <v>2914</v>
      </c>
      <c r="D758" s="15" t="s">
        <v>3110</v>
      </c>
      <c r="E758" s="2" t="s">
        <v>3621</v>
      </c>
      <c r="F758" s="2" t="s">
        <v>3693</v>
      </c>
      <c r="G758" s="17">
        <v>6647561</v>
      </c>
      <c r="H758" s="2" t="s">
        <v>1673</v>
      </c>
      <c r="I758" s="2" t="s">
        <v>2915</v>
      </c>
      <c r="J758" s="2"/>
      <c r="K758" s="18">
        <v>45096</v>
      </c>
      <c r="L758" s="18">
        <v>45096</v>
      </c>
      <c r="M758" s="18">
        <v>45199</v>
      </c>
      <c r="N758" s="1"/>
      <c r="O758" s="19">
        <v>68000</v>
      </c>
      <c r="P758" s="18">
        <v>45199</v>
      </c>
      <c r="Q758" s="19"/>
      <c r="R758" s="772"/>
      <c r="S758" s="18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12.75" customHeight="1">
      <c r="A759" s="15">
        <v>759</v>
      </c>
      <c r="B759" s="736" t="s">
        <v>1555</v>
      </c>
      <c r="C759" s="16" t="s">
        <v>2335</v>
      </c>
      <c r="D759" s="2" t="s">
        <v>5351</v>
      </c>
      <c r="E759" s="2" t="s">
        <v>3369</v>
      </c>
      <c r="F759" s="2" t="s">
        <v>3694</v>
      </c>
      <c r="G759" s="17">
        <v>6626874</v>
      </c>
      <c r="H759" s="2" t="s">
        <v>482</v>
      </c>
      <c r="I759" s="2" t="s">
        <v>2336</v>
      </c>
      <c r="J759" s="2"/>
      <c r="K759" s="18">
        <v>44825</v>
      </c>
      <c r="L759" s="18">
        <v>44825</v>
      </c>
      <c r="M759" s="18">
        <v>45014</v>
      </c>
      <c r="N759" s="1"/>
      <c r="O759" s="19">
        <v>445000</v>
      </c>
      <c r="P759" s="18">
        <v>45014</v>
      </c>
      <c r="Q759" s="19"/>
      <c r="R759" s="772"/>
      <c r="S759" s="18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12.75" customHeight="1">
      <c r="A760" s="15">
        <v>760</v>
      </c>
      <c r="B760" s="736" t="s">
        <v>1555</v>
      </c>
      <c r="C760" s="16" t="s">
        <v>3025</v>
      </c>
      <c r="D760" s="20" t="s">
        <v>3087</v>
      </c>
      <c r="E760" s="2" t="s">
        <v>3097</v>
      </c>
      <c r="F760" s="2" t="s">
        <v>3695</v>
      </c>
      <c r="G760" s="17">
        <v>6616496</v>
      </c>
      <c r="H760" s="96" t="s">
        <v>830</v>
      </c>
      <c r="I760" s="2" t="s">
        <v>3026</v>
      </c>
      <c r="J760" s="2"/>
      <c r="K760" s="18">
        <v>45239</v>
      </c>
      <c r="L760" s="18">
        <v>45250</v>
      </c>
      <c r="M760" s="18">
        <v>45261</v>
      </c>
      <c r="N760" s="1"/>
      <c r="O760" s="19">
        <v>6000</v>
      </c>
      <c r="P760" s="18">
        <v>45261</v>
      </c>
      <c r="Q760" s="19"/>
      <c r="R760" s="772"/>
      <c r="S760" s="18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12.75" customHeight="1">
      <c r="A761" s="15">
        <v>761</v>
      </c>
      <c r="B761" s="736" t="s">
        <v>3086</v>
      </c>
      <c r="C761" s="16" t="s">
        <v>833</v>
      </c>
      <c r="D761" s="20" t="s">
        <v>3087</v>
      </c>
      <c r="E761" s="2" t="s">
        <v>3202</v>
      </c>
      <c r="F761" s="2" t="s">
        <v>3696</v>
      </c>
      <c r="G761" s="17">
        <v>6288740</v>
      </c>
      <c r="H761" s="2" t="s">
        <v>361</v>
      </c>
      <c r="I761" s="2" t="s">
        <v>834</v>
      </c>
      <c r="J761" s="2"/>
      <c r="K761" s="18">
        <v>45278</v>
      </c>
      <c r="L761" s="18">
        <v>45278</v>
      </c>
      <c r="M761" s="18">
        <v>46008</v>
      </c>
      <c r="N761" s="1"/>
      <c r="O761" s="19">
        <v>907500</v>
      </c>
      <c r="P761" s="18">
        <v>46008</v>
      </c>
      <c r="Q761" s="19">
        <v>907500</v>
      </c>
      <c r="R761" s="772" t="s">
        <v>835</v>
      </c>
      <c r="S761" s="18">
        <v>45278</v>
      </c>
      <c r="T761" s="2"/>
      <c r="U761" s="2">
        <v>3</v>
      </c>
      <c r="V761" s="15" t="s">
        <v>4625</v>
      </c>
      <c r="W761" s="15"/>
      <c r="X761" s="85" t="s">
        <v>3697</v>
      </c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12.75" customHeight="1">
      <c r="A762" s="15">
        <v>762</v>
      </c>
      <c r="B762" s="736" t="s">
        <v>3086</v>
      </c>
      <c r="C762" s="16" t="s">
        <v>928</v>
      </c>
      <c r="D762" s="2" t="s">
        <v>3094</v>
      </c>
      <c r="E762" s="3" t="s">
        <v>3095</v>
      </c>
      <c r="F762" s="2" t="s">
        <v>3698</v>
      </c>
      <c r="G762" s="17">
        <v>5985081</v>
      </c>
      <c r="H762" s="2" t="s">
        <v>189</v>
      </c>
      <c r="I762" s="2" t="s">
        <v>929</v>
      </c>
      <c r="J762" s="2"/>
      <c r="K762" s="86">
        <v>45323</v>
      </c>
      <c r="L762" s="86">
        <v>45323</v>
      </c>
      <c r="M762" s="30">
        <v>46783</v>
      </c>
      <c r="N762" s="31">
        <v>6</v>
      </c>
      <c r="O762" s="31">
        <v>500</v>
      </c>
      <c r="P762" s="30">
        <v>46783</v>
      </c>
      <c r="Q762" s="40">
        <v>100000</v>
      </c>
      <c r="R762" s="775" t="s">
        <v>930</v>
      </c>
      <c r="S762" s="87">
        <v>45323</v>
      </c>
      <c r="T762" s="35"/>
      <c r="U762" s="107">
        <v>3</v>
      </c>
      <c r="V762" s="36"/>
      <c r="W762" s="36" t="s">
        <v>4625</v>
      </c>
      <c r="X762" s="25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12.75" customHeight="1">
      <c r="A763" s="15">
        <v>763</v>
      </c>
      <c r="B763" s="736" t="s">
        <v>1555</v>
      </c>
      <c r="C763" s="16" t="s">
        <v>2922</v>
      </c>
      <c r="D763" s="20" t="s">
        <v>3087</v>
      </c>
      <c r="E763" s="2" t="s">
        <v>3097</v>
      </c>
      <c r="F763" s="2" t="s">
        <v>3699</v>
      </c>
      <c r="G763" s="17">
        <v>5853087</v>
      </c>
      <c r="H763" s="96" t="s">
        <v>830</v>
      </c>
      <c r="I763" s="2" t="s">
        <v>2923</v>
      </c>
      <c r="J763" s="2"/>
      <c r="K763" s="18">
        <v>45166</v>
      </c>
      <c r="L763" s="18">
        <v>45166</v>
      </c>
      <c r="M763" s="18">
        <v>45230</v>
      </c>
      <c r="N763" s="1"/>
      <c r="O763" s="19">
        <v>4200</v>
      </c>
      <c r="P763" s="18">
        <v>45230</v>
      </c>
      <c r="Q763" s="19"/>
      <c r="R763" s="772"/>
      <c r="S763" s="18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12.75" customHeight="1">
      <c r="A764" s="15">
        <v>764</v>
      </c>
      <c r="B764" s="736" t="s">
        <v>3086</v>
      </c>
      <c r="C764" s="16" t="s">
        <v>433</v>
      </c>
      <c r="D764" s="3" t="s">
        <v>3139</v>
      </c>
      <c r="E764" s="2" t="s">
        <v>3118</v>
      </c>
      <c r="F764" s="2" t="s">
        <v>3700</v>
      </c>
      <c r="G764" s="17">
        <v>5732069</v>
      </c>
      <c r="H764" s="2" t="s">
        <v>432</v>
      </c>
      <c r="I764" s="2" t="s">
        <v>434</v>
      </c>
      <c r="J764" s="2"/>
      <c r="K764" s="18">
        <v>44701</v>
      </c>
      <c r="L764" s="18">
        <v>44701</v>
      </c>
      <c r="M764" s="18">
        <v>45657</v>
      </c>
      <c r="N764" s="1"/>
      <c r="O764" s="19">
        <v>490000</v>
      </c>
      <c r="P764" s="18">
        <v>45657</v>
      </c>
      <c r="Q764" s="19">
        <v>592900</v>
      </c>
      <c r="R764" s="772" t="s">
        <v>435</v>
      </c>
      <c r="S764" s="18">
        <v>44701</v>
      </c>
      <c r="T764" s="2"/>
      <c r="U764" s="2"/>
      <c r="V764" s="2"/>
      <c r="W764" s="2"/>
      <c r="X764" s="88" t="s">
        <v>3701</v>
      </c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12.75" customHeight="1">
      <c r="A765" s="15">
        <v>765</v>
      </c>
      <c r="B765" s="736" t="s">
        <v>1555</v>
      </c>
      <c r="C765" s="16" t="s">
        <v>817</v>
      </c>
      <c r="D765" s="3" t="s">
        <v>3139</v>
      </c>
      <c r="E765" s="2" t="s">
        <v>3118</v>
      </c>
      <c r="F765" s="2" t="s">
        <v>3700</v>
      </c>
      <c r="G765" s="17">
        <v>5732069</v>
      </c>
      <c r="H765" s="2" t="s">
        <v>385</v>
      </c>
      <c r="I765" s="2" t="s">
        <v>818</v>
      </c>
      <c r="J765" s="2"/>
      <c r="K765" s="86">
        <v>45243</v>
      </c>
      <c r="L765" s="86">
        <v>45243</v>
      </c>
      <c r="M765" s="86">
        <v>45608</v>
      </c>
      <c r="N765" s="35"/>
      <c r="O765" s="31" t="s">
        <v>3418</v>
      </c>
      <c r="P765" s="86">
        <v>45608</v>
      </c>
      <c r="Q765" s="40">
        <v>907500</v>
      </c>
      <c r="R765" s="36">
        <v>24732343</v>
      </c>
      <c r="S765" s="34">
        <v>45244</v>
      </c>
      <c r="T765" s="35"/>
      <c r="U765" s="35"/>
      <c r="V765" s="15"/>
      <c r="W765" s="15"/>
      <c r="X765" s="42" t="s">
        <v>3702</v>
      </c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12.75" customHeight="1">
      <c r="A766" s="15">
        <v>766</v>
      </c>
      <c r="B766" s="736" t="s">
        <v>1555</v>
      </c>
      <c r="C766" s="16" t="s">
        <v>1979</v>
      </c>
      <c r="D766" s="2" t="s">
        <v>5351</v>
      </c>
      <c r="E766" s="2" t="s">
        <v>3118</v>
      </c>
      <c r="F766" s="2" t="s">
        <v>3700</v>
      </c>
      <c r="G766" s="17">
        <v>5732069</v>
      </c>
      <c r="H766" s="2" t="s">
        <v>885</v>
      </c>
      <c r="I766" s="2" t="s">
        <v>1980</v>
      </c>
      <c r="J766" s="2"/>
      <c r="K766" s="18">
        <v>44602</v>
      </c>
      <c r="L766" s="18">
        <v>44602</v>
      </c>
      <c r="M766" s="18">
        <v>45016</v>
      </c>
      <c r="N766" s="1"/>
      <c r="O766" s="19">
        <v>605000</v>
      </c>
      <c r="P766" s="18">
        <v>45016</v>
      </c>
      <c r="Q766" s="19"/>
      <c r="R766" s="772"/>
      <c r="S766" s="18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12.75" customHeight="1">
      <c r="A767" s="15">
        <v>767</v>
      </c>
      <c r="B767" s="736" t="s">
        <v>1555</v>
      </c>
      <c r="C767" s="16" t="s">
        <v>2623</v>
      </c>
      <c r="D767" s="20" t="s">
        <v>3139</v>
      </c>
      <c r="E767" s="2" t="s">
        <v>3118</v>
      </c>
      <c r="F767" s="2" t="s">
        <v>3700</v>
      </c>
      <c r="G767" s="17">
        <v>5732069</v>
      </c>
      <c r="H767" s="2" t="s">
        <v>885</v>
      </c>
      <c r="I767" s="2" t="s">
        <v>2624</v>
      </c>
      <c r="J767" s="2"/>
      <c r="K767" s="18">
        <v>44994</v>
      </c>
      <c r="L767" s="18">
        <v>44994</v>
      </c>
      <c r="M767" s="18">
        <v>45291</v>
      </c>
      <c r="N767" s="1"/>
      <c r="O767" s="19">
        <v>605000</v>
      </c>
      <c r="P767" s="18">
        <v>45291</v>
      </c>
      <c r="Q767" s="19"/>
      <c r="R767" s="772"/>
      <c r="S767" s="18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12.75" customHeight="1">
      <c r="A768" s="15">
        <v>768</v>
      </c>
      <c r="B768" s="736" t="s">
        <v>1555</v>
      </c>
      <c r="C768" s="16" t="s">
        <v>1689</v>
      </c>
      <c r="D768" s="2" t="s">
        <v>5351</v>
      </c>
      <c r="E768" s="2" t="s">
        <v>3118</v>
      </c>
      <c r="F768" s="2" t="s">
        <v>3700</v>
      </c>
      <c r="G768" s="17">
        <v>5732069</v>
      </c>
      <c r="H768" s="2" t="s">
        <v>885</v>
      </c>
      <c r="I768" s="2" t="s">
        <v>1690</v>
      </c>
      <c r="J768" s="2"/>
      <c r="K768" s="18">
        <v>44390</v>
      </c>
      <c r="L768" s="18">
        <v>44390</v>
      </c>
      <c r="M768" s="18">
        <v>44561</v>
      </c>
      <c r="N768" s="1"/>
      <c r="O768" s="19">
        <v>1500</v>
      </c>
      <c r="P768" s="18">
        <v>44561</v>
      </c>
      <c r="Q768" s="19"/>
      <c r="R768" s="772"/>
      <c r="S768" s="18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12.75" customHeight="1">
      <c r="A769" s="15">
        <v>769</v>
      </c>
      <c r="B769" s="736" t="s">
        <v>1555</v>
      </c>
      <c r="C769" s="16" t="s">
        <v>2136</v>
      </c>
      <c r="D769" s="2" t="s">
        <v>5351</v>
      </c>
      <c r="E769" s="2" t="s">
        <v>3118</v>
      </c>
      <c r="F769" s="2" t="s">
        <v>3700</v>
      </c>
      <c r="G769" s="17">
        <v>5732069</v>
      </c>
      <c r="H769" s="2" t="s">
        <v>432</v>
      </c>
      <c r="I769" s="2" t="s">
        <v>2137</v>
      </c>
      <c r="J769" s="2"/>
      <c r="K769" s="18">
        <v>44705</v>
      </c>
      <c r="L769" s="18">
        <v>44705</v>
      </c>
      <c r="M769" s="18">
        <v>45090</v>
      </c>
      <c r="N769" s="1"/>
      <c r="O769" s="19">
        <v>163350</v>
      </c>
      <c r="P769" s="18">
        <v>45090</v>
      </c>
      <c r="Q769" s="19"/>
      <c r="R769" s="772"/>
      <c r="S769" s="18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12.75" customHeight="1">
      <c r="A770" s="15">
        <v>770</v>
      </c>
      <c r="B770" s="736" t="s">
        <v>1555</v>
      </c>
      <c r="C770" s="16" t="s">
        <v>2192</v>
      </c>
      <c r="D770" s="2" t="s">
        <v>5351</v>
      </c>
      <c r="E770" s="2" t="s">
        <v>3118</v>
      </c>
      <c r="F770" s="2" t="s">
        <v>3700</v>
      </c>
      <c r="G770" s="17">
        <v>5732069</v>
      </c>
      <c r="H770" s="2" t="s">
        <v>432</v>
      </c>
      <c r="I770" s="2" t="s">
        <v>2193</v>
      </c>
      <c r="J770" s="2"/>
      <c r="K770" s="18">
        <v>44756</v>
      </c>
      <c r="L770" s="18">
        <v>44756</v>
      </c>
      <c r="M770" s="18">
        <v>44985</v>
      </c>
      <c r="N770" s="1"/>
      <c r="O770" s="19">
        <v>121000</v>
      </c>
      <c r="P770" s="18">
        <v>44985</v>
      </c>
      <c r="Q770" s="19"/>
      <c r="R770" s="772"/>
      <c r="S770" s="18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12.75" customHeight="1">
      <c r="A771" s="15">
        <v>771</v>
      </c>
      <c r="B771" s="736" t="s">
        <v>1555</v>
      </c>
      <c r="C771" s="16" t="s">
        <v>1945</v>
      </c>
      <c r="D771" s="20" t="s">
        <v>3087</v>
      </c>
      <c r="E771" s="2" t="s">
        <v>3162</v>
      </c>
      <c r="F771" s="2" t="s">
        <v>3703</v>
      </c>
      <c r="G771" s="17">
        <v>5562881</v>
      </c>
      <c r="H771" s="96" t="s">
        <v>830</v>
      </c>
      <c r="I771" s="2" t="s">
        <v>1946</v>
      </c>
      <c r="J771" s="2"/>
      <c r="K771" s="18">
        <v>44578</v>
      </c>
      <c r="L771" s="18">
        <v>44578</v>
      </c>
      <c r="M771" s="18">
        <v>44926</v>
      </c>
      <c r="N771" s="1"/>
      <c r="O771" s="19"/>
      <c r="P771" s="18">
        <v>44926</v>
      </c>
      <c r="Q771" s="19"/>
      <c r="R771" s="772"/>
      <c r="S771" s="18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12.75" customHeight="1">
      <c r="A772" s="15">
        <v>772</v>
      </c>
      <c r="B772" s="736" t="s">
        <v>1555</v>
      </c>
      <c r="C772" s="16" t="s">
        <v>629</v>
      </c>
      <c r="D772" s="15" t="s">
        <v>3110</v>
      </c>
      <c r="E772" s="2" t="s">
        <v>3088</v>
      </c>
      <c r="F772" s="2" t="s">
        <v>3704</v>
      </c>
      <c r="G772" s="17">
        <v>5508339</v>
      </c>
      <c r="H772" s="2" t="s">
        <v>48</v>
      </c>
      <c r="I772" s="2" t="s">
        <v>630</v>
      </c>
      <c r="J772" s="2"/>
      <c r="K772" s="18">
        <v>44958</v>
      </c>
      <c r="L772" s="18">
        <v>44958</v>
      </c>
      <c r="M772" s="18">
        <v>44987</v>
      </c>
      <c r="N772" s="1"/>
      <c r="O772" s="19">
        <v>0</v>
      </c>
      <c r="P772" s="18">
        <v>44987</v>
      </c>
      <c r="Q772" s="19"/>
      <c r="R772" s="772"/>
      <c r="S772" s="18"/>
      <c r="T772" s="2"/>
      <c r="U772" s="2"/>
      <c r="V772" s="2" t="s">
        <v>3091</v>
      </c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12.75" customHeight="1">
      <c r="A773" s="15">
        <v>773</v>
      </c>
      <c r="B773" s="736" t="s">
        <v>1555</v>
      </c>
      <c r="C773" s="16" t="s">
        <v>1627</v>
      </c>
      <c r="D773" s="2"/>
      <c r="E773" s="96" t="s">
        <v>5143</v>
      </c>
      <c r="F773" s="2" t="s">
        <v>3705</v>
      </c>
      <c r="G773" s="17">
        <v>5479371</v>
      </c>
      <c r="H773" s="2" t="s">
        <v>1729</v>
      </c>
      <c r="I773" s="2" t="s">
        <v>328</v>
      </c>
      <c r="J773" s="2"/>
      <c r="K773" s="18">
        <v>44330</v>
      </c>
      <c r="L773" s="18">
        <v>44330</v>
      </c>
      <c r="M773" s="18">
        <v>44328</v>
      </c>
      <c r="N773" s="1"/>
      <c r="O773" s="19"/>
      <c r="P773" s="18">
        <v>44328</v>
      </c>
      <c r="Q773" s="19"/>
      <c r="R773" s="772"/>
      <c r="S773" s="18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12.75" customHeight="1">
      <c r="A774" s="15">
        <v>774</v>
      </c>
      <c r="B774" s="738" t="s">
        <v>3086</v>
      </c>
      <c r="C774" s="16" t="s">
        <v>1107</v>
      </c>
      <c r="D774" s="15" t="s">
        <v>3110</v>
      </c>
      <c r="E774" s="3" t="s">
        <v>3233</v>
      </c>
      <c r="F774" s="3" t="s">
        <v>3706</v>
      </c>
      <c r="G774" s="17">
        <v>5212146</v>
      </c>
      <c r="H774" s="2" t="s">
        <v>250</v>
      </c>
      <c r="I774" s="2" t="s">
        <v>1108</v>
      </c>
      <c r="J774" s="2" t="s">
        <v>1109</v>
      </c>
      <c r="K774" s="18">
        <v>39510</v>
      </c>
      <c r="L774" s="18">
        <v>39510</v>
      </c>
      <c r="M774" s="18">
        <v>46203</v>
      </c>
      <c r="N774" s="1">
        <v>1</v>
      </c>
      <c r="O774" s="19">
        <v>588612</v>
      </c>
      <c r="P774" s="18">
        <v>46233</v>
      </c>
      <c r="Q774" s="19">
        <v>29370</v>
      </c>
      <c r="R774" s="772" t="s">
        <v>1110</v>
      </c>
      <c r="S774" s="18">
        <v>42999</v>
      </c>
      <c r="T774" s="2"/>
      <c r="U774" s="2"/>
      <c r="V774" s="2"/>
      <c r="W774" s="2"/>
      <c r="X774" s="25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12.75" customHeight="1">
      <c r="A775" s="15">
        <v>775</v>
      </c>
      <c r="B775" s="736" t="s">
        <v>1555</v>
      </c>
      <c r="C775" s="16" t="s">
        <v>2374</v>
      </c>
      <c r="D775" s="20" t="s">
        <v>3087</v>
      </c>
      <c r="E775" s="2" t="s">
        <v>3097</v>
      </c>
      <c r="F775" s="2" t="s">
        <v>3707</v>
      </c>
      <c r="G775" s="17">
        <v>5206731</v>
      </c>
      <c r="H775" s="96" t="s">
        <v>830</v>
      </c>
      <c r="I775" s="2" t="s">
        <v>2375</v>
      </c>
      <c r="J775" s="2"/>
      <c r="K775" s="18">
        <v>44834</v>
      </c>
      <c r="L775" s="18">
        <v>44834</v>
      </c>
      <c r="M775" s="18">
        <v>44895</v>
      </c>
      <c r="N775" s="1"/>
      <c r="O775" s="19">
        <v>2450</v>
      </c>
      <c r="P775" s="18">
        <v>44895</v>
      </c>
      <c r="Q775" s="19"/>
      <c r="R775" s="772"/>
      <c r="S775" s="18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12.75" customHeight="1">
      <c r="A776" s="15">
        <v>776</v>
      </c>
      <c r="B776" s="736" t="s">
        <v>1555</v>
      </c>
      <c r="C776" s="16" t="s">
        <v>2393</v>
      </c>
      <c r="D776" s="20" t="s">
        <v>3087</v>
      </c>
      <c r="E776" s="2" t="s">
        <v>3097</v>
      </c>
      <c r="F776" s="2" t="s">
        <v>3707</v>
      </c>
      <c r="G776" s="17">
        <v>5206731</v>
      </c>
      <c r="H776" s="96" t="s">
        <v>830</v>
      </c>
      <c r="I776" s="2" t="s">
        <v>2394</v>
      </c>
      <c r="J776" s="2"/>
      <c r="K776" s="18">
        <v>44838</v>
      </c>
      <c r="L776" s="18">
        <v>44838</v>
      </c>
      <c r="M776" s="18">
        <v>44963</v>
      </c>
      <c r="N776" s="1"/>
      <c r="O776" s="19">
        <v>2450</v>
      </c>
      <c r="P776" s="18">
        <v>44963</v>
      </c>
      <c r="Q776" s="19"/>
      <c r="R776" s="772"/>
      <c r="S776" s="18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12.75" customHeight="1">
      <c r="A777" s="15">
        <v>777</v>
      </c>
      <c r="B777" s="736" t="s">
        <v>1555</v>
      </c>
      <c r="C777" s="16" t="s">
        <v>1739</v>
      </c>
      <c r="D777" s="20" t="s">
        <v>3087</v>
      </c>
      <c r="E777" s="2" t="s">
        <v>3103</v>
      </c>
      <c r="F777" s="2" t="s">
        <v>3708</v>
      </c>
      <c r="G777" s="17">
        <v>5184568</v>
      </c>
      <c r="H777" s="2" t="s">
        <v>180</v>
      </c>
      <c r="I777" s="2" t="s">
        <v>1740</v>
      </c>
      <c r="J777" s="2"/>
      <c r="K777" s="18">
        <v>44385</v>
      </c>
      <c r="L777" s="18">
        <v>44390</v>
      </c>
      <c r="M777" s="18">
        <v>44390</v>
      </c>
      <c r="N777" s="1"/>
      <c r="O777" s="19">
        <v>0</v>
      </c>
      <c r="P777" s="18">
        <v>44390</v>
      </c>
      <c r="Q777" s="19"/>
      <c r="R777" s="772"/>
      <c r="S777" s="18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12.75" customHeight="1">
      <c r="A778" s="15">
        <v>778</v>
      </c>
      <c r="B778" s="736" t="s">
        <v>1555</v>
      </c>
      <c r="C778" s="16" t="s">
        <v>1583</v>
      </c>
      <c r="D778" s="2" t="s">
        <v>5351</v>
      </c>
      <c r="E778" s="2" t="s">
        <v>3118</v>
      </c>
      <c r="F778" s="2" t="s">
        <v>3709</v>
      </c>
      <c r="G778" s="17">
        <v>4996305</v>
      </c>
      <c r="H778" s="2" t="s">
        <v>432</v>
      </c>
      <c r="I778" s="2" t="s">
        <v>1584</v>
      </c>
      <c r="J778" s="2"/>
      <c r="K778" s="18">
        <v>44258</v>
      </c>
      <c r="L778" s="18">
        <v>44258</v>
      </c>
      <c r="M778" s="18">
        <v>44926</v>
      </c>
      <c r="N778" s="1"/>
      <c r="O778" s="19">
        <v>490</v>
      </c>
      <c r="P778" s="18">
        <v>44926</v>
      </c>
      <c r="Q778" s="19"/>
      <c r="R778" s="772"/>
      <c r="S778" s="18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12.75" customHeight="1">
      <c r="A779" s="15">
        <v>779</v>
      </c>
      <c r="B779" s="736" t="s">
        <v>3086</v>
      </c>
      <c r="C779" s="16" t="s">
        <v>430</v>
      </c>
      <c r="D779" s="15" t="s">
        <v>3110</v>
      </c>
      <c r="E779" s="3" t="s">
        <v>3312</v>
      </c>
      <c r="F779" s="2" t="s">
        <v>3710</v>
      </c>
      <c r="G779" s="17">
        <v>4987730</v>
      </c>
      <c r="H779" s="2" t="s">
        <v>429</v>
      </c>
      <c r="I779" s="2" t="s">
        <v>431</v>
      </c>
      <c r="J779" s="2"/>
      <c r="K779" s="18">
        <v>44560</v>
      </c>
      <c r="L779" s="18">
        <v>44562</v>
      </c>
      <c r="M779" s="89">
        <v>46022</v>
      </c>
      <c r="N779" s="1">
        <v>1</v>
      </c>
      <c r="O779" s="19">
        <v>15000</v>
      </c>
      <c r="P779" s="89">
        <v>46022</v>
      </c>
      <c r="Q779" s="19"/>
      <c r="R779" s="772"/>
      <c r="S779" s="18"/>
      <c r="T779" s="2"/>
      <c r="U779" s="2">
        <v>3</v>
      </c>
      <c r="V779" s="2" t="s">
        <v>4625</v>
      </c>
      <c r="W779" s="2" t="s">
        <v>4625</v>
      </c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12.75" customHeight="1">
      <c r="A780" s="15">
        <v>780</v>
      </c>
      <c r="B780" s="736" t="s">
        <v>1555</v>
      </c>
      <c r="C780" s="16" t="s">
        <v>2074</v>
      </c>
      <c r="D780" s="20" t="s">
        <v>3087</v>
      </c>
      <c r="E780" s="2" t="s">
        <v>3093</v>
      </c>
      <c r="F780" s="2" t="s">
        <v>3710</v>
      </c>
      <c r="G780" s="17">
        <v>4987730</v>
      </c>
      <c r="H780" s="2" t="s">
        <v>588</v>
      </c>
      <c r="I780" s="2" t="s">
        <v>2075</v>
      </c>
      <c r="J780" s="2"/>
      <c r="K780" s="18">
        <v>44561</v>
      </c>
      <c r="L780" s="18">
        <v>44233</v>
      </c>
      <c r="M780" s="18">
        <v>44561</v>
      </c>
      <c r="N780" s="1"/>
      <c r="O780" s="19">
        <v>180</v>
      </c>
      <c r="P780" s="18">
        <v>44561</v>
      </c>
      <c r="Q780" s="19"/>
      <c r="R780" s="772"/>
      <c r="S780" s="18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12.75" customHeight="1">
      <c r="A781" s="15">
        <v>781</v>
      </c>
      <c r="B781" s="736" t="s">
        <v>1555</v>
      </c>
      <c r="C781" s="16" t="s">
        <v>2611</v>
      </c>
      <c r="D781" s="20" t="s">
        <v>3087</v>
      </c>
      <c r="E781" s="2" t="s">
        <v>3093</v>
      </c>
      <c r="F781" s="2" t="s">
        <v>3711</v>
      </c>
      <c r="G781" s="17">
        <v>4808428</v>
      </c>
      <c r="H781" s="96" t="s">
        <v>510</v>
      </c>
      <c r="I781" s="2" t="s">
        <v>2612</v>
      </c>
      <c r="J781" s="2"/>
      <c r="K781" s="18">
        <v>44971</v>
      </c>
      <c r="L781" s="18">
        <v>44971</v>
      </c>
      <c r="M781" s="18">
        <v>45107</v>
      </c>
      <c r="N781" s="1"/>
      <c r="O781" s="19">
        <v>4500</v>
      </c>
      <c r="P781" s="18">
        <v>45107</v>
      </c>
      <c r="Q781" s="19"/>
      <c r="R781" s="772"/>
      <c r="S781" s="18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12.75" customHeight="1">
      <c r="A782" s="15">
        <v>782</v>
      </c>
      <c r="B782" s="736" t="s">
        <v>1555</v>
      </c>
      <c r="C782" s="16" t="s">
        <v>2120</v>
      </c>
      <c r="D782" s="20" t="s">
        <v>3087</v>
      </c>
      <c r="E782" s="2" t="s">
        <v>3093</v>
      </c>
      <c r="F782" s="2" t="s">
        <v>3711</v>
      </c>
      <c r="G782" s="17">
        <v>4808428</v>
      </c>
      <c r="H782" s="96" t="s">
        <v>510</v>
      </c>
      <c r="I782" s="2" t="s">
        <v>2121</v>
      </c>
      <c r="J782" s="2"/>
      <c r="K782" s="18">
        <v>44692</v>
      </c>
      <c r="L782" s="18">
        <v>44692</v>
      </c>
      <c r="M782" s="18">
        <v>44816</v>
      </c>
      <c r="N782" s="1"/>
      <c r="O782" s="19">
        <v>3000</v>
      </c>
      <c r="P782" s="18">
        <v>44816</v>
      </c>
      <c r="Q782" s="19"/>
      <c r="R782" s="772"/>
      <c r="S782" s="18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12.75" customHeight="1">
      <c r="A783" s="15">
        <v>783</v>
      </c>
      <c r="B783" s="736" t="s">
        <v>1555</v>
      </c>
      <c r="C783" s="16" t="s">
        <v>2729</v>
      </c>
      <c r="D783" s="20" t="s">
        <v>3087</v>
      </c>
      <c r="E783" s="2" t="s">
        <v>3093</v>
      </c>
      <c r="F783" s="2" t="s">
        <v>3711</v>
      </c>
      <c r="G783" s="17">
        <v>4808428</v>
      </c>
      <c r="H783" s="96" t="s">
        <v>510</v>
      </c>
      <c r="I783" s="2" t="s">
        <v>2730</v>
      </c>
      <c r="J783" s="2"/>
      <c r="K783" s="18">
        <v>45034</v>
      </c>
      <c r="L783" s="18">
        <v>45034</v>
      </c>
      <c r="M783" s="18">
        <v>45050</v>
      </c>
      <c r="N783" s="1"/>
      <c r="O783" s="19"/>
      <c r="P783" s="18">
        <v>45050</v>
      </c>
      <c r="Q783" s="19"/>
      <c r="R783" s="772"/>
      <c r="S783" s="18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12.75" customHeight="1">
      <c r="A784" s="15">
        <v>784</v>
      </c>
      <c r="B784" s="736" t="s">
        <v>1555</v>
      </c>
      <c r="C784" s="16" t="s">
        <v>2203</v>
      </c>
      <c r="D784" s="20" t="s">
        <v>3087</v>
      </c>
      <c r="E784" s="2" t="s">
        <v>3093</v>
      </c>
      <c r="F784" s="2" t="s">
        <v>3711</v>
      </c>
      <c r="G784" s="17">
        <v>4808428</v>
      </c>
      <c r="H784" s="96" t="s">
        <v>510</v>
      </c>
      <c r="I784" s="2" t="s">
        <v>2121</v>
      </c>
      <c r="J784" s="2"/>
      <c r="K784" s="18">
        <v>44760</v>
      </c>
      <c r="L784" s="18">
        <v>44760</v>
      </c>
      <c r="M784" s="18">
        <v>44865</v>
      </c>
      <c r="N784" s="1"/>
      <c r="O784" s="19">
        <v>3000</v>
      </c>
      <c r="P784" s="18">
        <v>44865</v>
      </c>
      <c r="Q784" s="19"/>
      <c r="R784" s="772"/>
      <c r="S784" s="18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12.75" customHeight="1">
      <c r="A785" s="15">
        <v>785</v>
      </c>
      <c r="B785" s="738" t="s">
        <v>1555</v>
      </c>
      <c r="C785" s="16" t="s">
        <v>176</v>
      </c>
      <c r="D785" s="15" t="s">
        <v>3094</v>
      </c>
      <c r="E785" s="3" t="s">
        <v>3095</v>
      </c>
      <c r="F785" s="3" t="s">
        <v>3712</v>
      </c>
      <c r="G785" s="17">
        <v>4797604</v>
      </c>
      <c r="H785" s="2" t="s">
        <v>175</v>
      </c>
      <c r="I785" s="2" t="s">
        <v>177</v>
      </c>
      <c r="J785" s="2" t="s">
        <v>178</v>
      </c>
      <c r="K785" s="18">
        <v>43522</v>
      </c>
      <c r="L785" s="18">
        <v>43556</v>
      </c>
      <c r="M785" s="80">
        <v>45747</v>
      </c>
      <c r="N785" s="1"/>
      <c r="O785" s="90">
        <v>1</v>
      </c>
      <c r="P785" s="18">
        <v>45747</v>
      </c>
      <c r="Q785" s="19">
        <v>1</v>
      </c>
      <c r="R785" s="772" t="s">
        <v>179</v>
      </c>
      <c r="S785" s="18">
        <v>43523</v>
      </c>
      <c r="T785" s="2"/>
      <c r="U785" s="105">
        <v>3</v>
      </c>
      <c r="V785" s="2"/>
      <c r="W785" s="2" t="s">
        <v>4625</v>
      </c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12.75" customHeight="1">
      <c r="A786" s="15">
        <v>786</v>
      </c>
      <c r="B786" s="738" t="s">
        <v>3086</v>
      </c>
      <c r="C786" s="16" t="s">
        <v>1509</v>
      </c>
      <c r="D786" s="15" t="s">
        <v>3110</v>
      </c>
      <c r="E786" s="3" t="s">
        <v>3117</v>
      </c>
      <c r="F786" s="3" t="s">
        <v>3713</v>
      </c>
      <c r="G786" s="17">
        <v>4684010</v>
      </c>
      <c r="H786" s="2" t="s">
        <v>1510</v>
      </c>
      <c r="I786" s="2" t="s">
        <v>1511</v>
      </c>
      <c r="J786" s="2" t="s">
        <v>1512</v>
      </c>
      <c r="K786" s="18">
        <v>42534</v>
      </c>
      <c r="L786" s="18">
        <v>42534</v>
      </c>
      <c r="M786" s="89">
        <v>2958465</v>
      </c>
      <c r="N786" s="1"/>
      <c r="O786" s="19">
        <v>0</v>
      </c>
      <c r="P786" s="89">
        <v>2958465</v>
      </c>
      <c r="Q786" s="19"/>
      <c r="R786" s="773"/>
      <c r="S786" s="18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12.75" customHeight="1">
      <c r="A787" s="15">
        <v>787</v>
      </c>
      <c r="B787" s="736" t="s">
        <v>3086</v>
      </c>
      <c r="C787" s="16" t="s">
        <v>660</v>
      </c>
      <c r="D787" s="15" t="s">
        <v>3094</v>
      </c>
      <c r="E787" s="3" t="s">
        <v>3095</v>
      </c>
      <c r="F787" s="2" t="s">
        <v>4693</v>
      </c>
      <c r="G787" s="17">
        <v>4602544</v>
      </c>
      <c r="H787" s="2" t="s">
        <v>189</v>
      </c>
      <c r="I787" s="2" t="s">
        <v>661</v>
      </c>
      <c r="J787" s="2"/>
      <c r="K787" s="18">
        <v>44993</v>
      </c>
      <c r="L787" s="18">
        <v>44993</v>
      </c>
      <c r="M787" s="18">
        <v>46453</v>
      </c>
      <c r="N787" s="1"/>
      <c r="O787" s="19">
        <v>420000</v>
      </c>
      <c r="P787" s="18">
        <v>46453</v>
      </c>
      <c r="Q787" s="19">
        <v>420000</v>
      </c>
      <c r="R787" s="772" t="s">
        <v>662</v>
      </c>
      <c r="S787" s="18">
        <v>44993</v>
      </c>
      <c r="T787" s="2"/>
      <c r="U787" s="105">
        <v>3</v>
      </c>
      <c r="V787" s="79"/>
      <c r="W787" s="79" t="s">
        <v>4625</v>
      </c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12.75" customHeight="1">
      <c r="A788" s="15">
        <v>788</v>
      </c>
      <c r="B788" s="736" t="s">
        <v>1555</v>
      </c>
      <c r="C788" s="16" t="s">
        <v>1773</v>
      </c>
      <c r="D788" s="20" t="s">
        <v>3087</v>
      </c>
      <c r="E788" s="2" t="s">
        <v>3093</v>
      </c>
      <c r="F788" s="2" t="s">
        <v>3714</v>
      </c>
      <c r="G788" s="17">
        <v>4597362</v>
      </c>
      <c r="H788" s="2" t="s">
        <v>180</v>
      </c>
      <c r="I788" s="2" t="s">
        <v>1774</v>
      </c>
      <c r="J788" s="2"/>
      <c r="K788" s="18">
        <v>44417</v>
      </c>
      <c r="L788" s="18">
        <v>44417</v>
      </c>
      <c r="M788" s="18">
        <v>44450</v>
      </c>
      <c r="N788" s="1"/>
      <c r="O788" s="19">
        <v>0</v>
      </c>
      <c r="P788" s="18">
        <v>44450</v>
      </c>
      <c r="Q788" s="19"/>
      <c r="R788" s="772"/>
      <c r="S788" s="18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12.75" customHeight="1">
      <c r="A789" s="15">
        <v>789</v>
      </c>
      <c r="B789" s="736" t="s">
        <v>1555</v>
      </c>
      <c r="C789" s="16" t="s">
        <v>2264</v>
      </c>
      <c r="D789" s="20" t="s">
        <v>3087</v>
      </c>
      <c r="E789" s="2" t="s">
        <v>3093</v>
      </c>
      <c r="F789" s="2" t="s">
        <v>3714</v>
      </c>
      <c r="G789" s="17">
        <v>4597362</v>
      </c>
      <c r="H789" s="96" t="s">
        <v>510</v>
      </c>
      <c r="I789" s="2" t="s">
        <v>2265</v>
      </c>
      <c r="J789" s="2"/>
      <c r="K789" s="18">
        <v>44788</v>
      </c>
      <c r="L789" s="18">
        <v>44788</v>
      </c>
      <c r="M789" s="18">
        <v>44895</v>
      </c>
      <c r="N789" s="1"/>
      <c r="O789" s="19"/>
      <c r="P789" s="18">
        <v>44895</v>
      </c>
      <c r="Q789" s="19"/>
      <c r="R789" s="772"/>
      <c r="S789" s="18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12.75" customHeight="1">
      <c r="A790" s="15">
        <v>790</v>
      </c>
      <c r="B790" s="736" t="s">
        <v>1555</v>
      </c>
      <c r="C790" s="16" t="s">
        <v>2069</v>
      </c>
      <c r="D790" s="2" t="s">
        <v>5351</v>
      </c>
      <c r="E790" s="2" t="s">
        <v>3144</v>
      </c>
      <c r="F790" s="2" t="s">
        <v>3715</v>
      </c>
      <c r="G790" s="17">
        <v>4485297</v>
      </c>
      <c r="H790" s="2" t="s">
        <v>2068</v>
      </c>
      <c r="I790" s="2" t="s">
        <v>2070</v>
      </c>
      <c r="J790" s="2"/>
      <c r="K790" s="18">
        <v>44678</v>
      </c>
      <c r="L790" s="18">
        <v>44682</v>
      </c>
      <c r="M790" s="18">
        <v>45046</v>
      </c>
      <c r="N790" s="1"/>
      <c r="O790" s="19">
        <v>123881</v>
      </c>
      <c r="P790" s="18">
        <v>45046</v>
      </c>
      <c r="Q790" s="19"/>
      <c r="R790" s="772"/>
      <c r="S790" s="18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12.75" customHeight="1">
      <c r="A791" s="15">
        <v>791</v>
      </c>
      <c r="B791" s="736" t="s">
        <v>1555</v>
      </c>
      <c r="C791" s="16" t="s">
        <v>2201</v>
      </c>
      <c r="D791" s="20" t="s">
        <v>3087</v>
      </c>
      <c r="E791" s="2" t="s">
        <v>3093</v>
      </c>
      <c r="F791" s="2" t="s">
        <v>3716</v>
      </c>
      <c r="G791" s="17">
        <v>4402715</v>
      </c>
      <c r="H791" s="96" t="s">
        <v>510</v>
      </c>
      <c r="I791" s="2" t="s">
        <v>2202</v>
      </c>
      <c r="J791" s="2"/>
      <c r="K791" s="18">
        <v>44741</v>
      </c>
      <c r="L791" s="18">
        <v>44741</v>
      </c>
      <c r="M791" s="18">
        <v>44834</v>
      </c>
      <c r="N791" s="1"/>
      <c r="O791" s="19">
        <v>13800</v>
      </c>
      <c r="P791" s="18">
        <v>44834</v>
      </c>
      <c r="Q791" s="19"/>
      <c r="R791" s="772"/>
      <c r="S791" s="18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12.75" customHeight="1">
      <c r="A792" s="15">
        <v>792</v>
      </c>
      <c r="B792" s="736" t="s">
        <v>1555</v>
      </c>
      <c r="C792" s="16" t="s">
        <v>2855</v>
      </c>
      <c r="D792" s="20" t="s">
        <v>3087</v>
      </c>
      <c r="E792" s="2" t="s">
        <v>3093</v>
      </c>
      <c r="F792" s="2" t="s">
        <v>3716</v>
      </c>
      <c r="G792" s="17">
        <v>4402715</v>
      </c>
      <c r="H792" s="96" t="s">
        <v>510</v>
      </c>
      <c r="I792" s="2" t="s">
        <v>2856</v>
      </c>
      <c r="J792" s="2"/>
      <c r="K792" s="18">
        <v>45104</v>
      </c>
      <c r="L792" s="18">
        <v>45104</v>
      </c>
      <c r="M792" s="18">
        <v>45169</v>
      </c>
      <c r="N792" s="1"/>
      <c r="O792" s="19">
        <v>13800</v>
      </c>
      <c r="P792" s="18">
        <v>45169</v>
      </c>
      <c r="Q792" s="19"/>
      <c r="R792" s="772"/>
      <c r="S792" s="18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12.75" customHeight="1">
      <c r="A793" s="15">
        <v>793</v>
      </c>
      <c r="B793" s="736" t="s">
        <v>1555</v>
      </c>
      <c r="C793" s="16" t="s">
        <v>2705</v>
      </c>
      <c r="D793" s="20" t="s">
        <v>3087</v>
      </c>
      <c r="E793" s="2" t="s">
        <v>3097</v>
      </c>
      <c r="F793" s="2" t="s">
        <v>3717</v>
      </c>
      <c r="G793" s="17">
        <v>4357311</v>
      </c>
      <c r="H793" s="96" t="s">
        <v>830</v>
      </c>
      <c r="I793" s="2" t="s">
        <v>2706</v>
      </c>
      <c r="J793" s="2"/>
      <c r="K793" s="18">
        <v>45020</v>
      </c>
      <c r="L793" s="18">
        <v>45020</v>
      </c>
      <c r="M793" s="18">
        <v>45138</v>
      </c>
      <c r="N793" s="1"/>
      <c r="O793" s="19">
        <v>4200</v>
      </c>
      <c r="P793" s="18">
        <v>45138</v>
      </c>
      <c r="Q793" s="19"/>
      <c r="R793" s="772"/>
      <c r="S793" s="18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12.75" customHeight="1">
      <c r="A794" s="15">
        <v>794</v>
      </c>
      <c r="B794" s="736" t="s">
        <v>3086</v>
      </c>
      <c r="C794" s="16" t="s">
        <v>618</v>
      </c>
      <c r="D794" s="15" t="s">
        <v>3116</v>
      </c>
      <c r="E794" s="3" t="s">
        <v>3647</v>
      </c>
      <c r="F794" s="2" t="s">
        <v>3718</v>
      </c>
      <c r="G794" s="17">
        <v>4262719</v>
      </c>
      <c r="H794" s="2" t="s">
        <v>2177</v>
      </c>
      <c r="I794" s="2" t="s">
        <v>619</v>
      </c>
      <c r="J794" s="2"/>
      <c r="K794" s="18">
        <v>44949</v>
      </c>
      <c r="L794" s="18">
        <v>44949</v>
      </c>
      <c r="M794" s="18">
        <v>2958465</v>
      </c>
      <c r="N794" s="1">
        <v>5</v>
      </c>
      <c r="O794" s="19">
        <v>1506450</v>
      </c>
      <c r="P794" s="18">
        <v>2958465</v>
      </c>
      <c r="Q794" s="19">
        <v>1506450</v>
      </c>
      <c r="R794" s="772" t="s">
        <v>620</v>
      </c>
      <c r="S794" s="18">
        <v>44951</v>
      </c>
      <c r="T794" s="2"/>
      <c r="U794" s="3">
        <v>3</v>
      </c>
      <c r="V794" s="71" t="s">
        <v>4625</v>
      </c>
      <c r="W794" s="71" t="s">
        <v>4631</v>
      </c>
      <c r="X794" s="2"/>
      <c r="Y794" s="2" t="s">
        <v>4793</v>
      </c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12.75" customHeight="1">
      <c r="A795" s="15">
        <v>795</v>
      </c>
      <c r="B795" s="736" t="s">
        <v>1555</v>
      </c>
      <c r="C795" s="71" t="s">
        <v>674</v>
      </c>
      <c r="D795" s="15" t="s">
        <v>3116</v>
      </c>
      <c r="E795" s="2" t="s">
        <v>3111</v>
      </c>
      <c r="F795" s="2" t="s">
        <v>3718</v>
      </c>
      <c r="G795" s="17">
        <v>4262719</v>
      </c>
      <c r="H795" s="2" t="s">
        <v>673</v>
      </c>
      <c r="I795" s="2" t="s">
        <v>675</v>
      </c>
      <c r="J795" s="2"/>
      <c r="K795" s="18">
        <v>45033</v>
      </c>
      <c r="L795" s="18">
        <v>45033</v>
      </c>
      <c r="M795" s="18">
        <v>45338</v>
      </c>
      <c r="N795" s="1"/>
      <c r="O795" s="19">
        <v>605000</v>
      </c>
      <c r="P795" s="18">
        <v>45338</v>
      </c>
      <c r="Q795" s="19">
        <v>605000</v>
      </c>
      <c r="R795" s="772" t="s">
        <v>676</v>
      </c>
      <c r="S795" s="18">
        <v>45033</v>
      </c>
      <c r="T795" s="2"/>
      <c r="U795" s="2"/>
      <c r="V795" s="71" t="s">
        <v>3091</v>
      </c>
      <c r="W795" s="71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12.75" customHeight="1">
      <c r="A796" s="15">
        <v>796</v>
      </c>
      <c r="B796" s="736" t="s">
        <v>1555</v>
      </c>
      <c r="C796" s="16" t="s">
        <v>2178</v>
      </c>
      <c r="D796" s="15" t="s">
        <v>3116</v>
      </c>
      <c r="E796" s="3" t="s">
        <v>3647</v>
      </c>
      <c r="F796" s="2" t="s">
        <v>3718</v>
      </c>
      <c r="G796" s="17">
        <v>4262719</v>
      </c>
      <c r="H796" s="2" t="s">
        <v>2177</v>
      </c>
      <c r="I796" s="2" t="s">
        <v>2179</v>
      </c>
      <c r="J796" s="2"/>
      <c r="K796" s="18">
        <v>44734</v>
      </c>
      <c r="L796" s="18">
        <v>44734</v>
      </c>
      <c r="M796" s="18">
        <v>44926</v>
      </c>
      <c r="N796" s="1"/>
      <c r="O796" s="19">
        <v>445000</v>
      </c>
      <c r="P796" s="18">
        <v>44926</v>
      </c>
      <c r="Q796" s="19"/>
      <c r="R796" s="772"/>
      <c r="S796" s="18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12.75" customHeight="1">
      <c r="A797" s="15">
        <v>797</v>
      </c>
      <c r="B797" s="736" t="s">
        <v>1555</v>
      </c>
      <c r="C797" s="16" t="s">
        <v>646</v>
      </c>
      <c r="D797" s="20" t="s">
        <v>3110</v>
      </c>
      <c r="E797" s="2" t="s">
        <v>3679</v>
      </c>
      <c r="F797" s="2" t="s">
        <v>3719</v>
      </c>
      <c r="G797" s="17">
        <v>4260431</v>
      </c>
      <c r="H797" s="2" t="s">
        <v>645</v>
      </c>
      <c r="I797" s="2" t="s">
        <v>647</v>
      </c>
      <c r="J797" s="2"/>
      <c r="K797" s="18">
        <v>44971</v>
      </c>
      <c r="L797" s="18">
        <v>44986</v>
      </c>
      <c r="M797" s="18">
        <v>45716</v>
      </c>
      <c r="N797" s="91">
        <v>6</v>
      </c>
      <c r="O797" s="19">
        <v>598950</v>
      </c>
      <c r="P797" s="18">
        <v>45716</v>
      </c>
      <c r="Q797" s="19">
        <v>598950</v>
      </c>
      <c r="R797" s="772" t="s">
        <v>648</v>
      </c>
      <c r="S797" s="18">
        <v>44971</v>
      </c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12.75" customHeight="1">
      <c r="A798" s="15">
        <v>798</v>
      </c>
      <c r="B798" s="736" t="s">
        <v>1555</v>
      </c>
      <c r="C798" s="16" t="s">
        <v>1579</v>
      </c>
      <c r="D798" s="20" t="s">
        <v>3110</v>
      </c>
      <c r="E798" s="2" t="s">
        <v>3679</v>
      </c>
      <c r="F798" s="2" t="s">
        <v>3719</v>
      </c>
      <c r="G798" s="17">
        <v>4260431</v>
      </c>
      <c r="H798" s="2" t="s">
        <v>645</v>
      </c>
      <c r="I798" s="2" t="s">
        <v>1580</v>
      </c>
      <c r="J798" s="2"/>
      <c r="K798" s="18">
        <v>44256</v>
      </c>
      <c r="L798" s="18">
        <v>44256</v>
      </c>
      <c r="M798" s="18">
        <v>44985</v>
      </c>
      <c r="N798" s="1"/>
      <c r="O798" s="19">
        <v>104</v>
      </c>
      <c r="P798" s="18">
        <v>44985</v>
      </c>
      <c r="Q798" s="19"/>
      <c r="R798" s="772"/>
      <c r="S798" s="18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12.75" customHeight="1">
      <c r="A799" s="15">
        <v>799</v>
      </c>
      <c r="B799" s="736" t="s">
        <v>3086</v>
      </c>
      <c r="C799" s="16" t="s">
        <v>436</v>
      </c>
      <c r="D799" s="15" t="s">
        <v>3110</v>
      </c>
      <c r="E799" s="2" t="s">
        <v>3228</v>
      </c>
      <c r="F799" s="2" t="s">
        <v>3720</v>
      </c>
      <c r="G799" s="17">
        <v>4189825</v>
      </c>
      <c r="H799" s="2" t="s">
        <v>64</v>
      </c>
      <c r="I799" s="2" t="s">
        <v>437</v>
      </c>
      <c r="J799" s="2"/>
      <c r="K799" s="18">
        <v>44701</v>
      </c>
      <c r="L799" s="18">
        <v>44713</v>
      </c>
      <c r="M799" s="89">
        <v>2958465</v>
      </c>
      <c r="N799" s="1">
        <v>1</v>
      </c>
      <c r="O799" s="19">
        <v>90000</v>
      </c>
      <c r="P799" s="89">
        <v>2958465</v>
      </c>
      <c r="Q799" s="19"/>
      <c r="R799" s="772"/>
      <c r="S799" s="18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12.75" customHeight="1">
      <c r="A800" s="15">
        <v>800</v>
      </c>
      <c r="B800" s="738" t="s">
        <v>3086</v>
      </c>
      <c r="C800" s="16" t="s">
        <v>1027</v>
      </c>
      <c r="D800" s="15" t="s">
        <v>3110</v>
      </c>
      <c r="E800" s="3" t="s">
        <v>3123</v>
      </c>
      <c r="F800" s="3" t="s">
        <v>3721</v>
      </c>
      <c r="G800" s="17">
        <v>4084063</v>
      </c>
      <c r="H800" s="2" t="s">
        <v>323</v>
      </c>
      <c r="I800" s="2" t="s">
        <v>1028</v>
      </c>
      <c r="J800" s="2" t="s">
        <v>1028</v>
      </c>
      <c r="K800" s="18">
        <v>38314</v>
      </c>
      <c r="L800" s="18">
        <v>38314</v>
      </c>
      <c r="M800" s="18">
        <v>2958465</v>
      </c>
      <c r="N800" s="1">
        <v>1</v>
      </c>
      <c r="O800" s="19">
        <v>1768</v>
      </c>
      <c r="P800" s="18">
        <v>2958465</v>
      </c>
      <c r="Q800" s="19"/>
      <c r="R800" s="773"/>
      <c r="S800" s="18"/>
      <c r="T800" s="2"/>
      <c r="U800" s="2"/>
      <c r="V800" s="2"/>
      <c r="W800" s="2"/>
      <c r="X800" s="25" t="s">
        <v>3209</v>
      </c>
      <c r="Y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12.75" customHeight="1">
      <c r="A801" s="15">
        <v>801</v>
      </c>
      <c r="B801" s="738" t="s">
        <v>3086</v>
      </c>
      <c r="C801" s="16" t="s">
        <v>1174</v>
      </c>
      <c r="D801" s="15" t="s">
        <v>3110</v>
      </c>
      <c r="E801" s="3" t="s">
        <v>3123</v>
      </c>
      <c r="F801" s="3" t="s">
        <v>3721</v>
      </c>
      <c r="G801" s="17">
        <v>4084063</v>
      </c>
      <c r="H801" s="2" t="s">
        <v>323</v>
      </c>
      <c r="I801" s="2" t="s">
        <v>1175</v>
      </c>
      <c r="J801" s="2" t="s">
        <v>1175</v>
      </c>
      <c r="K801" s="18">
        <v>40391</v>
      </c>
      <c r="L801" s="18">
        <v>40391</v>
      </c>
      <c r="M801" s="18">
        <v>2958465</v>
      </c>
      <c r="N801" s="1">
        <v>1</v>
      </c>
      <c r="O801" s="19">
        <v>5652</v>
      </c>
      <c r="P801" s="18">
        <v>2958465</v>
      </c>
      <c r="Q801" s="19"/>
      <c r="R801" s="773"/>
      <c r="S801" s="18"/>
      <c r="T801" s="2"/>
      <c r="U801" s="2"/>
      <c r="V801" s="2"/>
      <c r="W801" s="2"/>
      <c r="X801" s="25" t="s">
        <v>3209</v>
      </c>
      <c r="Y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12.75" customHeight="1">
      <c r="A802" s="15">
        <v>802</v>
      </c>
      <c r="B802" s="736" t="s">
        <v>1555</v>
      </c>
      <c r="C802" s="16" t="s">
        <v>2090</v>
      </c>
      <c r="D802" s="20" t="s">
        <v>3087</v>
      </c>
      <c r="E802" s="2" t="s">
        <v>3093</v>
      </c>
      <c r="F802" s="2" t="s">
        <v>3722</v>
      </c>
      <c r="G802" s="17">
        <v>3875482</v>
      </c>
      <c r="H802" s="96" t="s">
        <v>510</v>
      </c>
      <c r="I802" s="2" t="s">
        <v>2091</v>
      </c>
      <c r="J802" s="2"/>
      <c r="K802" s="18">
        <v>44684</v>
      </c>
      <c r="L802" s="18">
        <v>44684</v>
      </c>
      <c r="M802" s="18">
        <v>44712</v>
      </c>
      <c r="N802" s="1"/>
      <c r="O802" s="19"/>
      <c r="P802" s="18">
        <v>44712</v>
      </c>
      <c r="Q802" s="19"/>
      <c r="R802" s="772"/>
      <c r="S802" s="18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12.75" customHeight="1">
      <c r="A803" s="15">
        <v>803</v>
      </c>
      <c r="B803" s="736" t="s">
        <v>1555</v>
      </c>
      <c r="C803" s="16" t="s">
        <v>1801</v>
      </c>
      <c r="D803" s="20" t="s">
        <v>3087</v>
      </c>
      <c r="E803" s="2" t="s">
        <v>3103</v>
      </c>
      <c r="F803" s="2" t="s">
        <v>3722</v>
      </c>
      <c r="G803" s="17">
        <v>3875482</v>
      </c>
      <c r="H803" s="2" t="s">
        <v>180</v>
      </c>
      <c r="I803" s="2" t="s">
        <v>1802</v>
      </c>
      <c r="J803" s="2"/>
      <c r="K803" s="18">
        <v>44431</v>
      </c>
      <c r="L803" s="18">
        <v>44431</v>
      </c>
      <c r="M803" s="18">
        <v>44437</v>
      </c>
      <c r="N803" s="1"/>
      <c r="O803" s="19">
        <v>2500</v>
      </c>
      <c r="P803" s="18">
        <v>44437</v>
      </c>
      <c r="Q803" s="19"/>
      <c r="R803" s="772"/>
      <c r="S803" s="18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12.75" customHeight="1">
      <c r="A804" s="15">
        <v>804</v>
      </c>
      <c r="B804" s="736" t="s">
        <v>1555</v>
      </c>
      <c r="C804" s="16" t="s">
        <v>564</v>
      </c>
      <c r="D804" s="2" t="s">
        <v>3139</v>
      </c>
      <c r="E804" s="2" t="s">
        <v>3369</v>
      </c>
      <c r="F804" s="2" t="s">
        <v>3723</v>
      </c>
      <c r="G804" s="17">
        <v>3742857</v>
      </c>
      <c r="H804" s="2" t="s">
        <v>482</v>
      </c>
      <c r="I804" s="2" t="s">
        <v>565</v>
      </c>
      <c r="J804" s="2"/>
      <c r="K804" s="18">
        <v>44907</v>
      </c>
      <c r="L804" s="18">
        <v>44907</v>
      </c>
      <c r="M804" s="18">
        <v>45291</v>
      </c>
      <c r="N804" s="1">
        <v>5</v>
      </c>
      <c r="O804" s="19">
        <v>1699717.25</v>
      </c>
      <c r="P804" s="18">
        <v>45291</v>
      </c>
      <c r="Q804" s="19">
        <v>1699717.25</v>
      </c>
      <c r="R804" s="772" t="s">
        <v>566</v>
      </c>
      <c r="S804" s="18">
        <v>44908</v>
      </c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12.75" customHeight="1">
      <c r="A805" s="15">
        <v>805</v>
      </c>
      <c r="B805" s="736" t="s">
        <v>3086</v>
      </c>
      <c r="C805" s="16" t="s">
        <v>568</v>
      </c>
      <c r="D805" s="2" t="s">
        <v>3139</v>
      </c>
      <c r="E805" s="2" t="s">
        <v>3083</v>
      </c>
      <c r="F805" s="2" t="s">
        <v>3723</v>
      </c>
      <c r="G805" s="17">
        <v>3742857</v>
      </c>
      <c r="H805" s="2" t="s">
        <v>567</v>
      </c>
      <c r="I805" s="2" t="s">
        <v>569</v>
      </c>
      <c r="J805" s="2"/>
      <c r="K805" s="18">
        <v>44907</v>
      </c>
      <c r="L805" s="18">
        <v>44907</v>
      </c>
      <c r="M805" s="18">
        <v>46367</v>
      </c>
      <c r="N805" s="1"/>
      <c r="O805" s="19">
        <v>968000</v>
      </c>
      <c r="P805" s="18">
        <v>46367</v>
      </c>
      <c r="Q805" s="19">
        <v>968000</v>
      </c>
      <c r="R805" s="772" t="s">
        <v>570</v>
      </c>
      <c r="S805" s="18">
        <v>44908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12.75" customHeight="1">
      <c r="A806" s="15">
        <v>806</v>
      </c>
      <c r="B806" s="736" t="s">
        <v>1555</v>
      </c>
      <c r="C806" s="16" t="s">
        <v>1636</v>
      </c>
      <c r="D806" s="2"/>
      <c r="E806" s="96" t="s">
        <v>5143</v>
      </c>
      <c r="F806" s="2" t="s">
        <v>3724</v>
      </c>
      <c r="G806" s="17">
        <v>3607143</v>
      </c>
      <c r="H806" s="2" t="s">
        <v>1729</v>
      </c>
      <c r="I806" s="2" t="s">
        <v>1637</v>
      </c>
      <c r="J806" s="2"/>
      <c r="K806" s="18">
        <v>44337</v>
      </c>
      <c r="L806" s="18">
        <v>44337</v>
      </c>
      <c r="M806" s="18">
        <v>44344</v>
      </c>
      <c r="N806" s="1"/>
      <c r="O806" s="19">
        <v>90890</v>
      </c>
      <c r="P806" s="18">
        <v>44344</v>
      </c>
      <c r="Q806" s="19"/>
      <c r="R806" s="772"/>
      <c r="S806" s="18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12.75" customHeight="1">
      <c r="A807" s="15">
        <v>807</v>
      </c>
      <c r="B807" s="736" t="s">
        <v>1555</v>
      </c>
      <c r="C807" s="16" t="s">
        <v>900</v>
      </c>
      <c r="D807" s="15" t="s">
        <v>3110</v>
      </c>
      <c r="E807" s="2" t="s">
        <v>3141</v>
      </c>
      <c r="F807" s="2" t="s">
        <v>3725</v>
      </c>
      <c r="G807" s="17">
        <v>3592880</v>
      </c>
      <c r="H807" s="2" t="s">
        <v>518</v>
      </c>
      <c r="I807" s="2" t="s">
        <v>901</v>
      </c>
      <c r="J807" s="2"/>
      <c r="K807" s="18">
        <v>45295</v>
      </c>
      <c r="L807" s="18">
        <v>45295</v>
      </c>
      <c r="M807" s="18">
        <v>45657</v>
      </c>
      <c r="N807" s="1">
        <v>4</v>
      </c>
      <c r="O807" s="19">
        <v>16000</v>
      </c>
      <c r="P807" s="18">
        <v>45657</v>
      </c>
      <c r="Q807" s="19"/>
      <c r="R807" s="772"/>
      <c r="S807" s="18"/>
      <c r="T807" s="2"/>
      <c r="U807" s="2">
        <v>3</v>
      </c>
      <c r="V807" s="3" t="s">
        <v>4625</v>
      </c>
      <c r="W807" s="3" t="s">
        <v>4625</v>
      </c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12.75" customHeight="1">
      <c r="A808" s="15">
        <v>808</v>
      </c>
      <c r="B808" s="736" t="s">
        <v>1555</v>
      </c>
      <c r="C808" s="16" t="s">
        <v>558</v>
      </c>
      <c r="D808" s="15" t="s">
        <v>3110</v>
      </c>
      <c r="E808" s="2" t="s">
        <v>3726</v>
      </c>
      <c r="F808" s="2" t="s">
        <v>3725</v>
      </c>
      <c r="G808" s="17">
        <v>3592880</v>
      </c>
      <c r="H808" s="2" t="s">
        <v>557</v>
      </c>
      <c r="I808" s="2" t="s">
        <v>559</v>
      </c>
      <c r="J808" s="2"/>
      <c r="K808" s="18">
        <v>44927</v>
      </c>
      <c r="L808" s="18">
        <v>44927</v>
      </c>
      <c r="M808" s="18">
        <v>45292</v>
      </c>
      <c r="N808" s="1"/>
      <c r="O808" s="19"/>
      <c r="P808" s="18">
        <v>45292</v>
      </c>
      <c r="Q808" s="19"/>
      <c r="R808" s="772"/>
      <c r="S808" s="18"/>
      <c r="T808" s="2"/>
      <c r="U808" s="2"/>
      <c r="V808" s="2" t="s">
        <v>3091</v>
      </c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12.75" customHeight="1">
      <c r="A809" s="15">
        <v>809</v>
      </c>
      <c r="B809" s="736" t="s">
        <v>1555</v>
      </c>
      <c r="C809" s="16" t="s">
        <v>560</v>
      </c>
      <c r="D809" s="15" t="s">
        <v>3110</v>
      </c>
      <c r="E809" s="2" t="s">
        <v>3726</v>
      </c>
      <c r="F809" s="2" t="s">
        <v>3725</v>
      </c>
      <c r="G809" s="17">
        <v>3592880</v>
      </c>
      <c r="H809" s="2" t="s">
        <v>557</v>
      </c>
      <c r="I809" s="2" t="s">
        <v>561</v>
      </c>
      <c r="J809" s="2"/>
      <c r="K809" s="18">
        <v>44927</v>
      </c>
      <c r="L809" s="18">
        <v>44927</v>
      </c>
      <c r="M809" s="18">
        <v>45291</v>
      </c>
      <c r="N809" s="1"/>
      <c r="O809" s="19"/>
      <c r="P809" s="18">
        <v>45291</v>
      </c>
      <c r="Q809" s="19"/>
      <c r="R809" s="772"/>
      <c r="S809" s="18"/>
      <c r="T809" s="2"/>
      <c r="U809" s="2"/>
      <c r="V809" s="2" t="s">
        <v>3091</v>
      </c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12.75" customHeight="1">
      <c r="A810" s="15">
        <v>810</v>
      </c>
      <c r="B810" s="736" t="s">
        <v>1555</v>
      </c>
      <c r="C810" s="16" t="s">
        <v>2151</v>
      </c>
      <c r="D810" s="20" t="s">
        <v>3110</v>
      </c>
      <c r="E810" s="2" t="s">
        <v>3141</v>
      </c>
      <c r="F810" s="2" t="s">
        <v>3725</v>
      </c>
      <c r="G810" s="17">
        <v>3592880</v>
      </c>
      <c r="H810" s="2" t="s">
        <v>2150</v>
      </c>
      <c r="I810" s="2" t="s">
        <v>2152</v>
      </c>
      <c r="J810" s="2"/>
      <c r="K810" s="18">
        <v>44706</v>
      </c>
      <c r="L810" s="18">
        <v>44706</v>
      </c>
      <c r="M810" s="18">
        <v>44926</v>
      </c>
      <c r="N810" s="1"/>
      <c r="O810" s="19">
        <v>50000</v>
      </c>
      <c r="P810" s="18">
        <v>44926</v>
      </c>
      <c r="Q810" s="19"/>
      <c r="R810" s="772"/>
      <c r="S810" s="18"/>
      <c r="T810" s="2"/>
      <c r="U810" s="2"/>
      <c r="V810" t="s">
        <v>4625</v>
      </c>
      <c r="W810" t="s">
        <v>4625</v>
      </c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12.75" customHeight="1">
      <c r="A811" s="15">
        <v>811</v>
      </c>
      <c r="B811" s="736" t="s">
        <v>1555</v>
      </c>
      <c r="C811" s="16" t="s">
        <v>2807</v>
      </c>
      <c r="D811" s="15" t="s">
        <v>3110</v>
      </c>
      <c r="E811" s="2" t="s">
        <v>3141</v>
      </c>
      <c r="F811" s="2" t="s">
        <v>3725</v>
      </c>
      <c r="G811" s="17">
        <v>3592880</v>
      </c>
      <c r="H811" s="2" t="s">
        <v>521</v>
      </c>
      <c r="I811" s="2" t="s">
        <v>2808</v>
      </c>
      <c r="J811" s="2"/>
      <c r="K811" s="18">
        <v>45090</v>
      </c>
      <c r="L811" s="18">
        <v>45090</v>
      </c>
      <c r="M811" s="18">
        <v>45291</v>
      </c>
      <c r="N811" s="1"/>
      <c r="O811" s="19">
        <v>132340</v>
      </c>
      <c r="P811" s="18">
        <v>45291</v>
      </c>
      <c r="Q811" s="19"/>
      <c r="R811" s="772"/>
      <c r="S811" s="18"/>
      <c r="T811" s="2"/>
      <c r="U811" s="2"/>
      <c r="V811" t="s">
        <v>4625</v>
      </c>
      <c r="W811" t="s">
        <v>4625</v>
      </c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12.75" customHeight="1">
      <c r="A812" s="15">
        <v>812</v>
      </c>
      <c r="B812" s="736" t="s">
        <v>1555</v>
      </c>
      <c r="C812" s="16" t="s">
        <v>1903</v>
      </c>
      <c r="D812" s="20" t="s">
        <v>3110</v>
      </c>
      <c r="E812" s="2" t="s">
        <v>3141</v>
      </c>
      <c r="F812" s="2" t="s">
        <v>3725</v>
      </c>
      <c r="G812" s="17">
        <v>3592880</v>
      </c>
      <c r="H812" s="2" t="s">
        <v>557</v>
      </c>
      <c r="I812" s="2" t="s">
        <v>1904</v>
      </c>
      <c r="J812" s="2"/>
      <c r="K812" s="18">
        <v>44562</v>
      </c>
      <c r="L812" s="18">
        <v>44562</v>
      </c>
      <c r="M812" s="18">
        <v>44926</v>
      </c>
      <c r="N812" s="1"/>
      <c r="O812" s="19"/>
      <c r="P812" s="18">
        <v>44926</v>
      </c>
      <c r="Q812" s="19"/>
      <c r="R812" s="772"/>
      <c r="S812" s="18"/>
      <c r="T812" s="2"/>
      <c r="U812" s="2"/>
      <c r="V812" t="s">
        <v>4625</v>
      </c>
      <c r="W812" t="s">
        <v>4625</v>
      </c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12.75" customHeight="1">
      <c r="A813" s="15">
        <v>813</v>
      </c>
      <c r="B813" s="738" t="s">
        <v>1555</v>
      </c>
      <c r="C813" s="16" t="s">
        <v>268</v>
      </c>
      <c r="D813" s="15" t="s">
        <v>3094</v>
      </c>
      <c r="E813" s="3" t="s">
        <v>3095</v>
      </c>
      <c r="F813" s="3" t="s">
        <v>3727</v>
      </c>
      <c r="G813" s="17">
        <v>3508081</v>
      </c>
      <c r="H813" s="2" t="s">
        <v>100</v>
      </c>
      <c r="I813" s="2" t="s">
        <v>269</v>
      </c>
      <c r="J813" s="2" t="s">
        <v>269</v>
      </c>
      <c r="K813" s="18">
        <v>44075</v>
      </c>
      <c r="L813" s="18">
        <v>44075</v>
      </c>
      <c r="M813" s="18">
        <v>45535</v>
      </c>
      <c r="N813" s="1"/>
      <c r="O813" s="19">
        <v>1</v>
      </c>
      <c r="P813" s="18">
        <v>45535</v>
      </c>
      <c r="Q813" s="19">
        <v>1</v>
      </c>
      <c r="R813" s="772" t="s">
        <v>270</v>
      </c>
      <c r="S813" s="18">
        <v>44078</v>
      </c>
      <c r="T813" s="2"/>
      <c r="U813" s="105"/>
      <c r="V813" s="2"/>
      <c r="W813" s="2"/>
      <c r="X813" s="2"/>
      <c r="Y813" s="2" t="s">
        <v>4691</v>
      </c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12.75" customHeight="1">
      <c r="A814" s="15">
        <v>814</v>
      </c>
      <c r="B814" s="736" t="s">
        <v>1555</v>
      </c>
      <c r="C814" s="16" t="s">
        <v>1737</v>
      </c>
      <c r="D814" s="20" t="s">
        <v>3087</v>
      </c>
      <c r="E814" s="2" t="s">
        <v>3202</v>
      </c>
      <c r="F814" s="2" t="s">
        <v>3729</v>
      </c>
      <c r="G814" s="17">
        <v>3457401</v>
      </c>
      <c r="H814" s="2" t="s">
        <v>546</v>
      </c>
      <c r="I814" s="2" t="s">
        <v>1738</v>
      </c>
      <c r="J814" s="2"/>
      <c r="K814" s="18">
        <v>44397</v>
      </c>
      <c r="L814" s="18">
        <v>44397</v>
      </c>
      <c r="M814" s="18">
        <v>44561</v>
      </c>
      <c r="N814" s="1"/>
      <c r="O814" s="19">
        <v>75</v>
      </c>
      <c r="P814" s="18">
        <v>44561</v>
      </c>
      <c r="Q814" s="19"/>
      <c r="R814" s="772"/>
      <c r="S814" s="18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12.75" customHeight="1">
      <c r="A815" s="15">
        <v>815</v>
      </c>
      <c r="B815" s="736" t="s">
        <v>1555</v>
      </c>
      <c r="C815" s="16" t="s">
        <v>2186</v>
      </c>
      <c r="D815" s="20" t="s">
        <v>3087</v>
      </c>
      <c r="E815" s="2" t="s">
        <v>3097</v>
      </c>
      <c r="F815" s="2" t="s">
        <v>3730</v>
      </c>
      <c r="G815" s="17">
        <v>3150241</v>
      </c>
      <c r="H815" s="96" t="s">
        <v>830</v>
      </c>
      <c r="I815" s="2" t="s">
        <v>2187</v>
      </c>
      <c r="J815" s="2"/>
      <c r="K815" s="18">
        <v>44733</v>
      </c>
      <c r="L815" s="18">
        <v>44733</v>
      </c>
      <c r="M815" s="18">
        <v>44865</v>
      </c>
      <c r="N815" s="1"/>
      <c r="O815" s="19">
        <v>3500</v>
      </c>
      <c r="P815" s="18">
        <v>44865</v>
      </c>
      <c r="Q815" s="19"/>
      <c r="R815" s="772"/>
      <c r="S815" s="18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12.75" customHeight="1">
      <c r="A816" s="15">
        <v>816</v>
      </c>
      <c r="B816" s="736" t="s">
        <v>1555</v>
      </c>
      <c r="C816" s="16" t="s">
        <v>2410</v>
      </c>
      <c r="D816" s="20" t="s">
        <v>3087</v>
      </c>
      <c r="E816" s="2" t="s">
        <v>3097</v>
      </c>
      <c r="F816" s="2" t="s">
        <v>3730</v>
      </c>
      <c r="G816" s="17">
        <v>3150241</v>
      </c>
      <c r="H816" s="96" t="s">
        <v>830</v>
      </c>
      <c r="I816" s="2" t="s">
        <v>2411</v>
      </c>
      <c r="J816" s="2"/>
      <c r="K816" s="18">
        <v>44834</v>
      </c>
      <c r="L816" s="18">
        <v>44834</v>
      </c>
      <c r="M816" s="18">
        <v>44926</v>
      </c>
      <c r="N816" s="1"/>
      <c r="O816" s="19">
        <v>2450</v>
      </c>
      <c r="P816" s="18">
        <v>44926</v>
      </c>
      <c r="Q816" s="19"/>
      <c r="R816" s="772"/>
      <c r="S816" s="18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12.75" customHeight="1">
      <c r="A817" s="15">
        <v>817</v>
      </c>
      <c r="B817" s="736" t="s">
        <v>3086</v>
      </c>
      <c r="C817" s="16" t="s">
        <v>670</v>
      </c>
      <c r="D817" s="21" t="s">
        <v>3116</v>
      </c>
      <c r="E817" s="2" t="s">
        <v>3117</v>
      </c>
      <c r="F817" s="2" t="s">
        <v>3731</v>
      </c>
      <c r="G817" s="17">
        <v>3150143</v>
      </c>
      <c r="H817" s="2" t="s">
        <v>669</v>
      </c>
      <c r="I817" s="2" t="s">
        <v>671</v>
      </c>
      <c r="J817" s="2"/>
      <c r="K817" s="18">
        <v>45027</v>
      </c>
      <c r="L817" s="18">
        <v>45027</v>
      </c>
      <c r="M817" s="3" t="s">
        <v>3732</v>
      </c>
      <c r="N817" s="1">
        <v>6</v>
      </c>
      <c r="O817" s="19">
        <v>301290</v>
      </c>
      <c r="P817" s="3" t="s">
        <v>3732</v>
      </c>
      <c r="Q817" s="19">
        <v>301290</v>
      </c>
      <c r="R817" s="772" t="s">
        <v>672</v>
      </c>
      <c r="S817" s="18">
        <v>45027</v>
      </c>
      <c r="T817" s="2"/>
      <c r="U817" s="3">
        <v>3</v>
      </c>
      <c r="V817" s="2" t="s">
        <v>4625</v>
      </c>
      <c r="W817" s="2" t="s">
        <v>4625</v>
      </c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12.75" customHeight="1">
      <c r="A818" s="15">
        <v>818</v>
      </c>
      <c r="B818" s="736" t="s">
        <v>1555</v>
      </c>
      <c r="C818" s="16" t="s">
        <v>2542</v>
      </c>
      <c r="D818" s="20" t="s">
        <v>3087</v>
      </c>
      <c r="E818" s="2" t="s">
        <v>3093</v>
      </c>
      <c r="F818" s="2" t="s">
        <v>3733</v>
      </c>
      <c r="G818" s="17">
        <v>3140741</v>
      </c>
      <c r="H818" s="96" t="s">
        <v>510</v>
      </c>
      <c r="I818" s="2" t="s">
        <v>2543</v>
      </c>
      <c r="J818" s="2"/>
      <c r="K818" s="18">
        <v>44925</v>
      </c>
      <c r="L818" s="18">
        <v>44925</v>
      </c>
      <c r="M818" s="18">
        <v>44995</v>
      </c>
      <c r="N818" s="1"/>
      <c r="O818" s="19">
        <v>32710</v>
      </c>
      <c r="P818" s="18">
        <v>44995</v>
      </c>
      <c r="Q818" s="19"/>
      <c r="R818" s="772"/>
      <c r="S818" s="18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12.75" customHeight="1">
      <c r="A819" s="15">
        <v>819</v>
      </c>
      <c r="B819" s="738" t="s">
        <v>3086</v>
      </c>
      <c r="C819" s="16" t="s">
        <v>42</v>
      </c>
      <c r="D819" s="15" t="s">
        <v>3110</v>
      </c>
      <c r="E819" s="96" t="s">
        <v>5143</v>
      </c>
      <c r="F819" s="3" t="s">
        <v>3734</v>
      </c>
      <c r="G819" s="17">
        <v>3038637</v>
      </c>
      <c r="H819" s="2" t="s">
        <v>1729</v>
      </c>
      <c r="I819" s="2" t="s">
        <v>43</v>
      </c>
      <c r="J819" s="2" t="s">
        <v>44</v>
      </c>
      <c r="K819" s="18">
        <v>42870</v>
      </c>
      <c r="L819" s="18">
        <v>42870</v>
      </c>
      <c r="M819" s="18">
        <v>2958465</v>
      </c>
      <c r="N819" s="1">
        <v>4</v>
      </c>
      <c r="O819" s="19">
        <v>90000</v>
      </c>
      <c r="P819" s="18">
        <v>2958465</v>
      </c>
      <c r="Q819" s="19">
        <v>90000</v>
      </c>
      <c r="R819" s="772" t="s">
        <v>45</v>
      </c>
      <c r="S819" s="18">
        <v>42871</v>
      </c>
      <c r="T819" s="2"/>
      <c r="U819" s="2"/>
      <c r="V819" s="2"/>
      <c r="W819" s="2"/>
      <c r="X819" s="2"/>
      <c r="Y819" s="2" t="s">
        <v>4776</v>
      </c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12.75" customHeight="1">
      <c r="A820" s="15">
        <v>820</v>
      </c>
      <c r="B820" s="736" t="s">
        <v>1555</v>
      </c>
      <c r="C820" s="16" t="s">
        <v>651</v>
      </c>
      <c r="D820" s="15" t="s">
        <v>3110</v>
      </c>
      <c r="E820" s="2" t="s">
        <v>3369</v>
      </c>
      <c r="F820" s="2" t="s">
        <v>3735</v>
      </c>
      <c r="G820" s="17">
        <v>2891506</v>
      </c>
      <c r="H820" s="2" t="s">
        <v>482</v>
      </c>
      <c r="I820" s="2" t="s">
        <v>652</v>
      </c>
      <c r="J820" s="2"/>
      <c r="K820" s="18">
        <v>44979</v>
      </c>
      <c r="L820" s="18">
        <v>44979</v>
      </c>
      <c r="M820" s="18">
        <v>45343</v>
      </c>
      <c r="N820" s="1"/>
      <c r="O820" s="19">
        <v>580800</v>
      </c>
      <c r="P820" s="18">
        <v>45343</v>
      </c>
      <c r="Q820" s="19">
        <v>580800</v>
      </c>
      <c r="R820" s="772" t="s">
        <v>653</v>
      </c>
      <c r="S820" s="18">
        <v>44979</v>
      </c>
      <c r="T820" s="2"/>
      <c r="U820" s="2"/>
      <c r="V820" s="2" t="s">
        <v>3091</v>
      </c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12.75" customHeight="1">
      <c r="A821" s="15">
        <v>821</v>
      </c>
      <c r="B821" s="736" t="s">
        <v>1555</v>
      </c>
      <c r="C821" s="16" t="s">
        <v>1952</v>
      </c>
      <c r="D821" s="20" t="s">
        <v>3110</v>
      </c>
      <c r="E821" s="2" t="s">
        <v>3369</v>
      </c>
      <c r="F821" s="2" t="s">
        <v>3735</v>
      </c>
      <c r="G821" s="17">
        <v>2891506</v>
      </c>
      <c r="H821" s="2" t="s">
        <v>482</v>
      </c>
      <c r="I821" s="2" t="s">
        <v>1953</v>
      </c>
      <c r="J821" s="2"/>
      <c r="K821" s="18">
        <v>44587</v>
      </c>
      <c r="L821" s="18">
        <v>44587</v>
      </c>
      <c r="M821" s="18">
        <v>44951</v>
      </c>
      <c r="N821" s="1"/>
      <c r="O821" s="19">
        <v>480000</v>
      </c>
      <c r="P821" s="18">
        <v>44951</v>
      </c>
      <c r="Q821" s="19"/>
      <c r="R821" s="772"/>
      <c r="S821" s="18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12.75" customHeight="1">
      <c r="A822" s="15">
        <v>822</v>
      </c>
      <c r="B822" s="738" t="s">
        <v>3086</v>
      </c>
      <c r="C822" s="16" t="s">
        <v>221</v>
      </c>
      <c r="D822" s="15" t="s">
        <v>3116</v>
      </c>
      <c r="E822" s="3" t="s">
        <v>3117</v>
      </c>
      <c r="F822" s="3" t="s">
        <v>3736</v>
      </c>
      <c r="G822" s="17">
        <v>2819678</v>
      </c>
      <c r="H822" s="2" t="s">
        <v>220</v>
      </c>
      <c r="I822" s="2" t="s">
        <v>222</v>
      </c>
      <c r="J822" s="2" t="s">
        <v>222</v>
      </c>
      <c r="K822" s="18">
        <v>43860</v>
      </c>
      <c r="L822" s="18">
        <v>43866</v>
      </c>
      <c r="M822" s="18">
        <v>46057</v>
      </c>
      <c r="N822" s="1"/>
      <c r="O822" s="19">
        <v>18857</v>
      </c>
      <c r="P822" s="18">
        <v>46057</v>
      </c>
      <c r="Q822" s="19">
        <v>18857</v>
      </c>
      <c r="R822" s="772" t="s">
        <v>223</v>
      </c>
      <c r="S822" s="18">
        <v>43866</v>
      </c>
      <c r="T822" s="2"/>
      <c r="U822" s="3">
        <v>3</v>
      </c>
      <c r="V822" s="2" t="s">
        <v>4625</v>
      </c>
      <c r="W822" s="2" t="s">
        <v>4631</v>
      </c>
      <c r="X822" s="2"/>
      <c r="Y822" s="2" t="s">
        <v>4715</v>
      </c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12.75" customHeight="1">
      <c r="A823" s="15">
        <v>823</v>
      </c>
      <c r="B823" s="738" t="s">
        <v>3086</v>
      </c>
      <c r="C823" s="16" t="s">
        <v>225</v>
      </c>
      <c r="D823" s="15" t="s">
        <v>3116</v>
      </c>
      <c r="E823" s="3" t="s">
        <v>3117</v>
      </c>
      <c r="F823" s="3" t="s">
        <v>3736</v>
      </c>
      <c r="G823" s="17">
        <v>2819678</v>
      </c>
      <c r="H823" s="2" t="s">
        <v>224</v>
      </c>
      <c r="I823" s="2" t="s">
        <v>226</v>
      </c>
      <c r="J823" s="2" t="s">
        <v>226</v>
      </c>
      <c r="K823" s="18">
        <v>43860</v>
      </c>
      <c r="L823" s="18">
        <v>43866</v>
      </c>
      <c r="M823" s="18">
        <v>46057</v>
      </c>
      <c r="N823" s="1"/>
      <c r="O823" s="19">
        <v>46875</v>
      </c>
      <c r="P823" s="18">
        <v>46057</v>
      </c>
      <c r="Q823" s="19">
        <v>46875</v>
      </c>
      <c r="R823" s="772" t="s">
        <v>227</v>
      </c>
      <c r="S823" s="18">
        <v>43866</v>
      </c>
      <c r="T823" s="2"/>
      <c r="U823" s="3">
        <v>3</v>
      </c>
      <c r="V823" s="2" t="s">
        <v>4625</v>
      </c>
      <c r="W823" s="2" t="s">
        <v>4631</v>
      </c>
      <c r="X823" s="2"/>
      <c r="Y823" s="2" t="s">
        <v>4715</v>
      </c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12.75" customHeight="1">
      <c r="A824" s="15">
        <v>824</v>
      </c>
      <c r="B824" s="736" t="s">
        <v>3086</v>
      </c>
      <c r="C824" s="16" t="s">
        <v>407</v>
      </c>
      <c r="D824" s="15" t="s">
        <v>3116</v>
      </c>
      <c r="E824" s="2" t="s">
        <v>3166</v>
      </c>
      <c r="F824" s="3" t="s">
        <v>3736</v>
      </c>
      <c r="G824" s="17">
        <v>2819678</v>
      </c>
      <c r="H824" s="2" t="s">
        <v>406</v>
      </c>
      <c r="I824" s="2" t="s">
        <v>408</v>
      </c>
      <c r="J824" s="2"/>
      <c r="K824" s="18">
        <v>44630</v>
      </c>
      <c r="L824" s="18">
        <v>44630</v>
      </c>
      <c r="M824" s="18">
        <v>2958465</v>
      </c>
      <c r="N824" s="1">
        <v>2</v>
      </c>
      <c r="O824" s="19">
        <v>411787.2</v>
      </c>
      <c r="P824" s="18">
        <v>2958465</v>
      </c>
      <c r="Q824" s="19">
        <v>226320</v>
      </c>
      <c r="R824" s="772" t="s">
        <v>409</v>
      </c>
      <c r="S824" s="18">
        <v>44630</v>
      </c>
      <c r="T824" s="2"/>
      <c r="U824" s="3">
        <v>3</v>
      </c>
      <c r="V824" s="2" t="s">
        <v>4625</v>
      </c>
      <c r="W824" s="2" t="s">
        <v>4631</v>
      </c>
      <c r="X824" s="2"/>
      <c r="Y824" s="2" t="s">
        <v>4715</v>
      </c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12.75" customHeight="1">
      <c r="A825" s="15">
        <v>825</v>
      </c>
      <c r="B825" s="736" t="s">
        <v>3086</v>
      </c>
      <c r="C825" s="16" t="s">
        <v>1343</v>
      </c>
      <c r="D825" s="2" t="s">
        <v>3127</v>
      </c>
      <c r="E825" s="2" t="s">
        <v>3128</v>
      </c>
      <c r="F825" s="3" t="s">
        <v>3737</v>
      </c>
      <c r="G825" s="76">
        <v>2366195</v>
      </c>
      <c r="H825" s="2" t="s">
        <v>48</v>
      </c>
      <c r="I825" s="2" t="s">
        <v>1344</v>
      </c>
      <c r="J825" s="2" t="s">
        <v>1314</v>
      </c>
      <c r="K825" s="18">
        <v>41802</v>
      </c>
      <c r="L825" s="18">
        <v>41802</v>
      </c>
      <c r="M825" s="18">
        <v>46549</v>
      </c>
      <c r="N825" s="1"/>
      <c r="O825" s="19">
        <v>0</v>
      </c>
      <c r="P825" s="18">
        <v>46549</v>
      </c>
      <c r="Q825" s="19"/>
      <c r="R825" s="772"/>
      <c r="S825" s="18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12.75" customHeight="1">
      <c r="A826" s="15">
        <v>826</v>
      </c>
      <c r="B826" s="736" t="s">
        <v>1555</v>
      </c>
      <c r="C826" s="16" t="s">
        <v>1577</v>
      </c>
      <c r="D826" s="2" t="s">
        <v>5351</v>
      </c>
      <c r="E826" s="2" t="s">
        <v>3738</v>
      </c>
      <c r="F826" s="2" t="s">
        <v>3739</v>
      </c>
      <c r="G826" s="17">
        <v>2298376</v>
      </c>
      <c r="H826" s="2" t="s">
        <v>1576</v>
      </c>
      <c r="I826" s="2" t="s">
        <v>1578</v>
      </c>
      <c r="J826" s="2"/>
      <c r="K826" s="18">
        <v>44253</v>
      </c>
      <c r="L826" s="18">
        <v>44253</v>
      </c>
      <c r="M826" s="18">
        <v>44377</v>
      </c>
      <c r="N826" s="1"/>
      <c r="O826" s="19">
        <v>10500</v>
      </c>
      <c r="P826" s="18">
        <v>44377</v>
      </c>
      <c r="Q826" s="19"/>
      <c r="R826" s="772"/>
      <c r="S826" s="18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12.75" customHeight="1">
      <c r="A827" s="15">
        <v>827</v>
      </c>
      <c r="B827" s="736" t="s">
        <v>1555</v>
      </c>
      <c r="C827" s="16" t="s">
        <v>1703</v>
      </c>
      <c r="D827" s="20" t="s">
        <v>3087</v>
      </c>
      <c r="E827" s="2" t="s">
        <v>3162</v>
      </c>
      <c r="F827" s="15" t="s">
        <v>3740</v>
      </c>
      <c r="G827" s="17">
        <v>2181576</v>
      </c>
      <c r="H827" s="96" t="s">
        <v>830</v>
      </c>
      <c r="I827" s="2" t="s">
        <v>1704</v>
      </c>
      <c r="J827" s="2"/>
      <c r="K827" s="18">
        <v>44357</v>
      </c>
      <c r="L827" s="18">
        <v>44361</v>
      </c>
      <c r="M827" s="18">
        <v>44374</v>
      </c>
      <c r="N827" s="1"/>
      <c r="O827" s="19">
        <v>3500</v>
      </c>
      <c r="P827" s="18">
        <v>44374</v>
      </c>
      <c r="Q827" s="19"/>
      <c r="R827" s="772"/>
      <c r="S827" s="18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12.75" customHeight="1">
      <c r="A828" s="15">
        <v>828</v>
      </c>
      <c r="B828" s="736" t="s">
        <v>1555</v>
      </c>
      <c r="C828" s="16" t="s">
        <v>2048</v>
      </c>
      <c r="D828" s="20" t="s">
        <v>3087</v>
      </c>
      <c r="E828" s="2" t="s">
        <v>3093</v>
      </c>
      <c r="F828" s="2" t="s">
        <v>3741</v>
      </c>
      <c r="G828" s="17">
        <v>2167590</v>
      </c>
      <c r="H828" s="96" t="s">
        <v>510</v>
      </c>
      <c r="I828" s="2" t="s">
        <v>2049</v>
      </c>
      <c r="J828" s="2"/>
      <c r="K828" s="18">
        <v>44662</v>
      </c>
      <c r="L828" s="18">
        <v>44662</v>
      </c>
      <c r="M828" s="18">
        <v>44710</v>
      </c>
      <c r="N828" s="1"/>
      <c r="O828" s="19"/>
      <c r="P828" s="18">
        <v>44710</v>
      </c>
      <c r="Q828" s="19"/>
      <c r="R828" s="772"/>
      <c r="S828" s="18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12.75" customHeight="1">
      <c r="A829" s="15">
        <v>829</v>
      </c>
      <c r="B829" s="736" t="s">
        <v>1555</v>
      </c>
      <c r="C829" s="16" t="s">
        <v>2803</v>
      </c>
      <c r="D829" s="15" t="s">
        <v>3087</v>
      </c>
      <c r="E829" s="2" t="s">
        <v>3093</v>
      </c>
      <c r="F829" s="2" t="s">
        <v>3741</v>
      </c>
      <c r="G829" s="17">
        <v>2167590</v>
      </c>
      <c r="H829" s="96" t="s">
        <v>510</v>
      </c>
      <c r="I829" s="2" t="s">
        <v>2804</v>
      </c>
      <c r="J829" s="2"/>
      <c r="K829" s="18">
        <v>45079</v>
      </c>
      <c r="L829" s="18">
        <v>45079</v>
      </c>
      <c r="M829" s="18">
        <v>45107</v>
      </c>
      <c r="N829" s="1"/>
      <c r="O829" s="19"/>
      <c r="P829" s="18">
        <v>45107</v>
      </c>
      <c r="Q829" s="19"/>
      <c r="R829" s="772"/>
      <c r="S829" s="18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12.75" customHeight="1">
      <c r="A830" s="15">
        <v>830</v>
      </c>
      <c r="B830" s="736" t="s">
        <v>1555</v>
      </c>
      <c r="C830" s="16" t="s">
        <v>2989</v>
      </c>
      <c r="D830" s="15" t="s">
        <v>3087</v>
      </c>
      <c r="E830" s="2" t="s">
        <v>3097</v>
      </c>
      <c r="F830" s="2" t="s">
        <v>3742</v>
      </c>
      <c r="G830" s="17">
        <v>1852591</v>
      </c>
      <c r="H830" s="96" t="s">
        <v>830</v>
      </c>
      <c r="I830" s="2" t="s">
        <v>2990</v>
      </c>
      <c r="J830" s="2"/>
      <c r="K830" s="18">
        <v>45212</v>
      </c>
      <c r="L830" s="18">
        <v>45231</v>
      </c>
      <c r="M830" s="18">
        <v>45244</v>
      </c>
      <c r="N830" s="1"/>
      <c r="O830" s="19">
        <v>4200</v>
      </c>
      <c r="P830" s="18">
        <v>45244</v>
      </c>
      <c r="Q830" s="19"/>
      <c r="R830" s="772"/>
      <c r="S830" s="18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12.75" customHeight="1">
      <c r="A831" s="15">
        <v>831</v>
      </c>
      <c r="B831" s="736" t="s">
        <v>1555</v>
      </c>
      <c r="C831" s="16" t="s">
        <v>571</v>
      </c>
      <c r="D831" s="21" t="s">
        <v>3121</v>
      </c>
      <c r="E831" s="2" t="s">
        <v>3369</v>
      </c>
      <c r="F831" s="2" t="s">
        <v>3743</v>
      </c>
      <c r="G831" s="17">
        <v>1572377</v>
      </c>
      <c r="H831" s="2" t="s">
        <v>482</v>
      </c>
      <c r="I831" s="2" t="s">
        <v>572</v>
      </c>
      <c r="J831" s="2"/>
      <c r="K831" s="18">
        <v>44932</v>
      </c>
      <c r="L831" s="18">
        <v>44932</v>
      </c>
      <c r="M831" s="18">
        <v>45291</v>
      </c>
      <c r="N831" s="1">
        <v>7</v>
      </c>
      <c r="O831" s="19">
        <v>609827.9</v>
      </c>
      <c r="P831" s="18">
        <v>45291</v>
      </c>
      <c r="Q831" s="19"/>
      <c r="R831" s="772"/>
      <c r="S831" s="18"/>
      <c r="T831" s="2"/>
      <c r="U831" s="2"/>
      <c r="V831" s="2" t="s">
        <v>3091</v>
      </c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12.75" customHeight="1">
      <c r="A832" s="15">
        <v>832</v>
      </c>
      <c r="B832" s="736" t="s">
        <v>1555</v>
      </c>
      <c r="C832" s="16" t="s">
        <v>573</v>
      </c>
      <c r="D832" s="21" t="s">
        <v>3121</v>
      </c>
      <c r="E832" s="2" t="s">
        <v>3083</v>
      </c>
      <c r="F832" s="2" t="s">
        <v>3743</v>
      </c>
      <c r="G832" s="17">
        <v>1572377</v>
      </c>
      <c r="H832" s="2" t="s">
        <v>567</v>
      </c>
      <c r="I832" s="2" t="s">
        <v>574</v>
      </c>
      <c r="J832" s="2"/>
      <c r="K832" s="18">
        <v>44918</v>
      </c>
      <c r="L832" s="18">
        <v>44918</v>
      </c>
      <c r="M832" s="18">
        <v>45649</v>
      </c>
      <c r="N832" s="1">
        <v>1</v>
      </c>
      <c r="O832" s="19">
        <v>1000021.44</v>
      </c>
      <c r="P832" s="18">
        <v>45649</v>
      </c>
      <c r="Q832" s="19">
        <v>1000021.44</v>
      </c>
      <c r="R832" s="772" t="s">
        <v>575</v>
      </c>
      <c r="S832" s="18">
        <v>44935</v>
      </c>
      <c r="T832" s="2"/>
      <c r="U832" s="2"/>
      <c r="V832" s="2" t="s">
        <v>4625</v>
      </c>
      <c r="W832" s="2" t="s">
        <v>4625</v>
      </c>
      <c r="X832" s="46" t="s">
        <v>3744</v>
      </c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12.75" customHeight="1">
      <c r="A833" s="15">
        <v>833</v>
      </c>
      <c r="B833" s="738" t="s">
        <v>3086</v>
      </c>
      <c r="C833" s="16" t="s">
        <v>3</v>
      </c>
      <c r="D833" s="15" t="s">
        <v>3087</v>
      </c>
      <c r="E833" s="3" t="s">
        <v>3088</v>
      </c>
      <c r="F833" s="3" t="s">
        <v>3745</v>
      </c>
      <c r="G833" s="17">
        <v>1571010</v>
      </c>
      <c r="H833" s="2" t="s">
        <v>48</v>
      </c>
      <c r="I833" s="2" t="s">
        <v>4</v>
      </c>
      <c r="K833" s="18">
        <v>42752</v>
      </c>
      <c r="L833" s="18">
        <v>42752</v>
      </c>
      <c r="M833" s="18">
        <v>46403</v>
      </c>
      <c r="N833" s="1"/>
      <c r="O833" s="19">
        <v>23958</v>
      </c>
      <c r="P833" s="18">
        <v>46403</v>
      </c>
      <c r="Q833" s="19"/>
      <c r="R833" s="773"/>
      <c r="S833" s="18"/>
      <c r="T833" s="2"/>
      <c r="U833" s="2">
        <v>3</v>
      </c>
      <c r="V833" s="2" t="s">
        <v>4625</v>
      </c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12.75" customHeight="1">
      <c r="A834" s="15">
        <v>834</v>
      </c>
      <c r="B834" s="738" t="s">
        <v>3086</v>
      </c>
      <c r="C834" s="16" t="s">
        <v>84</v>
      </c>
      <c r="D834" s="15" t="s">
        <v>3087</v>
      </c>
      <c r="E834" s="3" t="s">
        <v>3132</v>
      </c>
      <c r="F834" s="3" t="s">
        <v>3745</v>
      </c>
      <c r="G834" s="17">
        <v>1571010</v>
      </c>
      <c r="H834" s="2" t="s">
        <v>48</v>
      </c>
      <c r="I834" s="2" t="s">
        <v>85</v>
      </c>
      <c r="K834" s="18">
        <v>43168</v>
      </c>
      <c r="L834" s="18">
        <v>43168</v>
      </c>
      <c r="M834" s="18">
        <v>46089</v>
      </c>
      <c r="N834" s="1"/>
      <c r="O834" s="19">
        <v>0</v>
      </c>
      <c r="P834" s="18">
        <v>46089</v>
      </c>
      <c r="Q834" s="19"/>
      <c r="R834" s="773"/>
      <c r="S834" s="18"/>
      <c r="T834" s="2"/>
      <c r="U834" s="2">
        <v>3</v>
      </c>
      <c r="V834" s="2" t="s">
        <v>4625</v>
      </c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12.75" customHeight="1">
      <c r="A835" s="15">
        <v>835</v>
      </c>
      <c r="B835" s="738" t="s">
        <v>3086</v>
      </c>
      <c r="C835" s="16" t="s">
        <v>1504</v>
      </c>
      <c r="D835" s="15" t="s">
        <v>3087</v>
      </c>
      <c r="E835" s="3" t="s">
        <v>3088</v>
      </c>
      <c r="F835" s="3" t="s">
        <v>3745</v>
      </c>
      <c r="G835" s="17">
        <v>1571010</v>
      </c>
      <c r="H835" s="2" t="s">
        <v>48</v>
      </c>
      <c r="I835" s="2" t="s">
        <v>1505</v>
      </c>
      <c r="J835" s="2" t="s">
        <v>1505</v>
      </c>
      <c r="K835" s="18">
        <v>42509</v>
      </c>
      <c r="L835" s="18">
        <v>42509</v>
      </c>
      <c r="M835" s="18">
        <v>46160</v>
      </c>
      <c r="N835" s="1"/>
      <c r="O835" s="19">
        <v>0</v>
      </c>
      <c r="P835" s="18">
        <v>46160</v>
      </c>
      <c r="Q835" s="19"/>
      <c r="R835" s="773"/>
      <c r="S835" s="18"/>
      <c r="T835" s="2"/>
      <c r="U835" s="2">
        <v>3</v>
      </c>
      <c r="V835" s="2" t="s">
        <v>4625</v>
      </c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12.75" customHeight="1">
      <c r="A836" s="15">
        <v>836</v>
      </c>
      <c r="B836" s="738" t="s">
        <v>3086</v>
      </c>
      <c r="C836" s="16" t="s">
        <v>1521</v>
      </c>
      <c r="D836" s="15" t="s">
        <v>3087</v>
      </c>
      <c r="E836" s="3" t="s">
        <v>3088</v>
      </c>
      <c r="F836" s="3" t="s">
        <v>3745</v>
      </c>
      <c r="G836" s="17">
        <v>1571010</v>
      </c>
      <c r="H836" s="2" t="s">
        <v>48</v>
      </c>
      <c r="I836" s="2" t="s">
        <v>1522</v>
      </c>
      <c r="J836" s="2" t="s">
        <v>1523</v>
      </c>
      <c r="K836" s="18">
        <v>42579</v>
      </c>
      <c r="L836" s="18">
        <v>42579</v>
      </c>
      <c r="M836" s="18">
        <v>46230</v>
      </c>
      <c r="N836" s="1"/>
      <c r="O836" s="19">
        <v>0</v>
      </c>
      <c r="P836" s="18">
        <v>46230</v>
      </c>
      <c r="Q836" s="19"/>
      <c r="R836" s="773"/>
      <c r="S836" s="18"/>
      <c r="T836" s="2"/>
      <c r="U836" s="2">
        <v>3</v>
      </c>
      <c r="V836" s="2" t="s">
        <v>4625</v>
      </c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12.75" customHeight="1">
      <c r="A837" s="15">
        <v>837</v>
      </c>
      <c r="B837" s="736" t="s">
        <v>1555</v>
      </c>
      <c r="C837" s="16" t="s">
        <v>468</v>
      </c>
      <c r="D837" s="15" t="s">
        <v>3087</v>
      </c>
      <c r="E837" s="2" t="s">
        <v>3093</v>
      </c>
      <c r="F837" s="3" t="s">
        <v>3745</v>
      </c>
      <c r="G837" s="17">
        <v>1571010</v>
      </c>
      <c r="H837" s="2" t="s">
        <v>467</v>
      </c>
      <c r="I837" s="2" t="s">
        <v>469</v>
      </c>
      <c r="J837" s="2"/>
      <c r="K837" s="18">
        <v>44739</v>
      </c>
      <c r="L837" s="18">
        <v>44739</v>
      </c>
      <c r="M837" s="18">
        <v>45742</v>
      </c>
      <c r="N837" s="1"/>
      <c r="O837" s="19">
        <v>24996</v>
      </c>
      <c r="P837" s="18">
        <v>45742</v>
      </c>
      <c r="Q837" s="19"/>
      <c r="R837" s="772"/>
      <c r="S837" s="18"/>
      <c r="T837" s="2"/>
      <c r="U837" s="2"/>
      <c r="V837" s="2" t="s">
        <v>4626</v>
      </c>
      <c r="W837" s="2"/>
      <c r="X837" s="2"/>
      <c r="Y837" s="2" t="s">
        <v>4744</v>
      </c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12.75" customHeight="1">
      <c r="A838" s="15">
        <v>838</v>
      </c>
      <c r="B838" s="736" t="s">
        <v>3086</v>
      </c>
      <c r="C838" s="16" t="s">
        <v>356</v>
      </c>
      <c r="D838" s="15" t="s">
        <v>4667</v>
      </c>
      <c r="E838" s="2" t="s">
        <v>3088</v>
      </c>
      <c r="F838" s="3" t="s">
        <v>3745</v>
      </c>
      <c r="G838" s="17">
        <v>1571010</v>
      </c>
      <c r="H838" s="2" t="s">
        <v>48</v>
      </c>
      <c r="I838" s="2" t="s">
        <v>357</v>
      </c>
      <c r="J838" s="2"/>
      <c r="K838" s="18">
        <v>44530</v>
      </c>
      <c r="L838" s="18">
        <v>44530</v>
      </c>
      <c r="M838" s="18">
        <v>45990</v>
      </c>
      <c r="N838" s="1"/>
      <c r="O838" s="19">
        <v>0</v>
      </c>
      <c r="P838" s="18">
        <v>45990</v>
      </c>
      <c r="Q838" s="19"/>
      <c r="R838" s="772"/>
      <c r="S838" s="18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12.75" customHeight="1">
      <c r="A839" s="15">
        <v>839</v>
      </c>
      <c r="B839" s="736" t="s">
        <v>1555</v>
      </c>
      <c r="C839" s="16" t="s">
        <v>797</v>
      </c>
      <c r="D839" s="15" t="s">
        <v>3087</v>
      </c>
      <c r="E839" s="2" t="s">
        <v>3093</v>
      </c>
      <c r="F839" s="3" t="s">
        <v>3745</v>
      </c>
      <c r="G839" s="17">
        <v>1571010</v>
      </c>
      <c r="H839" s="96" t="s">
        <v>510</v>
      </c>
      <c r="I839" s="2" t="s">
        <v>798</v>
      </c>
      <c r="J839" s="2"/>
      <c r="K839" s="18">
        <v>45254</v>
      </c>
      <c r="L839" s="18">
        <v>45254</v>
      </c>
      <c r="M839" s="18">
        <v>45626</v>
      </c>
      <c r="N839" s="1"/>
      <c r="O839" s="19">
        <v>1224000</v>
      </c>
      <c r="P839" s="18">
        <v>45626</v>
      </c>
      <c r="Q839" s="19">
        <v>1224000</v>
      </c>
      <c r="R839" s="772" t="s">
        <v>799</v>
      </c>
      <c r="S839" s="18">
        <v>45254</v>
      </c>
      <c r="T839" s="2"/>
      <c r="U839" s="2">
        <v>6</v>
      </c>
      <c r="V839" s="2" t="s">
        <v>4625</v>
      </c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12.75" customHeight="1">
      <c r="A840" s="15">
        <v>840</v>
      </c>
      <c r="B840" s="736" t="s">
        <v>1555</v>
      </c>
      <c r="C840" s="16" t="s">
        <v>2382</v>
      </c>
      <c r="D840" s="20" t="s">
        <v>3087</v>
      </c>
      <c r="E840" s="2" t="s">
        <v>3092</v>
      </c>
      <c r="F840" s="3" t="s">
        <v>3745</v>
      </c>
      <c r="G840" s="17">
        <v>1571010</v>
      </c>
      <c r="H840" s="2" t="s">
        <v>592</v>
      </c>
      <c r="I840" s="2" t="s">
        <v>2383</v>
      </c>
      <c r="J840" s="2"/>
      <c r="K840" s="18">
        <v>44847</v>
      </c>
      <c r="L840" s="18">
        <v>44847</v>
      </c>
      <c r="M840" s="18">
        <v>44926</v>
      </c>
      <c r="N840" s="1"/>
      <c r="O840" s="19"/>
      <c r="P840" s="18">
        <v>44926</v>
      </c>
      <c r="Q840" s="19"/>
      <c r="R840" s="772"/>
      <c r="S840" s="18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12.75" customHeight="1">
      <c r="A841" s="15">
        <v>841</v>
      </c>
      <c r="B841" s="736" t="s">
        <v>1555</v>
      </c>
      <c r="C841" s="16" t="s">
        <v>636</v>
      </c>
      <c r="D841" s="15" t="s">
        <v>3094</v>
      </c>
      <c r="E841" s="3" t="s">
        <v>3095</v>
      </c>
      <c r="F841" s="2" t="s">
        <v>3746</v>
      </c>
      <c r="G841" s="17">
        <v>1549855</v>
      </c>
      <c r="H841" s="2" t="s">
        <v>189</v>
      </c>
      <c r="I841" s="2" t="s">
        <v>637</v>
      </c>
      <c r="J841" s="2"/>
      <c r="K841" s="18">
        <v>44937</v>
      </c>
      <c r="L841" s="18">
        <v>44937</v>
      </c>
      <c r="M841" s="18">
        <v>45649</v>
      </c>
      <c r="N841" s="1"/>
      <c r="O841" s="19">
        <v>60000</v>
      </c>
      <c r="P841" s="18">
        <v>45649</v>
      </c>
      <c r="Q841" s="19">
        <v>60000</v>
      </c>
      <c r="R841" s="772" t="s">
        <v>638</v>
      </c>
      <c r="S841" s="18">
        <v>44965</v>
      </c>
      <c r="T841" s="2"/>
      <c r="U841" s="105">
        <v>3</v>
      </c>
      <c r="V841" s="2"/>
      <c r="W841" s="2" t="s">
        <v>4625</v>
      </c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12.75" customHeight="1">
      <c r="A842" s="15">
        <v>842</v>
      </c>
      <c r="B842" s="738" t="s">
        <v>1555</v>
      </c>
      <c r="C842" s="16" t="s">
        <v>190</v>
      </c>
      <c r="D842" s="15" t="s">
        <v>3094</v>
      </c>
      <c r="E842" s="3" t="s">
        <v>3095</v>
      </c>
      <c r="F842" s="3" t="s">
        <v>4692</v>
      </c>
      <c r="G842" s="17">
        <v>1472496</v>
      </c>
      <c r="H842" s="2" t="s">
        <v>189</v>
      </c>
      <c r="I842" s="2" t="s">
        <v>191</v>
      </c>
      <c r="J842" s="2" t="s">
        <v>192</v>
      </c>
      <c r="K842" s="18">
        <v>43634</v>
      </c>
      <c r="L842" s="18">
        <v>43647</v>
      </c>
      <c r="M842" s="80">
        <v>45838</v>
      </c>
      <c r="N842" s="1"/>
      <c r="O842" s="19">
        <v>1</v>
      </c>
      <c r="P842" s="18">
        <v>45838</v>
      </c>
      <c r="Q842" s="19">
        <v>1</v>
      </c>
      <c r="R842" s="772" t="s">
        <v>193</v>
      </c>
      <c r="S842" s="18">
        <v>43634</v>
      </c>
      <c r="T842" s="2"/>
      <c r="U842" s="105">
        <v>3</v>
      </c>
      <c r="V842" s="2"/>
      <c r="W842" s="2" t="s">
        <v>4625</v>
      </c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12.75" customHeight="1">
      <c r="A843" s="15">
        <v>843</v>
      </c>
      <c r="B843" s="736" t="s">
        <v>1555</v>
      </c>
      <c r="C843" s="16" t="s">
        <v>1795</v>
      </c>
      <c r="D843" s="20" t="s">
        <v>3087</v>
      </c>
      <c r="E843" s="2" t="s">
        <v>3097</v>
      </c>
      <c r="F843" s="2" t="s">
        <v>3747</v>
      </c>
      <c r="G843" s="17">
        <v>1402536</v>
      </c>
      <c r="H843" s="96" t="s">
        <v>830</v>
      </c>
      <c r="I843" s="2" t="s">
        <v>1796</v>
      </c>
      <c r="J843" s="2"/>
      <c r="K843" s="18">
        <v>44445</v>
      </c>
      <c r="L843" s="18">
        <v>44445</v>
      </c>
      <c r="M843" s="18">
        <v>44592</v>
      </c>
      <c r="N843" s="1"/>
      <c r="O843" s="19">
        <v>1</v>
      </c>
      <c r="P843" s="18">
        <v>44592</v>
      </c>
      <c r="Q843" s="19"/>
      <c r="R843" s="772"/>
      <c r="S843" s="18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12.75" customHeight="1">
      <c r="A844" s="15">
        <v>844</v>
      </c>
      <c r="B844" s="736" t="s">
        <v>1555</v>
      </c>
      <c r="C844" s="16" t="s">
        <v>2867</v>
      </c>
      <c r="D844" s="20" t="s">
        <v>3087</v>
      </c>
      <c r="E844" s="2" t="s">
        <v>3093</v>
      </c>
      <c r="F844" s="2" t="s">
        <v>3748</v>
      </c>
      <c r="G844" s="17">
        <v>1323741</v>
      </c>
      <c r="H844" s="96" t="s">
        <v>510</v>
      </c>
      <c r="I844" s="2" t="s">
        <v>2868</v>
      </c>
      <c r="J844" s="2"/>
      <c r="K844" s="18">
        <v>45117</v>
      </c>
      <c r="L844" s="18">
        <v>45117</v>
      </c>
      <c r="M844" s="18">
        <v>45169</v>
      </c>
      <c r="N844" s="1"/>
      <c r="O844" s="19"/>
      <c r="P844" s="18">
        <v>45169</v>
      </c>
      <c r="Q844" s="19"/>
      <c r="R844" s="772"/>
      <c r="S844" s="18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12.75" customHeight="1">
      <c r="A845" s="15">
        <v>845</v>
      </c>
      <c r="B845" s="736" t="s">
        <v>3086</v>
      </c>
      <c r="C845" s="16" t="s">
        <v>712</v>
      </c>
      <c r="D845" s="15" t="s">
        <v>3094</v>
      </c>
      <c r="E845" s="3" t="s">
        <v>3095</v>
      </c>
      <c r="F845" s="2" t="s">
        <v>3749</v>
      </c>
      <c r="G845" s="17">
        <v>1129490</v>
      </c>
      <c r="H845" s="2" t="s">
        <v>100</v>
      </c>
      <c r="I845" s="2" t="s">
        <v>713</v>
      </c>
      <c r="J845" s="2"/>
      <c r="K845" s="18">
        <v>45048</v>
      </c>
      <c r="L845" s="18">
        <v>45048</v>
      </c>
      <c r="M845" s="18">
        <v>46509</v>
      </c>
      <c r="N845" s="1"/>
      <c r="O845" s="19">
        <v>0</v>
      </c>
      <c r="P845" s="18">
        <v>46509</v>
      </c>
      <c r="Q845" s="19">
        <v>0</v>
      </c>
      <c r="R845" s="772" t="s">
        <v>714</v>
      </c>
      <c r="S845" s="18">
        <v>45048</v>
      </c>
      <c r="T845" s="2"/>
      <c r="U845" s="105">
        <v>3</v>
      </c>
      <c r="V845" s="2"/>
      <c r="W845" s="2" t="s">
        <v>4625</v>
      </c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12.75" customHeight="1">
      <c r="A846" s="15">
        <v>846</v>
      </c>
      <c r="B846" s="736" t="s">
        <v>1555</v>
      </c>
      <c r="C846" s="16" t="s">
        <v>1842</v>
      </c>
      <c r="D846" s="20" t="s">
        <v>3087</v>
      </c>
      <c r="E846" s="2" t="s">
        <v>3097</v>
      </c>
      <c r="F846" s="15" t="s">
        <v>3750</v>
      </c>
      <c r="G846" s="17">
        <v>965908</v>
      </c>
      <c r="H846" s="96" t="s">
        <v>830</v>
      </c>
      <c r="I846" s="2" t="s">
        <v>1843</v>
      </c>
      <c r="J846" s="2"/>
      <c r="K846" s="18">
        <v>44454</v>
      </c>
      <c r="L846" s="18">
        <v>44089</v>
      </c>
      <c r="M846" s="18">
        <v>44742</v>
      </c>
      <c r="N846" s="1"/>
      <c r="O846" s="19"/>
      <c r="P846" s="18">
        <v>44742</v>
      </c>
      <c r="Q846" s="19"/>
      <c r="R846" s="772"/>
      <c r="S846" s="18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12.75" customHeight="1">
      <c r="A847" s="15">
        <v>847</v>
      </c>
      <c r="B847" s="736" t="s">
        <v>1555</v>
      </c>
      <c r="C847" s="16" t="s">
        <v>1874</v>
      </c>
      <c r="D847" s="20" t="s">
        <v>3087</v>
      </c>
      <c r="E847" s="2" t="s">
        <v>3162</v>
      </c>
      <c r="F847" s="15" t="s">
        <v>3751</v>
      </c>
      <c r="G847" s="17">
        <v>960209</v>
      </c>
      <c r="H847" s="96" t="s">
        <v>830</v>
      </c>
      <c r="I847" s="2" t="s">
        <v>1875</v>
      </c>
      <c r="J847" s="2"/>
      <c r="K847" s="18">
        <v>44508</v>
      </c>
      <c r="L847" s="18">
        <v>44508</v>
      </c>
      <c r="M847" s="18">
        <v>44742</v>
      </c>
      <c r="N847" s="1"/>
      <c r="O847" s="19">
        <v>0</v>
      </c>
      <c r="P847" s="18">
        <v>44742</v>
      </c>
      <c r="Q847" s="19"/>
      <c r="R847" s="772"/>
      <c r="S847" s="18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12.75" customHeight="1">
      <c r="A848" s="15">
        <v>848</v>
      </c>
      <c r="B848" s="736" t="s">
        <v>1555</v>
      </c>
      <c r="C848" s="16" t="s">
        <v>2232</v>
      </c>
      <c r="D848" s="20" t="s">
        <v>3087</v>
      </c>
      <c r="E848" s="2" t="s">
        <v>3097</v>
      </c>
      <c r="F848" s="15" t="s">
        <v>3751</v>
      </c>
      <c r="G848" s="17">
        <v>960209</v>
      </c>
      <c r="H848" s="96" t="s">
        <v>830</v>
      </c>
      <c r="I848" s="2" t="s">
        <v>2233</v>
      </c>
      <c r="J848" s="2"/>
      <c r="K848" s="18">
        <v>44764</v>
      </c>
      <c r="L848" s="18">
        <v>44764</v>
      </c>
      <c r="M848" s="18">
        <v>45199</v>
      </c>
      <c r="N848" s="1"/>
      <c r="O848" s="19"/>
      <c r="P848" s="18">
        <v>45199</v>
      </c>
      <c r="Q848" s="19"/>
      <c r="R848" s="772"/>
      <c r="S848" s="18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12.75" customHeight="1">
      <c r="A849" s="15">
        <v>849</v>
      </c>
      <c r="B849" s="736" t="s">
        <v>1555</v>
      </c>
      <c r="C849" s="16" t="s">
        <v>1715</v>
      </c>
      <c r="D849" s="20" t="s">
        <v>3087</v>
      </c>
      <c r="E849" s="2" t="s">
        <v>3162</v>
      </c>
      <c r="F849" s="15" t="s">
        <v>3752</v>
      </c>
      <c r="G849" s="17">
        <v>925805</v>
      </c>
      <c r="H849" s="96" t="s">
        <v>830</v>
      </c>
      <c r="I849" s="2" t="s">
        <v>1716</v>
      </c>
      <c r="J849" s="2"/>
      <c r="K849" s="18">
        <v>44375</v>
      </c>
      <c r="L849" s="18">
        <v>44378</v>
      </c>
      <c r="M849" s="18">
        <v>44561</v>
      </c>
      <c r="N849" s="1"/>
      <c r="O849" s="19">
        <v>2450</v>
      </c>
      <c r="P849" s="18">
        <v>44561</v>
      </c>
      <c r="Q849" s="19"/>
      <c r="R849" s="772"/>
      <c r="S849" s="18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12.75" customHeight="1">
      <c r="A850" s="15">
        <v>850</v>
      </c>
      <c r="B850" s="738" t="s">
        <v>1555</v>
      </c>
      <c r="C850" s="16" t="s">
        <v>87</v>
      </c>
      <c r="D850" s="20" t="s">
        <v>3087</v>
      </c>
      <c r="E850" s="3" t="s">
        <v>3162</v>
      </c>
      <c r="F850" s="15" t="s">
        <v>3753</v>
      </c>
      <c r="G850" s="17">
        <v>885705</v>
      </c>
      <c r="H850" s="96" t="s">
        <v>830</v>
      </c>
      <c r="I850" s="2" t="s">
        <v>88</v>
      </c>
      <c r="K850" s="18">
        <v>43164</v>
      </c>
      <c r="L850" s="18">
        <v>43160</v>
      </c>
      <c r="M850" s="18">
        <v>43465</v>
      </c>
      <c r="N850" s="1"/>
      <c r="O850" s="19">
        <v>0</v>
      </c>
      <c r="P850" s="18">
        <v>43465</v>
      </c>
      <c r="Q850" s="19"/>
      <c r="R850" s="773"/>
      <c r="S850" s="18"/>
      <c r="T850" s="2"/>
      <c r="U850" s="2"/>
      <c r="V850" s="2" t="s">
        <v>3091</v>
      </c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12.75" customHeight="1">
      <c r="A851" s="15">
        <v>851</v>
      </c>
      <c r="B851" s="736" t="s">
        <v>1555</v>
      </c>
      <c r="C851" s="16" t="s">
        <v>2112</v>
      </c>
      <c r="D851" s="20" t="s">
        <v>3087</v>
      </c>
      <c r="E851" s="2" t="s">
        <v>3162</v>
      </c>
      <c r="F851" s="15" t="s">
        <v>3754</v>
      </c>
      <c r="G851" s="17">
        <v>880312</v>
      </c>
      <c r="H851" s="96" t="s">
        <v>830</v>
      </c>
      <c r="I851" s="2" t="s">
        <v>2113</v>
      </c>
      <c r="J851" s="2"/>
      <c r="K851" s="18">
        <v>44679</v>
      </c>
      <c r="L851" s="18">
        <v>44679</v>
      </c>
      <c r="M851" s="18">
        <v>44804</v>
      </c>
      <c r="N851" s="1"/>
      <c r="O851" s="19">
        <v>5000</v>
      </c>
      <c r="P851" s="18">
        <v>44804</v>
      </c>
      <c r="Q851" s="19"/>
      <c r="R851" s="772"/>
      <c r="S851" s="18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12.75" customHeight="1">
      <c r="A852" s="15">
        <v>852</v>
      </c>
      <c r="B852" s="736" t="s">
        <v>1555</v>
      </c>
      <c r="C852" s="16" t="s">
        <v>327</v>
      </c>
      <c r="D852" s="2"/>
      <c r="E852" s="96" t="s">
        <v>5143</v>
      </c>
      <c r="F852" s="15" t="s">
        <v>3755</v>
      </c>
      <c r="G852" s="17">
        <v>875415</v>
      </c>
      <c r="H852" s="2" t="s">
        <v>1729</v>
      </c>
      <c r="I852" s="2" t="s">
        <v>328</v>
      </c>
      <c r="J852" s="2"/>
      <c r="K852" s="18">
        <v>44363</v>
      </c>
      <c r="L852" s="18">
        <v>44363</v>
      </c>
      <c r="M852" s="18">
        <v>44363</v>
      </c>
      <c r="N852" s="1">
        <v>7</v>
      </c>
      <c r="O852" s="19">
        <v>0</v>
      </c>
      <c r="P852" s="18">
        <v>44363</v>
      </c>
      <c r="Q852" s="19"/>
      <c r="R852" s="772"/>
      <c r="S852" s="18"/>
      <c r="T852" s="2"/>
      <c r="U852" s="2"/>
      <c r="V852" s="2" t="s">
        <v>3091</v>
      </c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12.75" customHeight="1">
      <c r="A853" s="15">
        <v>853</v>
      </c>
      <c r="B853" s="738" t="s">
        <v>3086</v>
      </c>
      <c r="C853" s="16" t="s">
        <v>146</v>
      </c>
      <c r="D853" s="15" t="s">
        <v>3087</v>
      </c>
      <c r="E853" s="3" t="s">
        <v>3142</v>
      </c>
      <c r="F853" s="15" t="s">
        <v>3756</v>
      </c>
      <c r="G853" s="17">
        <v>875295</v>
      </c>
      <c r="H853" s="2" t="s">
        <v>118</v>
      </c>
      <c r="I853" s="2" t="s">
        <v>120</v>
      </c>
      <c r="K853" s="18">
        <v>43413</v>
      </c>
      <c r="L853" s="18">
        <v>43413</v>
      </c>
      <c r="M853" s="18">
        <v>2958465</v>
      </c>
      <c r="N853" s="1"/>
      <c r="O853" s="19">
        <v>0</v>
      </c>
      <c r="P853" s="18">
        <v>2958465</v>
      </c>
      <c r="Q853" s="19"/>
      <c r="R853" s="773"/>
      <c r="S853" s="18"/>
      <c r="T853" s="2"/>
      <c r="U853" s="2">
        <v>3</v>
      </c>
      <c r="V853" s="2"/>
      <c r="W853" s="2"/>
      <c r="X853" s="2"/>
      <c r="Y853" s="2" t="s">
        <v>4741</v>
      </c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12.75" customHeight="1">
      <c r="A854" s="15">
        <v>854</v>
      </c>
      <c r="B854" s="736" t="s">
        <v>1555</v>
      </c>
      <c r="C854" s="16" t="s">
        <v>2386</v>
      </c>
      <c r="D854" s="20" t="s">
        <v>3087</v>
      </c>
      <c r="E854" s="2" t="s">
        <v>3092</v>
      </c>
      <c r="F854" s="15" t="s">
        <v>3757</v>
      </c>
      <c r="G854" s="17">
        <v>874680</v>
      </c>
      <c r="H854" s="2" t="s">
        <v>592</v>
      </c>
      <c r="I854" s="2" t="s">
        <v>2387</v>
      </c>
      <c r="J854" s="2"/>
      <c r="K854" s="18">
        <v>44841</v>
      </c>
      <c r="L854" s="18">
        <v>44841</v>
      </c>
      <c r="M854" s="18">
        <v>44963</v>
      </c>
      <c r="N854" s="1"/>
      <c r="O854" s="19"/>
      <c r="P854" s="18">
        <v>44963</v>
      </c>
      <c r="Q854" s="19"/>
      <c r="R854" s="772"/>
      <c r="S854" s="18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12.75" customHeight="1">
      <c r="A855" s="15">
        <v>855</v>
      </c>
      <c r="B855" s="738" t="s">
        <v>3086</v>
      </c>
      <c r="C855" s="16" t="s">
        <v>1060</v>
      </c>
      <c r="D855" s="15" t="s">
        <v>3087</v>
      </c>
      <c r="E855" s="3" t="s">
        <v>3142</v>
      </c>
      <c r="F855" s="15" t="s">
        <v>3758</v>
      </c>
      <c r="G855" s="17">
        <v>873764</v>
      </c>
      <c r="H855" s="2" t="s">
        <v>118</v>
      </c>
      <c r="I855" s="2" t="s">
        <v>1061</v>
      </c>
      <c r="J855" s="2" t="s">
        <v>1062</v>
      </c>
      <c r="K855" s="18">
        <v>38777</v>
      </c>
      <c r="L855" s="18">
        <v>38777</v>
      </c>
      <c r="M855" s="18">
        <v>2958465</v>
      </c>
      <c r="N855" s="1"/>
      <c r="O855" s="19">
        <v>0</v>
      </c>
      <c r="P855" s="18">
        <v>2958465</v>
      </c>
      <c r="Q855" s="19"/>
      <c r="R855" s="773"/>
      <c r="S855" s="18"/>
      <c r="T855" s="2"/>
      <c r="U855" s="2">
        <v>3</v>
      </c>
      <c r="V855" s="2"/>
      <c r="W855" s="2"/>
      <c r="X855" s="25" t="s">
        <v>3209</v>
      </c>
      <c r="Y855" s="2"/>
      <c r="AA855" s="2"/>
      <c r="AB855" s="2"/>
      <c r="AC855" s="2"/>
      <c r="AD855" s="2"/>
      <c r="AE855" s="2" t="s">
        <v>4741</v>
      </c>
      <c r="AF855" s="2"/>
      <c r="AG855" s="2"/>
      <c r="AH855" s="2"/>
      <c r="AI855" s="2"/>
      <c r="AJ855" s="2"/>
      <c r="AK855" s="2"/>
      <c r="AL855" s="2"/>
    </row>
    <row r="856" spans="1:38" ht="12.75" customHeight="1">
      <c r="A856" s="15">
        <v>856</v>
      </c>
      <c r="B856" s="738" t="s">
        <v>3086</v>
      </c>
      <c r="C856" s="16" t="s">
        <v>1276</v>
      </c>
      <c r="D856" s="21" t="s">
        <v>3110</v>
      </c>
      <c r="E856" s="3" t="s">
        <v>3233</v>
      </c>
      <c r="F856" s="3" t="s">
        <v>3758</v>
      </c>
      <c r="G856" s="17">
        <v>873764</v>
      </c>
      <c r="H856" s="2" t="s">
        <v>250</v>
      </c>
      <c r="I856" s="2" t="s">
        <v>1277</v>
      </c>
      <c r="J856" s="2" t="s">
        <v>1278</v>
      </c>
      <c r="K856" s="18">
        <v>41453</v>
      </c>
      <c r="L856" s="18">
        <v>41453</v>
      </c>
      <c r="M856" s="18">
        <v>46203</v>
      </c>
      <c r="N856" s="1">
        <v>1</v>
      </c>
      <c r="O856" s="19">
        <v>674822</v>
      </c>
      <c r="P856" s="18">
        <v>46203</v>
      </c>
      <c r="Q856" s="19"/>
      <c r="R856" s="773"/>
      <c r="S856" s="18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12.75" customHeight="1">
      <c r="A857" s="15">
        <v>857</v>
      </c>
      <c r="B857" s="738" t="s">
        <v>3086</v>
      </c>
      <c r="C857" s="16" t="s">
        <v>145</v>
      </c>
      <c r="D857" s="15" t="s">
        <v>3087</v>
      </c>
      <c r="E857" s="3" t="s">
        <v>3142</v>
      </c>
      <c r="F857" s="15" t="s">
        <v>3758</v>
      </c>
      <c r="G857" s="17">
        <v>873764</v>
      </c>
      <c r="H857" s="2" t="s">
        <v>118</v>
      </c>
      <c r="I857" s="2" t="s">
        <v>120</v>
      </c>
      <c r="K857" s="18">
        <v>43413</v>
      </c>
      <c r="L857" s="18">
        <v>43413</v>
      </c>
      <c r="M857" s="18">
        <v>2958465</v>
      </c>
      <c r="N857" s="1"/>
      <c r="O857" s="19">
        <v>0</v>
      </c>
      <c r="P857" s="18">
        <v>2958465</v>
      </c>
      <c r="Q857" s="19"/>
      <c r="R857" s="773"/>
      <c r="S857" s="18"/>
      <c r="T857" s="2"/>
      <c r="U857" s="2">
        <v>3</v>
      </c>
      <c r="V857" s="2"/>
      <c r="W857" s="2"/>
      <c r="X857" s="2"/>
      <c r="Y857" s="2" t="s">
        <v>4741</v>
      </c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12.75" customHeight="1">
      <c r="A858" s="15">
        <v>858</v>
      </c>
      <c r="B858" s="736" t="s">
        <v>1555</v>
      </c>
      <c r="C858" s="16" t="s">
        <v>2284</v>
      </c>
      <c r="D858" s="20" t="s">
        <v>3087</v>
      </c>
      <c r="E858" s="2" t="s">
        <v>3097</v>
      </c>
      <c r="F858" s="15" t="s">
        <v>3759</v>
      </c>
      <c r="G858" s="17">
        <v>843989</v>
      </c>
      <c r="H858" s="96" t="s">
        <v>830</v>
      </c>
      <c r="I858" s="2" t="s">
        <v>2285</v>
      </c>
      <c r="J858" s="2"/>
      <c r="K858" s="18">
        <v>44811</v>
      </c>
      <c r="L858" s="18">
        <v>44811</v>
      </c>
      <c r="M858" s="18">
        <v>44895</v>
      </c>
      <c r="N858" s="1"/>
      <c r="O858" s="19">
        <v>1452</v>
      </c>
      <c r="P858" s="18">
        <v>44895</v>
      </c>
      <c r="Q858" s="19"/>
      <c r="R858" s="772"/>
      <c r="S858" s="18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12.75" customHeight="1">
      <c r="A859" s="15">
        <v>859</v>
      </c>
      <c r="B859" s="736" t="s">
        <v>1555</v>
      </c>
      <c r="C859" s="16" t="s">
        <v>507</v>
      </c>
      <c r="D859" s="20" t="s">
        <v>3087</v>
      </c>
      <c r="E859" s="2" t="s">
        <v>3097</v>
      </c>
      <c r="F859" s="15" t="s">
        <v>3760</v>
      </c>
      <c r="G859" s="17">
        <v>829013</v>
      </c>
      <c r="H859" s="2" t="s">
        <v>506</v>
      </c>
      <c r="I859" s="2" t="s">
        <v>508</v>
      </c>
      <c r="J859" s="2"/>
      <c r="K859" s="18">
        <v>44817</v>
      </c>
      <c r="L859" s="18">
        <v>44817</v>
      </c>
      <c r="M859" s="18">
        <v>45657</v>
      </c>
      <c r="N859" s="1"/>
      <c r="O859" s="19">
        <v>240000</v>
      </c>
      <c r="P859" s="18">
        <v>45657</v>
      </c>
      <c r="Q859" s="19">
        <v>240000</v>
      </c>
      <c r="R859" s="772" t="s">
        <v>509</v>
      </c>
      <c r="S859" s="18">
        <v>44817</v>
      </c>
      <c r="T859" s="2"/>
      <c r="U859" s="2">
        <v>3</v>
      </c>
      <c r="V859" s="2" t="s">
        <v>4625</v>
      </c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12.75" customHeight="1">
      <c r="A860" s="15">
        <v>860</v>
      </c>
      <c r="B860" s="736" t="s">
        <v>1555</v>
      </c>
      <c r="C860" s="16" t="s">
        <v>2278</v>
      </c>
      <c r="D860" s="20" t="s">
        <v>3087</v>
      </c>
      <c r="E860" s="2" t="s">
        <v>3097</v>
      </c>
      <c r="F860" s="15" t="s">
        <v>3761</v>
      </c>
      <c r="G860" s="17">
        <v>790417</v>
      </c>
      <c r="H860" s="96" t="s">
        <v>830</v>
      </c>
      <c r="I860" s="2" t="s">
        <v>2279</v>
      </c>
      <c r="J860" s="2"/>
      <c r="K860" s="18">
        <v>44791</v>
      </c>
      <c r="L860" s="18">
        <v>44791</v>
      </c>
      <c r="M860" s="18">
        <v>44963</v>
      </c>
      <c r="N860" s="1"/>
      <c r="O860" s="19"/>
      <c r="P860" s="18">
        <v>44963</v>
      </c>
      <c r="Q860" s="19"/>
      <c r="R860" s="772"/>
      <c r="S860" s="18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12.75" customHeight="1">
      <c r="A861" s="15">
        <v>861</v>
      </c>
      <c r="B861" s="736" t="s">
        <v>3086</v>
      </c>
      <c r="C861" s="16" t="s">
        <v>1337</v>
      </c>
      <c r="D861" s="2" t="s">
        <v>3127</v>
      </c>
      <c r="E861" s="2" t="s">
        <v>3128</v>
      </c>
      <c r="F861" s="15" t="s">
        <v>3762</v>
      </c>
      <c r="G861" s="17">
        <v>639966</v>
      </c>
      <c r="H861" s="2" t="s">
        <v>48</v>
      </c>
      <c r="I861" s="2" t="s">
        <v>1338</v>
      </c>
      <c r="J861" s="2" t="s">
        <v>1314</v>
      </c>
      <c r="K861" s="18">
        <v>41796</v>
      </c>
      <c r="L861" s="18">
        <v>41796</v>
      </c>
      <c r="M861" s="18">
        <v>46543</v>
      </c>
      <c r="N861" s="1"/>
      <c r="O861" s="19">
        <v>0</v>
      </c>
      <c r="P861" s="18">
        <v>46543</v>
      </c>
      <c r="Q861" s="19"/>
      <c r="R861" s="772"/>
      <c r="S861" s="18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12.75" customHeight="1">
      <c r="A862" s="15">
        <v>862</v>
      </c>
      <c r="B862" s="738" t="s">
        <v>3086</v>
      </c>
      <c r="C862" s="16" t="s">
        <v>155</v>
      </c>
      <c r="D862" s="21" t="s">
        <v>3110</v>
      </c>
      <c r="E862" s="3" t="s">
        <v>3233</v>
      </c>
      <c r="F862" s="15" t="s">
        <v>3762</v>
      </c>
      <c r="G862" s="17">
        <v>639966</v>
      </c>
      <c r="H862" s="2" t="s">
        <v>250</v>
      </c>
      <c r="I862" s="2" t="s">
        <v>156</v>
      </c>
      <c r="J862" s="2" t="s">
        <v>157</v>
      </c>
      <c r="K862" s="18">
        <v>43446</v>
      </c>
      <c r="L862" s="18">
        <v>43446</v>
      </c>
      <c r="M862" s="18">
        <v>47098</v>
      </c>
      <c r="N862" s="1">
        <v>1</v>
      </c>
      <c r="O862" s="19">
        <v>2400000</v>
      </c>
      <c r="P862" s="18">
        <v>47098</v>
      </c>
      <c r="Q862" s="19">
        <v>2400000</v>
      </c>
      <c r="R862" s="772" t="s">
        <v>6025</v>
      </c>
      <c r="S862" s="18" t="s">
        <v>6026</v>
      </c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12.75" customHeight="1">
      <c r="A863" s="15">
        <v>863</v>
      </c>
      <c r="B863" s="736" t="s">
        <v>3086</v>
      </c>
      <c r="C863" s="16" t="s">
        <v>15</v>
      </c>
      <c r="D863" s="2" t="s">
        <v>3127</v>
      </c>
      <c r="E863" s="2" t="s">
        <v>3128</v>
      </c>
      <c r="F863" s="15" t="s">
        <v>3763</v>
      </c>
      <c r="G863" s="17">
        <v>639869</v>
      </c>
      <c r="H863" s="2" t="s">
        <v>48</v>
      </c>
      <c r="I863" s="2" t="s">
        <v>16</v>
      </c>
      <c r="J863" s="2"/>
      <c r="K863" s="18">
        <v>42781</v>
      </c>
      <c r="L863" s="18">
        <v>42781</v>
      </c>
      <c r="M863" s="18">
        <v>46432</v>
      </c>
      <c r="N863" s="1"/>
      <c r="O863" s="19">
        <v>39990.5</v>
      </c>
      <c r="P863" s="18">
        <v>46432</v>
      </c>
      <c r="Q863" s="19"/>
      <c r="R863" s="772"/>
      <c r="S863" s="18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12.75" customHeight="1">
      <c r="A864" s="15">
        <v>864</v>
      </c>
      <c r="B864" s="738" t="s">
        <v>3086</v>
      </c>
      <c r="C864" s="16" t="s">
        <v>984</v>
      </c>
      <c r="D864" s="15" t="s">
        <v>3087</v>
      </c>
      <c r="E864" s="3" t="s">
        <v>3142</v>
      </c>
      <c r="F864" s="15" t="s">
        <v>3764</v>
      </c>
      <c r="G864" s="17">
        <v>638927</v>
      </c>
      <c r="H864" s="2" t="s">
        <v>118</v>
      </c>
      <c r="I864" s="2" t="s">
        <v>985</v>
      </c>
      <c r="J864" s="2" t="s">
        <v>986</v>
      </c>
      <c r="K864" s="18">
        <v>36987</v>
      </c>
      <c r="L864" s="18">
        <v>36987</v>
      </c>
      <c r="M864" s="18">
        <v>2958465</v>
      </c>
      <c r="N864" s="1"/>
      <c r="O864" s="19">
        <v>0</v>
      </c>
      <c r="P864" s="18">
        <v>2958465</v>
      </c>
      <c r="Q864" s="19"/>
      <c r="R864" s="773"/>
      <c r="S864" s="18"/>
      <c r="T864" s="2"/>
      <c r="U864" s="2">
        <v>3</v>
      </c>
      <c r="V864" s="2" t="s">
        <v>4625</v>
      </c>
      <c r="W864" s="2"/>
      <c r="X864" s="25" t="s">
        <v>3765</v>
      </c>
      <c r="Y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12.75" customHeight="1">
      <c r="A865" s="15">
        <v>865</v>
      </c>
      <c r="B865" s="738" t="s">
        <v>3086</v>
      </c>
      <c r="C865" s="16" t="s">
        <v>1000</v>
      </c>
      <c r="D865" s="15" t="s">
        <v>3087</v>
      </c>
      <c r="E865" s="3" t="s">
        <v>3093</v>
      </c>
      <c r="F865" s="15" t="s">
        <v>3764</v>
      </c>
      <c r="G865" s="17">
        <v>638927</v>
      </c>
      <c r="H865" s="96" t="s">
        <v>510</v>
      </c>
      <c r="I865" s="2" t="s">
        <v>1001</v>
      </c>
      <c r="J865" s="2" t="s">
        <v>1002</v>
      </c>
      <c r="K865" s="18">
        <v>37881</v>
      </c>
      <c r="L865" s="18">
        <v>37881</v>
      </c>
      <c r="M865" s="18">
        <v>2958465</v>
      </c>
      <c r="N865" s="1"/>
      <c r="O865" s="19">
        <v>0</v>
      </c>
      <c r="P865" s="18">
        <v>2958465</v>
      </c>
      <c r="Q865" s="19"/>
      <c r="R865" s="773"/>
      <c r="S865" s="18"/>
      <c r="T865" s="2"/>
      <c r="U865" s="2">
        <v>3</v>
      </c>
      <c r="V865" s="2"/>
      <c r="W865" s="2"/>
      <c r="X865" s="25" t="s">
        <v>3209</v>
      </c>
      <c r="Y865" s="2"/>
      <c r="AA865" s="2"/>
      <c r="AB865" s="2"/>
      <c r="AC865" s="2"/>
      <c r="AD865" s="2"/>
      <c r="AE865" s="2" t="s">
        <v>4741</v>
      </c>
      <c r="AF865" s="2"/>
      <c r="AG865" s="2"/>
      <c r="AH865" s="2"/>
      <c r="AI865" s="2"/>
      <c r="AJ865" s="2"/>
      <c r="AK865" s="2"/>
      <c r="AL865" s="2"/>
    </row>
    <row r="866" spans="1:38" ht="12.75" customHeight="1">
      <c r="A866" s="15">
        <v>866</v>
      </c>
      <c r="B866" s="738" t="s">
        <v>1555</v>
      </c>
      <c r="C866" s="16" t="s">
        <v>37</v>
      </c>
      <c r="D866" s="15" t="s">
        <v>3116</v>
      </c>
      <c r="E866" s="3" t="s">
        <v>3132</v>
      </c>
      <c r="F866" s="15" t="s">
        <v>3764</v>
      </c>
      <c r="G866" s="17">
        <v>638927</v>
      </c>
      <c r="H866" s="2" t="s">
        <v>48</v>
      </c>
      <c r="I866" s="2" t="s">
        <v>38</v>
      </c>
      <c r="J866" s="2" t="s">
        <v>39</v>
      </c>
      <c r="K866" s="18">
        <v>42809</v>
      </c>
      <c r="L866" s="18">
        <v>42809</v>
      </c>
      <c r="M866" s="18">
        <v>45199</v>
      </c>
      <c r="N866" s="1"/>
      <c r="O866" s="19">
        <v>42607</v>
      </c>
      <c r="P866" s="18">
        <v>45199</v>
      </c>
      <c r="Q866" s="19"/>
      <c r="R866" s="773"/>
      <c r="S866" s="18"/>
      <c r="T866" s="2"/>
      <c r="U866" s="3">
        <v>3</v>
      </c>
      <c r="V866" s="2" t="s">
        <v>4625</v>
      </c>
      <c r="W866" s="2" t="s">
        <v>4631</v>
      </c>
      <c r="X866" s="25" t="s">
        <v>3766</v>
      </c>
      <c r="Y866" s="2" t="s">
        <v>4718</v>
      </c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12.75" customHeight="1">
      <c r="A867" s="15">
        <v>867</v>
      </c>
      <c r="B867" s="736" t="s">
        <v>3086</v>
      </c>
      <c r="C867" s="16" t="s">
        <v>342</v>
      </c>
      <c r="D867" s="15" t="s">
        <v>3087</v>
      </c>
      <c r="E867" s="2" t="s">
        <v>3088</v>
      </c>
      <c r="F867" s="15" t="s">
        <v>3764</v>
      </c>
      <c r="G867" s="17">
        <v>638927</v>
      </c>
      <c r="H867" s="2" t="s">
        <v>48</v>
      </c>
      <c r="I867" s="2" t="s">
        <v>343</v>
      </c>
      <c r="J867" s="2"/>
      <c r="K867" s="18">
        <v>44502</v>
      </c>
      <c r="L867" s="18">
        <v>44502</v>
      </c>
      <c r="M867" s="18">
        <v>45962</v>
      </c>
      <c r="N867" s="1"/>
      <c r="O867" s="19">
        <v>0</v>
      </c>
      <c r="P867" s="18">
        <v>45962</v>
      </c>
      <c r="Q867" s="19"/>
      <c r="R867" s="772"/>
      <c r="S867" s="18"/>
      <c r="T867" s="2"/>
      <c r="U867" s="2">
        <v>3</v>
      </c>
      <c r="V867" s="2"/>
      <c r="W867" s="2"/>
      <c r="X867" s="2"/>
      <c r="Y867" s="2"/>
      <c r="Z867" s="2"/>
      <c r="AA867" s="2"/>
      <c r="AB867" s="2"/>
      <c r="AC867" s="2"/>
      <c r="AD867" s="2"/>
      <c r="AE867" s="2" t="s">
        <v>4741</v>
      </c>
      <c r="AF867" s="2"/>
      <c r="AG867" s="2"/>
      <c r="AH867" s="2"/>
      <c r="AI867" s="2"/>
      <c r="AJ867" s="2"/>
      <c r="AK867" s="2"/>
      <c r="AL867" s="2"/>
    </row>
    <row r="868" spans="1:38" ht="12.75" customHeight="1">
      <c r="A868" s="15">
        <v>868</v>
      </c>
      <c r="B868" s="736" t="s">
        <v>1555</v>
      </c>
      <c r="C868" s="16" t="s">
        <v>2486</v>
      </c>
      <c r="D868" s="20" t="s">
        <v>3110</v>
      </c>
      <c r="E868" s="2" t="s">
        <v>3088</v>
      </c>
      <c r="F868" s="15" t="s">
        <v>3764</v>
      </c>
      <c r="G868" s="17">
        <v>638927</v>
      </c>
      <c r="H868" s="2" t="s">
        <v>48</v>
      </c>
      <c r="I868" s="2" t="s">
        <v>2487</v>
      </c>
      <c r="J868" s="2"/>
      <c r="K868" s="18">
        <v>44897</v>
      </c>
      <c r="L868" s="18">
        <v>44897</v>
      </c>
      <c r="M868" s="18">
        <v>45261</v>
      </c>
      <c r="N868" s="1"/>
      <c r="O868" s="19">
        <v>2608795.56</v>
      </c>
      <c r="P868" s="18">
        <v>45261</v>
      </c>
      <c r="Q868" s="19"/>
      <c r="R868" s="772"/>
      <c r="S868" s="18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12.75" customHeight="1">
      <c r="A869" s="15">
        <v>869</v>
      </c>
      <c r="B869" s="736" t="s">
        <v>1555</v>
      </c>
      <c r="C869" s="16" t="s">
        <v>2488</v>
      </c>
      <c r="D869" s="20" t="s">
        <v>3110</v>
      </c>
      <c r="E869" s="2" t="s">
        <v>3088</v>
      </c>
      <c r="F869" s="15" t="s">
        <v>3764</v>
      </c>
      <c r="G869" s="17">
        <v>638927</v>
      </c>
      <c r="H869" s="2" t="s">
        <v>48</v>
      </c>
      <c r="I869" s="2" t="s">
        <v>2489</v>
      </c>
      <c r="J869" s="2"/>
      <c r="K869" s="18">
        <v>44897</v>
      </c>
      <c r="L869" s="18">
        <v>44897</v>
      </c>
      <c r="M869" s="18">
        <v>45261</v>
      </c>
      <c r="N869" s="1"/>
      <c r="O869" s="19">
        <v>2608795.56</v>
      </c>
      <c r="P869" s="18">
        <v>45261</v>
      </c>
      <c r="Q869" s="19"/>
      <c r="R869" s="772"/>
      <c r="S869" s="18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12.75" customHeight="1">
      <c r="A870" s="15">
        <v>870</v>
      </c>
      <c r="B870" s="736" t="s">
        <v>1555</v>
      </c>
      <c r="C870" s="16" t="s">
        <v>2490</v>
      </c>
      <c r="D870" s="20" t="s">
        <v>3110</v>
      </c>
      <c r="E870" s="2" t="s">
        <v>3088</v>
      </c>
      <c r="F870" s="15" t="s">
        <v>3764</v>
      </c>
      <c r="G870" s="17">
        <v>638927</v>
      </c>
      <c r="H870" s="2" t="s">
        <v>48</v>
      </c>
      <c r="I870" s="2" t="s">
        <v>2491</v>
      </c>
      <c r="J870" s="2"/>
      <c r="K870" s="18">
        <v>44897</v>
      </c>
      <c r="L870" s="18">
        <v>44897</v>
      </c>
      <c r="M870" s="18">
        <v>45261</v>
      </c>
      <c r="N870" s="1"/>
      <c r="O870" s="19">
        <v>3441071.43</v>
      </c>
      <c r="P870" s="18">
        <v>45261</v>
      </c>
      <c r="Q870" s="19"/>
      <c r="R870" s="772"/>
      <c r="S870" s="18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12.75" customHeight="1">
      <c r="A871" s="15">
        <v>871</v>
      </c>
      <c r="B871" s="736" t="s">
        <v>1555</v>
      </c>
      <c r="C871" s="16" t="s">
        <v>2505</v>
      </c>
      <c r="D871" s="20" t="s">
        <v>3087</v>
      </c>
      <c r="E871" s="2" t="s">
        <v>3767</v>
      </c>
      <c r="F871" s="15" t="s">
        <v>3764</v>
      </c>
      <c r="G871" s="17">
        <v>638927</v>
      </c>
      <c r="H871" s="2" t="s">
        <v>2504</v>
      </c>
      <c r="I871" s="2" t="s">
        <v>2506</v>
      </c>
      <c r="J871" s="2"/>
      <c r="K871" s="18">
        <v>44907</v>
      </c>
      <c r="L871" s="18">
        <v>44907</v>
      </c>
      <c r="M871" s="18">
        <v>45107</v>
      </c>
      <c r="N871" s="1"/>
      <c r="O871" s="19">
        <v>338480</v>
      </c>
      <c r="P871" s="18">
        <v>45107</v>
      </c>
      <c r="Q871" s="19"/>
      <c r="R871" s="772"/>
      <c r="S871" s="18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12.75" customHeight="1">
      <c r="A872" s="15">
        <v>872</v>
      </c>
      <c r="B872" s="736" t="s">
        <v>1555</v>
      </c>
      <c r="C872" s="16" t="s">
        <v>2987</v>
      </c>
      <c r="D872" s="20" t="s">
        <v>3087</v>
      </c>
      <c r="E872" s="2" t="s">
        <v>3097</v>
      </c>
      <c r="F872" s="15" t="s">
        <v>3768</v>
      </c>
      <c r="G872" s="17">
        <v>574660</v>
      </c>
      <c r="H872" s="96" t="s">
        <v>830</v>
      </c>
      <c r="I872" s="2" t="s">
        <v>2988</v>
      </c>
      <c r="J872" s="2"/>
      <c r="K872" s="18">
        <v>45210</v>
      </c>
      <c r="L872" s="18">
        <v>45229</v>
      </c>
      <c r="M872" s="18">
        <v>45237</v>
      </c>
      <c r="N872" s="1"/>
      <c r="O872" s="19">
        <v>3500</v>
      </c>
      <c r="P872" s="18">
        <v>45237</v>
      </c>
      <c r="Q872" s="19"/>
      <c r="R872" s="772"/>
      <c r="S872" s="18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12.75" customHeight="1">
      <c r="A873" s="15">
        <v>873</v>
      </c>
      <c r="B873" s="738" t="s">
        <v>3086</v>
      </c>
      <c r="C873" s="16" t="s">
        <v>1506</v>
      </c>
      <c r="D873" s="15" t="s">
        <v>3116</v>
      </c>
      <c r="E873" s="3" t="s">
        <v>3166</v>
      </c>
      <c r="F873" s="15" t="s">
        <v>3769</v>
      </c>
      <c r="G873" s="17">
        <v>562262</v>
      </c>
      <c r="H873" s="2" t="s">
        <v>258</v>
      </c>
      <c r="I873" s="2" t="s">
        <v>1507</v>
      </c>
      <c r="J873" s="2" t="s">
        <v>1508</v>
      </c>
      <c r="K873" s="18">
        <v>42506</v>
      </c>
      <c r="L873" s="18">
        <v>42506</v>
      </c>
      <c r="M873" s="18">
        <v>2958465</v>
      </c>
      <c r="N873" s="1"/>
      <c r="O873" s="19">
        <v>8000</v>
      </c>
      <c r="P873" s="18">
        <v>2958465</v>
      </c>
      <c r="Q873" s="19"/>
      <c r="R873" s="773"/>
      <c r="S873" s="18"/>
      <c r="T873" s="2"/>
      <c r="U873" s="3">
        <v>3</v>
      </c>
      <c r="V873" s="2" t="s">
        <v>4625</v>
      </c>
      <c r="W873" s="2" t="s">
        <v>4625</v>
      </c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12.75" customHeight="1">
      <c r="A874" s="15">
        <v>874</v>
      </c>
      <c r="B874" s="736" t="s">
        <v>1555</v>
      </c>
      <c r="C874" s="16" t="s">
        <v>973</v>
      </c>
      <c r="D874" s="15" t="s">
        <v>3087</v>
      </c>
      <c r="E874" s="2" t="s">
        <v>3093</v>
      </c>
      <c r="F874" s="15" t="s">
        <v>3770</v>
      </c>
      <c r="G874" s="17">
        <v>540641</v>
      </c>
      <c r="H874" s="2" t="s">
        <v>180</v>
      </c>
      <c r="I874" s="2" t="s">
        <v>974</v>
      </c>
      <c r="J874" s="2"/>
      <c r="K874" s="18">
        <v>45327</v>
      </c>
      <c r="L874" s="18">
        <v>45367</v>
      </c>
      <c r="M874" s="18">
        <v>45367</v>
      </c>
      <c r="N874" s="1">
        <v>7</v>
      </c>
      <c r="O874" s="19">
        <v>4070</v>
      </c>
      <c r="P874" s="18">
        <v>45367</v>
      </c>
      <c r="Q874" s="19"/>
      <c r="R874" s="772"/>
      <c r="S874" s="18"/>
      <c r="T874" s="2"/>
      <c r="U874" s="2"/>
      <c r="V874" s="2" t="s">
        <v>3091</v>
      </c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12.75" customHeight="1">
      <c r="A875" s="15">
        <v>875</v>
      </c>
      <c r="B875" s="736" t="s">
        <v>1555</v>
      </c>
      <c r="C875" s="16" t="s">
        <v>1631</v>
      </c>
      <c r="D875" s="20" t="s">
        <v>3087</v>
      </c>
      <c r="E875" s="2" t="s">
        <v>3093</v>
      </c>
      <c r="F875" s="15" t="s">
        <v>3771</v>
      </c>
      <c r="G875" s="17">
        <v>539244</v>
      </c>
      <c r="H875" s="2" t="s">
        <v>180</v>
      </c>
      <c r="I875" s="2" t="s">
        <v>1632</v>
      </c>
      <c r="J875" s="2"/>
      <c r="K875" s="18">
        <v>44323</v>
      </c>
      <c r="L875" s="18">
        <v>44332</v>
      </c>
      <c r="M875" s="18">
        <v>44332</v>
      </c>
      <c r="N875" s="1"/>
      <c r="O875" s="19">
        <v>15900</v>
      </c>
      <c r="P875" s="18">
        <v>44332</v>
      </c>
      <c r="Q875" s="19"/>
      <c r="R875" s="772"/>
      <c r="S875" s="18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12.75" customHeight="1">
      <c r="A876" s="15">
        <v>876</v>
      </c>
      <c r="B876" s="736" t="s">
        <v>1555</v>
      </c>
      <c r="C876" s="16" t="s">
        <v>2024</v>
      </c>
      <c r="D876" s="20" t="s">
        <v>3087</v>
      </c>
      <c r="E876" s="2" t="s">
        <v>3093</v>
      </c>
      <c r="F876" s="15" t="s">
        <v>3771</v>
      </c>
      <c r="G876" s="17">
        <v>539244</v>
      </c>
      <c r="H876" s="96" t="s">
        <v>510</v>
      </c>
      <c r="I876" s="2" t="s">
        <v>2025</v>
      </c>
      <c r="J876" s="2"/>
      <c r="K876" s="18">
        <v>44637</v>
      </c>
      <c r="L876" s="18">
        <v>44637</v>
      </c>
      <c r="M876" s="18">
        <v>44653</v>
      </c>
      <c r="N876" s="1"/>
      <c r="O876" s="19">
        <v>16220</v>
      </c>
      <c r="P876" s="18">
        <v>44653</v>
      </c>
      <c r="Q876" s="19"/>
      <c r="R876" s="772"/>
      <c r="S876" s="18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12.75" customHeight="1">
      <c r="A877" s="15">
        <v>877</v>
      </c>
      <c r="B877" s="736" t="s">
        <v>1555</v>
      </c>
      <c r="C877" s="16" t="s">
        <v>2759</v>
      </c>
      <c r="D877" s="20" t="s">
        <v>3087</v>
      </c>
      <c r="E877" s="2" t="s">
        <v>3093</v>
      </c>
      <c r="F877" s="15" t="s">
        <v>3771</v>
      </c>
      <c r="G877" s="17">
        <v>539244</v>
      </c>
      <c r="H877" s="96" t="s">
        <v>510</v>
      </c>
      <c r="I877" s="2" t="s">
        <v>2760</v>
      </c>
      <c r="J877" s="2"/>
      <c r="K877" s="18">
        <v>45056</v>
      </c>
      <c r="L877" s="18">
        <v>45056</v>
      </c>
      <c r="M877" s="18">
        <v>45138</v>
      </c>
      <c r="N877" s="1"/>
      <c r="O877" s="19">
        <v>19600</v>
      </c>
      <c r="P877" s="18">
        <v>45138</v>
      </c>
      <c r="Q877" s="19"/>
      <c r="R877" s="772"/>
      <c r="S877" s="18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12.75" customHeight="1">
      <c r="A878" s="15">
        <v>878</v>
      </c>
      <c r="B878" s="736" t="s">
        <v>1555</v>
      </c>
      <c r="C878" s="16" t="s">
        <v>2843</v>
      </c>
      <c r="D878" s="20" t="s">
        <v>3087</v>
      </c>
      <c r="E878" s="2" t="s">
        <v>3093</v>
      </c>
      <c r="F878" s="15" t="s">
        <v>3772</v>
      </c>
      <c r="G878" s="17">
        <v>509183</v>
      </c>
      <c r="H878" s="96" t="s">
        <v>510</v>
      </c>
      <c r="I878" s="2" t="s">
        <v>2844</v>
      </c>
      <c r="J878" s="2"/>
      <c r="K878" s="18">
        <v>45096</v>
      </c>
      <c r="L878" s="18">
        <v>45096</v>
      </c>
      <c r="M878" s="18">
        <v>45138</v>
      </c>
      <c r="N878" s="1"/>
      <c r="O878" s="19">
        <v>1500</v>
      </c>
      <c r="P878" s="18">
        <v>45138</v>
      </c>
      <c r="Q878" s="19"/>
      <c r="R878" s="772"/>
      <c r="S878" s="18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12.75" customHeight="1">
      <c r="A879" s="15">
        <v>879</v>
      </c>
      <c r="B879" s="736" t="s">
        <v>3086</v>
      </c>
      <c r="C879" s="16" t="s">
        <v>1469</v>
      </c>
      <c r="D879" s="2" t="s">
        <v>3127</v>
      </c>
      <c r="E879" s="2" t="s">
        <v>3128</v>
      </c>
      <c r="F879" s="15" t="s">
        <v>3773</v>
      </c>
      <c r="G879" s="17">
        <v>508870</v>
      </c>
      <c r="H879" s="2" t="s">
        <v>48</v>
      </c>
      <c r="I879" s="2" t="s">
        <v>1470</v>
      </c>
      <c r="J879" s="2" t="s">
        <v>1471</v>
      </c>
      <c r="K879" s="18">
        <v>42381</v>
      </c>
      <c r="L879" s="18">
        <v>42381</v>
      </c>
      <c r="M879" s="18">
        <v>46033</v>
      </c>
      <c r="N879" s="1"/>
      <c r="O879" s="19">
        <v>48156.79</v>
      </c>
      <c r="P879" s="18">
        <v>46033</v>
      </c>
      <c r="Q879" s="19"/>
      <c r="R879" s="772"/>
      <c r="S879" s="18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12.75" customHeight="1">
      <c r="A880" s="15">
        <v>880</v>
      </c>
      <c r="B880" s="736" t="s">
        <v>1555</v>
      </c>
      <c r="C880" s="16" t="s">
        <v>2257</v>
      </c>
      <c r="D880" s="20" t="s">
        <v>3110</v>
      </c>
      <c r="E880" s="2" t="s">
        <v>3092</v>
      </c>
      <c r="F880" s="15" t="s">
        <v>3774</v>
      </c>
      <c r="G880" s="17">
        <v>507601</v>
      </c>
      <c r="H880" s="2" t="s">
        <v>684</v>
      </c>
      <c r="I880" s="2" t="s">
        <v>2258</v>
      </c>
      <c r="J880" s="2"/>
      <c r="K880" s="18">
        <v>44785</v>
      </c>
      <c r="L880" s="18">
        <v>44785</v>
      </c>
      <c r="M880" s="18">
        <v>44963</v>
      </c>
      <c r="N880" s="1"/>
      <c r="O880" s="19"/>
      <c r="P880" s="18">
        <v>44963</v>
      </c>
      <c r="Q880" s="19"/>
      <c r="R880" s="772"/>
      <c r="S880" s="18"/>
      <c r="T880" s="2"/>
      <c r="U880" s="2"/>
      <c r="V880" s="3" t="s">
        <v>3091</v>
      </c>
      <c r="W880" s="3" t="s">
        <v>3091</v>
      </c>
      <c r="X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12.75" customHeight="1">
      <c r="A881" s="15">
        <v>881</v>
      </c>
      <c r="B881" s="737" t="s">
        <v>3086</v>
      </c>
      <c r="C881" s="71" t="s">
        <v>181</v>
      </c>
      <c r="D881" s="75" t="s">
        <v>3087</v>
      </c>
      <c r="E881" s="75" t="s">
        <v>3093</v>
      </c>
      <c r="F881" s="75" t="s">
        <v>3775</v>
      </c>
      <c r="G881" s="76">
        <v>425826</v>
      </c>
      <c r="H881" s="2" t="s">
        <v>180</v>
      </c>
      <c r="I881" s="75" t="s">
        <v>3776</v>
      </c>
      <c r="K881" s="30">
        <v>43545</v>
      </c>
      <c r="L881" s="30">
        <v>43545</v>
      </c>
      <c r="M881" s="34">
        <v>2958465</v>
      </c>
      <c r="N881" s="35"/>
      <c r="O881" s="40">
        <v>0</v>
      </c>
      <c r="P881" s="30">
        <v>2958465</v>
      </c>
      <c r="Q881" s="40"/>
      <c r="R881" s="773"/>
      <c r="S881" s="18"/>
      <c r="T881" s="2"/>
      <c r="U881" s="2">
        <v>3</v>
      </c>
      <c r="V881" s="2"/>
      <c r="W881" s="2"/>
      <c r="X881" s="25" t="s">
        <v>3777</v>
      </c>
      <c r="Y881" s="2"/>
      <c r="Z881" s="2"/>
      <c r="AA881" s="2"/>
      <c r="AB881" s="2"/>
      <c r="AC881" s="2"/>
      <c r="AD881" s="2"/>
      <c r="AE881" s="2" t="s">
        <v>4745</v>
      </c>
      <c r="AF881" s="2"/>
      <c r="AG881" s="2"/>
      <c r="AH881" s="2"/>
      <c r="AI881" s="2"/>
      <c r="AJ881" s="2"/>
      <c r="AK881" s="2"/>
      <c r="AL881" s="2"/>
    </row>
    <row r="882" spans="1:38" ht="12.75" customHeight="1">
      <c r="A882" s="15">
        <v>882</v>
      </c>
      <c r="B882" s="738" t="s">
        <v>3086</v>
      </c>
      <c r="C882" s="16" t="s">
        <v>282</v>
      </c>
      <c r="D882" s="20" t="s">
        <v>3110</v>
      </c>
      <c r="E882" s="3" t="s">
        <v>3132</v>
      </c>
      <c r="F882" s="15" t="s">
        <v>3775</v>
      </c>
      <c r="G882" s="17">
        <v>425826</v>
      </c>
      <c r="H882" s="2" t="s">
        <v>48</v>
      </c>
      <c r="I882" s="2" t="s">
        <v>283</v>
      </c>
      <c r="J882" s="2" t="s">
        <v>283</v>
      </c>
      <c r="K882" s="18">
        <v>44130</v>
      </c>
      <c r="L882" s="18">
        <v>44130</v>
      </c>
      <c r="M882" s="18">
        <v>46306</v>
      </c>
      <c r="N882" s="1"/>
      <c r="O882" s="19">
        <v>1</v>
      </c>
      <c r="P882" s="18">
        <v>46306</v>
      </c>
      <c r="Q882" s="19">
        <v>1</v>
      </c>
      <c r="R882" s="772" t="s">
        <v>284</v>
      </c>
      <c r="S882" s="18">
        <v>44130</v>
      </c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12.75" customHeight="1">
      <c r="A883" s="15">
        <v>883</v>
      </c>
      <c r="B883" s="738" t="s">
        <v>3086</v>
      </c>
      <c r="C883" s="16" t="s">
        <v>285</v>
      </c>
      <c r="D883" s="20" t="s">
        <v>3110</v>
      </c>
      <c r="E883" s="3" t="s">
        <v>3132</v>
      </c>
      <c r="F883" s="15" t="s">
        <v>3775</v>
      </c>
      <c r="G883" s="17">
        <v>425826</v>
      </c>
      <c r="H883" s="2" t="s">
        <v>48</v>
      </c>
      <c r="I883" s="2" t="s">
        <v>286</v>
      </c>
      <c r="J883" s="2" t="s">
        <v>286</v>
      </c>
      <c r="K883" s="18">
        <v>44130</v>
      </c>
      <c r="L883" s="18">
        <v>44130</v>
      </c>
      <c r="M883" s="18">
        <v>46306</v>
      </c>
      <c r="N883" s="1"/>
      <c r="O883" s="19">
        <v>1</v>
      </c>
      <c r="P883" s="18">
        <v>46306</v>
      </c>
      <c r="Q883" s="19">
        <v>1</v>
      </c>
      <c r="R883" s="772" t="s">
        <v>287</v>
      </c>
      <c r="S883" s="18">
        <v>44130</v>
      </c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12.75" customHeight="1">
      <c r="A884" s="15">
        <v>884</v>
      </c>
      <c r="B884" s="736" t="s">
        <v>1555</v>
      </c>
      <c r="C884" s="16" t="s">
        <v>862</v>
      </c>
      <c r="D884" s="20" t="s">
        <v>3110</v>
      </c>
      <c r="E884" s="2" t="s">
        <v>3123</v>
      </c>
      <c r="F884" s="15" t="s">
        <v>3778</v>
      </c>
      <c r="G884" s="17">
        <v>360139</v>
      </c>
      <c r="H884" s="2" t="s">
        <v>1673</v>
      </c>
      <c r="I884" s="2" t="s">
        <v>863</v>
      </c>
      <c r="J884" s="2"/>
      <c r="K884" s="18">
        <v>45257</v>
      </c>
      <c r="L884" s="18">
        <v>45257</v>
      </c>
      <c r="M884" s="18">
        <v>45382</v>
      </c>
      <c r="N884" s="1"/>
      <c r="O884" s="19">
        <v>5094.1000000000004</v>
      </c>
      <c r="P884" s="18">
        <v>45382</v>
      </c>
      <c r="Q884" s="19"/>
      <c r="R884" s="772"/>
      <c r="S884" s="18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12.75" customHeight="1">
      <c r="A885" s="15">
        <v>885</v>
      </c>
      <c r="B885" s="738" t="s">
        <v>3086</v>
      </c>
      <c r="C885" s="16" t="s">
        <v>1499</v>
      </c>
      <c r="D885" s="21" t="s">
        <v>3116</v>
      </c>
      <c r="E885" s="3" t="s">
        <v>3093</v>
      </c>
      <c r="F885" s="15" t="s">
        <v>3779</v>
      </c>
      <c r="G885" s="17">
        <v>346292</v>
      </c>
      <c r="H885" s="96" t="s">
        <v>510</v>
      </c>
      <c r="I885" s="2" t="s">
        <v>1500</v>
      </c>
      <c r="J885" s="2" t="s">
        <v>1501</v>
      </c>
      <c r="K885" s="18">
        <v>42430</v>
      </c>
      <c r="L885" s="18">
        <v>42430</v>
      </c>
      <c r="M885" s="18">
        <v>2958465</v>
      </c>
      <c r="N885" s="1"/>
      <c r="O885" s="19">
        <v>0</v>
      </c>
      <c r="P885" s="18">
        <v>2958465</v>
      </c>
      <c r="Q885" s="19"/>
      <c r="R885" s="773"/>
      <c r="S885" s="18"/>
      <c r="T885" s="2"/>
      <c r="U885" s="3">
        <v>3</v>
      </c>
      <c r="V885" s="2" t="s">
        <v>4625</v>
      </c>
      <c r="W885" s="2" t="s">
        <v>4631</v>
      </c>
      <c r="X885" s="2"/>
      <c r="Y885" s="109" t="s">
        <v>4709</v>
      </c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12.75" customHeight="1">
      <c r="A886" s="15">
        <v>886</v>
      </c>
      <c r="B886" s="736" t="s">
        <v>1555</v>
      </c>
      <c r="C886" s="16" t="s">
        <v>1893</v>
      </c>
      <c r="D886" s="2" t="s">
        <v>3110</v>
      </c>
      <c r="E886" s="96" t="s">
        <v>5143</v>
      </c>
      <c r="F886" s="15" t="s">
        <v>3779</v>
      </c>
      <c r="G886" s="17">
        <v>346292</v>
      </c>
      <c r="H886" s="2" t="s">
        <v>1729</v>
      </c>
      <c r="I886" s="2" t="s">
        <v>1894</v>
      </c>
      <c r="J886" s="2"/>
      <c r="K886" s="18">
        <v>44538</v>
      </c>
      <c r="L886" s="18">
        <v>44538</v>
      </c>
      <c r="M886" s="18">
        <v>44560</v>
      </c>
      <c r="N886" s="1"/>
      <c r="O886" s="19">
        <v>1</v>
      </c>
      <c r="P886" s="18">
        <v>44560</v>
      </c>
      <c r="Q886" s="19"/>
      <c r="R886" s="772"/>
      <c r="S886" s="18"/>
      <c r="T886" s="2"/>
      <c r="U886" s="2"/>
      <c r="V886" s="2" t="s">
        <v>4625</v>
      </c>
      <c r="W886" s="2" t="s">
        <v>4625</v>
      </c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12.75" customHeight="1">
      <c r="A887" s="15">
        <v>887</v>
      </c>
      <c r="B887" s="736" t="s">
        <v>1555</v>
      </c>
      <c r="C887" s="16" t="s">
        <v>959</v>
      </c>
      <c r="D887" s="20" t="s">
        <v>3110</v>
      </c>
      <c r="E887" s="2" t="s">
        <v>3123</v>
      </c>
      <c r="F887" s="3" t="s">
        <v>3780</v>
      </c>
      <c r="G887" s="17">
        <v>335371</v>
      </c>
      <c r="H887" s="2" t="s">
        <v>250</v>
      </c>
      <c r="I887" s="2" t="s">
        <v>960</v>
      </c>
      <c r="J887" s="2"/>
      <c r="K887" s="18">
        <v>45322</v>
      </c>
      <c r="L887" s="18">
        <v>45322</v>
      </c>
      <c r="M887" s="18">
        <v>45322</v>
      </c>
      <c r="N887" s="1">
        <v>7</v>
      </c>
      <c r="O887" s="19">
        <v>5000</v>
      </c>
      <c r="P887" s="18">
        <v>45322</v>
      </c>
      <c r="Q887" s="19"/>
      <c r="R887" s="772"/>
      <c r="S887" s="18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12.75" customHeight="1">
      <c r="A888" s="15">
        <v>888</v>
      </c>
      <c r="B888" s="736" t="s">
        <v>1555</v>
      </c>
      <c r="C888" s="16" t="s">
        <v>1856</v>
      </c>
      <c r="D888" s="2"/>
      <c r="E888" s="96" t="s">
        <v>5143</v>
      </c>
      <c r="F888" s="15" t="s">
        <v>3781</v>
      </c>
      <c r="G888" s="17">
        <v>283363</v>
      </c>
      <c r="H888" s="2" t="s">
        <v>1729</v>
      </c>
      <c r="I888" s="2" t="s">
        <v>1857</v>
      </c>
      <c r="J888" s="2"/>
      <c r="K888" s="18">
        <v>44502</v>
      </c>
      <c r="L888" s="18">
        <v>44502</v>
      </c>
      <c r="M888" s="18">
        <v>44525</v>
      </c>
      <c r="N888" s="1"/>
      <c r="O888" s="19">
        <v>230000</v>
      </c>
      <c r="P888" s="18">
        <v>44525</v>
      </c>
      <c r="Q888" s="19"/>
      <c r="R888" s="772"/>
      <c r="S888" s="18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12.75" customHeight="1">
      <c r="A889" s="15">
        <v>889</v>
      </c>
      <c r="B889" s="736" t="s">
        <v>1555</v>
      </c>
      <c r="C889" s="16" t="s">
        <v>2831</v>
      </c>
      <c r="D889" s="20" t="s">
        <v>3087</v>
      </c>
      <c r="E889" s="2" t="s">
        <v>3093</v>
      </c>
      <c r="F889" s="15" t="s">
        <v>3782</v>
      </c>
      <c r="G889" s="17">
        <v>244180</v>
      </c>
      <c r="H889" s="96" t="s">
        <v>510</v>
      </c>
      <c r="I889" s="2" t="s">
        <v>2832</v>
      </c>
      <c r="J889" s="2"/>
      <c r="K889" s="18">
        <v>45091</v>
      </c>
      <c r="L889" s="18">
        <v>45091</v>
      </c>
      <c r="M889" s="18">
        <v>45107</v>
      </c>
      <c r="N889" s="1"/>
      <c r="O889" s="19"/>
      <c r="P889" s="18">
        <v>45107</v>
      </c>
      <c r="Q889" s="19"/>
      <c r="R889" s="772"/>
      <c r="S889" s="18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12.75" customHeight="1">
      <c r="A890" s="15">
        <v>890</v>
      </c>
      <c r="B890" s="738" t="s">
        <v>3086</v>
      </c>
      <c r="C890" s="16" t="s">
        <v>1247</v>
      </c>
      <c r="D890" s="20" t="s">
        <v>3110</v>
      </c>
      <c r="E890" s="3" t="s">
        <v>3233</v>
      </c>
      <c r="F890" s="15" t="s">
        <v>3783</v>
      </c>
      <c r="G890" s="17">
        <v>244155</v>
      </c>
      <c r="H890" s="2" t="s">
        <v>1248</v>
      </c>
      <c r="I890" s="2" t="s">
        <v>1249</v>
      </c>
      <c r="K890" s="18">
        <v>41092</v>
      </c>
      <c r="L890" s="18">
        <v>41092</v>
      </c>
      <c r="M890" s="18">
        <v>2958465</v>
      </c>
      <c r="N890" s="1">
        <v>4</v>
      </c>
      <c r="O890" s="19">
        <v>155952</v>
      </c>
      <c r="P890" s="18">
        <v>2958465</v>
      </c>
      <c r="Q890" s="19">
        <v>916300</v>
      </c>
      <c r="R890" s="772" t="s">
        <v>1250</v>
      </c>
      <c r="S890" s="18">
        <v>43361</v>
      </c>
      <c r="T890" s="2"/>
      <c r="U890" s="2"/>
      <c r="V890" s="2"/>
      <c r="W890" s="2"/>
      <c r="X890" s="25" t="s">
        <v>3784</v>
      </c>
      <c r="Y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12.75" customHeight="1">
      <c r="A891" s="15">
        <v>891</v>
      </c>
      <c r="B891" s="736" t="s">
        <v>3086</v>
      </c>
      <c r="C891" s="16" t="s">
        <v>1325</v>
      </c>
      <c r="D891" s="2" t="s">
        <v>3127</v>
      </c>
      <c r="E891" s="2" t="s">
        <v>3128</v>
      </c>
      <c r="F891" s="15" t="s">
        <v>3785</v>
      </c>
      <c r="G891" s="17">
        <v>244031</v>
      </c>
      <c r="H891" s="2" t="s">
        <v>48</v>
      </c>
      <c r="I891" s="2" t="s">
        <v>1326</v>
      </c>
      <c r="J891" s="2" t="s">
        <v>1314</v>
      </c>
      <c r="K891" s="18">
        <v>41772</v>
      </c>
      <c r="L891" s="18">
        <v>41772</v>
      </c>
      <c r="M891" s="18">
        <v>46519</v>
      </c>
      <c r="N891" s="1"/>
      <c r="O891" s="19">
        <v>0</v>
      </c>
      <c r="P891" s="18">
        <v>46519</v>
      </c>
      <c r="Q891" s="19"/>
      <c r="R891" s="772"/>
      <c r="S891" s="18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12.75" customHeight="1">
      <c r="A892" s="15">
        <v>892</v>
      </c>
      <c r="B892" s="736" t="s">
        <v>3086</v>
      </c>
      <c r="C892" s="16" t="s">
        <v>1374</v>
      </c>
      <c r="D892" s="2" t="s">
        <v>3127</v>
      </c>
      <c r="E892" s="2" t="s">
        <v>3128</v>
      </c>
      <c r="F892" s="15" t="s">
        <v>3786</v>
      </c>
      <c r="G892" s="17">
        <v>243825</v>
      </c>
      <c r="H892" s="2" t="s">
        <v>48</v>
      </c>
      <c r="I892" s="2" t="s">
        <v>1375</v>
      </c>
      <c r="J892" s="2" t="s">
        <v>1314</v>
      </c>
      <c r="K892" s="18">
        <v>42097</v>
      </c>
      <c r="L892" s="18">
        <v>42097</v>
      </c>
      <c r="M892" s="18">
        <v>46479</v>
      </c>
      <c r="N892" s="1"/>
      <c r="O892" s="19">
        <v>48157</v>
      </c>
      <c r="P892" s="18">
        <v>46479</v>
      </c>
      <c r="Q892" s="19"/>
      <c r="R892" s="772"/>
      <c r="S892" s="18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12.75" customHeight="1">
      <c r="A893" s="15">
        <v>893</v>
      </c>
      <c r="B893" s="742" t="s">
        <v>1555</v>
      </c>
      <c r="C893" s="16" t="s">
        <v>389</v>
      </c>
      <c r="D893" s="2" t="s">
        <v>3127</v>
      </c>
      <c r="E893" s="2" t="s">
        <v>3128</v>
      </c>
      <c r="F893" s="15" t="s">
        <v>3786</v>
      </c>
      <c r="G893" s="17">
        <v>243825</v>
      </c>
      <c r="H893" s="2" t="s">
        <v>48</v>
      </c>
      <c r="I893" s="2" t="s">
        <v>390</v>
      </c>
      <c r="J893" s="2" t="s">
        <v>3787</v>
      </c>
      <c r="K893" s="18">
        <v>44574</v>
      </c>
      <c r="L893" s="18">
        <v>44574</v>
      </c>
      <c r="M893" s="18">
        <v>45303</v>
      </c>
      <c r="N893" s="1"/>
      <c r="O893" s="19"/>
      <c r="P893" s="18">
        <v>45303</v>
      </c>
      <c r="Q893" s="19"/>
      <c r="R893" s="772"/>
      <c r="S893" s="18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12.75" customHeight="1">
      <c r="A894" s="15">
        <v>894</v>
      </c>
      <c r="B894" s="736" t="s">
        <v>3086</v>
      </c>
      <c r="C894" s="16" t="s">
        <v>822</v>
      </c>
      <c r="D894" s="20" t="s">
        <v>3110</v>
      </c>
      <c r="E894" s="3" t="s">
        <v>3123</v>
      </c>
      <c r="F894" s="15" t="s">
        <v>3786</v>
      </c>
      <c r="G894" s="17">
        <v>243825</v>
      </c>
      <c r="H894" s="2" t="s">
        <v>250</v>
      </c>
      <c r="I894" s="2" t="s">
        <v>823</v>
      </c>
      <c r="J894" s="2"/>
      <c r="K894" s="18">
        <v>45257</v>
      </c>
      <c r="L894" s="18">
        <v>45257</v>
      </c>
      <c r="M894" s="18">
        <v>51831</v>
      </c>
      <c r="N894" s="1">
        <v>2</v>
      </c>
      <c r="O894" s="19">
        <v>6007349.2999999998</v>
      </c>
      <c r="P894" s="18">
        <v>51831</v>
      </c>
      <c r="Q894" s="19" t="s">
        <v>3788</v>
      </c>
      <c r="R894" s="772" t="s">
        <v>3789</v>
      </c>
      <c r="S894" s="18" t="s">
        <v>3790</v>
      </c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12.75" customHeight="1">
      <c r="A895" s="15">
        <v>895</v>
      </c>
      <c r="B895" s="736" t="s">
        <v>3086</v>
      </c>
      <c r="C895" s="16" t="s">
        <v>598</v>
      </c>
      <c r="D895" s="2" t="s">
        <v>3110</v>
      </c>
      <c r="E895" s="3" t="s">
        <v>3123</v>
      </c>
      <c r="F895" s="15" t="s">
        <v>3786</v>
      </c>
      <c r="G895" s="17">
        <v>243825</v>
      </c>
      <c r="H895" s="2" t="s">
        <v>329</v>
      </c>
      <c r="I895" s="2" t="s">
        <v>599</v>
      </c>
      <c r="J895" s="2"/>
      <c r="K895" s="18">
        <v>44918</v>
      </c>
      <c r="L895" s="18">
        <v>44918</v>
      </c>
      <c r="M895" s="18"/>
      <c r="N895" s="1"/>
      <c r="O895" s="19">
        <v>775193.18</v>
      </c>
      <c r="P895" s="18"/>
      <c r="Q895" s="19"/>
      <c r="R895" s="772"/>
      <c r="S895" s="18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12.75" customHeight="1">
      <c r="A896" s="15">
        <v>896</v>
      </c>
      <c r="B896" s="736" t="s">
        <v>1555</v>
      </c>
      <c r="C896" s="16" t="s">
        <v>2138</v>
      </c>
      <c r="D896" s="20" t="s">
        <v>3087</v>
      </c>
      <c r="E896" s="2" t="s">
        <v>3093</v>
      </c>
      <c r="F896" s="15" t="s">
        <v>3791</v>
      </c>
      <c r="G896" s="17">
        <v>243710</v>
      </c>
      <c r="H896" s="96" t="s">
        <v>510</v>
      </c>
      <c r="I896" s="2" t="s">
        <v>2139</v>
      </c>
      <c r="J896" s="2"/>
      <c r="K896" s="18">
        <v>44700</v>
      </c>
      <c r="L896" s="18">
        <v>44700</v>
      </c>
      <c r="M896" s="18">
        <v>44804</v>
      </c>
      <c r="N896" s="1"/>
      <c r="O896" s="19"/>
      <c r="P896" s="18">
        <v>44804</v>
      </c>
      <c r="Q896" s="19"/>
      <c r="R896" s="772"/>
      <c r="S896" s="18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12.75" customHeight="1">
      <c r="A897" s="15">
        <v>897</v>
      </c>
      <c r="B897" s="736" t="s">
        <v>3086</v>
      </c>
      <c r="C897" s="16" t="s">
        <v>1351</v>
      </c>
      <c r="D897" s="2" t="s">
        <v>3127</v>
      </c>
      <c r="E897" s="2" t="s">
        <v>3128</v>
      </c>
      <c r="F897" s="15" t="s">
        <v>3792</v>
      </c>
      <c r="G897" s="17">
        <v>243272</v>
      </c>
      <c r="H897" s="2" t="s">
        <v>48</v>
      </c>
      <c r="I897" s="2" t="s">
        <v>1352</v>
      </c>
      <c r="J897" s="2" t="s">
        <v>1314</v>
      </c>
      <c r="K897" s="18">
        <v>41821</v>
      </c>
      <c r="L897" s="18">
        <v>41821</v>
      </c>
      <c r="M897" s="18">
        <v>46568</v>
      </c>
      <c r="N897" s="1"/>
      <c r="O897" s="19">
        <v>0</v>
      </c>
      <c r="P897" s="18">
        <v>46568</v>
      </c>
      <c r="Q897" s="19"/>
      <c r="R897" s="772"/>
      <c r="S897" s="18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12.75" customHeight="1">
      <c r="A898" s="15">
        <v>898</v>
      </c>
      <c r="B898" s="738" t="s">
        <v>3086</v>
      </c>
      <c r="C898" s="16" t="s">
        <v>1362</v>
      </c>
      <c r="D898" s="15" t="s">
        <v>3110</v>
      </c>
      <c r="E898" s="3" t="s">
        <v>3123</v>
      </c>
      <c r="F898" s="15" t="s">
        <v>3792</v>
      </c>
      <c r="G898" s="17">
        <v>243272</v>
      </c>
      <c r="H898" s="2" t="s">
        <v>250</v>
      </c>
      <c r="I898" s="2" t="s">
        <v>1363</v>
      </c>
      <c r="J898" s="2" t="s">
        <v>1363</v>
      </c>
      <c r="K898" s="18">
        <v>42062</v>
      </c>
      <c r="L898" s="18">
        <v>42062</v>
      </c>
      <c r="M898" s="18">
        <v>46752</v>
      </c>
      <c r="N898" s="1">
        <v>2</v>
      </c>
      <c r="O898" s="19">
        <v>18027</v>
      </c>
      <c r="P898" s="18">
        <v>46752</v>
      </c>
      <c r="Q898" s="19">
        <v>75000</v>
      </c>
      <c r="R898" s="773" t="s">
        <v>3793</v>
      </c>
      <c r="S898" s="18">
        <v>44953</v>
      </c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12.75" customHeight="1">
      <c r="A899" s="15">
        <v>899</v>
      </c>
      <c r="B899" s="738" t="s">
        <v>3086</v>
      </c>
      <c r="C899" s="16" t="s">
        <v>1462</v>
      </c>
      <c r="D899" s="15" t="s">
        <v>3110</v>
      </c>
      <c r="E899" s="3" t="s">
        <v>3123</v>
      </c>
      <c r="F899" s="15" t="s">
        <v>3792</v>
      </c>
      <c r="G899" s="17">
        <v>243272</v>
      </c>
      <c r="H899" s="2" t="s">
        <v>1463</v>
      </c>
      <c r="I899" s="2" t="s">
        <v>1464</v>
      </c>
      <c r="J899" s="2" t="s">
        <v>1465</v>
      </c>
      <c r="K899" s="18">
        <v>42389</v>
      </c>
      <c r="L899" s="18">
        <v>42389</v>
      </c>
      <c r="M899" s="18"/>
      <c r="N899" s="1"/>
      <c r="O899" s="19">
        <v>4669161</v>
      </c>
      <c r="P899" s="18" t="s">
        <v>3794</v>
      </c>
      <c r="Q899" s="19"/>
      <c r="R899" s="773"/>
      <c r="S899" s="18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12.75" customHeight="1">
      <c r="A900" s="15">
        <v>900</v>
      </c>
      <c r="B900" s="738" t="s">
        <v>3086</v>
      </c>
      <c r="C900" s="16" t="s">
        <v>1493</v>
      </c>
      <c r="D900" s="15" t="s">
        <v>3110</v>
      </c>
      <c r="E900" s="3" t="s">
        <v>3088</v>
      </c>
      <c r="F900" s="15" t="s">
        <v>3792</v>
      </c>
      <c r="G900" s="17">
        <v>243272</v>
      </c>
      <c r="H900" s="2" t="s">
        <v>48</v>
      </c>
      <c r="I900" s="2" t="s">
        <v>1494</v>
      </c>
      <c r="J900" s="2" t="s">
        <v>1495</v>
      </c>
      <c r="K900" s="18">
        <v>42436</v>
      </c>
      <c r="L900" s="18">
        <v>42436</v>
      </c>
      <c r="M900" s="18">
        <v>2958465</v>
      </c>
      <c r="N900" s="1"/>
      <c r="O900" s="19">
        <v>0</v>
      </c>
      <c r="P900" s="18">
        <v>2958465</v>
      </c>
      <c r="Q900" s="19"/>
      <c r="R900" s="773"/>
      <c r="S900" s="18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12.75" customHeight="1">
      <c r="A901" s="15">
        <v>901</v>
      </c>
      <c r="B901" s="736" t="s">
        <v>1555</v>
      </c>
      <c r="C901" s="16" t="s">
        <v>585</v>
      </c>
      <c r="D901" s="15" t="s">
        <v>3110</v>
      </c>
      <c r="E901" s="2" t="s">
        <v>3141</v>
      </c>
      <c r="F901" s="15" t="s">
        <v>3792</v>
      </c>
      <c r="G901" s="17">
        <v>243272</v>
      </c>
      <c r="H901" s="2" t="s">
        <v>147</v>
      </c>
      <c r="I901" s="2" t="s">
        <v>586</v>
      </c>
      <c r="J901" s="2"/>
      <c r="K901" s="18">
        <v>44910</v>
      </c>
      <c r="L901" s="18">
        <v>44910</v>
      </c>
      <c r="M901" s="18">
        <v>45657</v>
      </c>
      <c r="N901" s="1">
        <v>3</v>
      </c>
      <c r="O901" s="19">
        <v>120000</v>
      </c>
      <c r="P901" s="18">
        <v>45657</v>
      </c>
      <c r="Q901" s="19">
        <v>120000</v>
      </c>
      <c r="R901" s="772" t="s">
        <v>587</v>
      </c>
      <c r="S901" s="18">
        <v>44911</v>
      </c>
      <c r="T901" s="2"/>
      <c r="U901" s="2">
        <v>3</v>
      </c>
      <c r="V901" s="3" t="s">
        <v>4625</v>
      </c>
      <c r="W901" s="3" t="s">
        <v>4625</v>
      </c>
      <c r="X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12.75" customHeight="1">
      <c r="A902" s="15">
        <v>902</v>
      </c>
      <c r="B902" s="736" t="s">
        <v>1555</v>
      </c>
      <c r="C902" s="16" t="s">
        <v>2851</v>
      </c>
      <c r="D902" s="20" t="s">
        <v>3087</v>
      </c>
      <c r="E902" s="2" t="s">
        <v>3093</v>
      </c>
      <c r="F902" s="15" t="s">
        <v>3792</v>
      </c>
      <c r="G902" s="17">
        <v>243272</v>
      </c>
      <c r="H902" s="96" t="s">
        <v>510</v>
      </c>
      <c r="I902" s="2" t="s">
        <v>2852</v>
      </c>
      <c r="J902" s="2"/>
      <c r="K902" s="18">
        <v>45085</v>
      </c>
      <c r="L902" s="18">
        <v>45085</v>
      </c>
      <c r="M902" s="18">
        <v>45138</v>
      </c>
      <c r="N902" s="1"/>
      <c r="O902" s="19"/>
      <c r="P902" s="18">
        <v>45138</v>
      </c>
      <c r="Q902" s="19"/>
      <c r="R902" s="772"/>
      <c r="S902" s="18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12.75" customHeight="1">
      <c r="A903" s="15">
        <v>903</v>
      </c>
      <c r="B903" s="736" t="s">
        <v>3086</v>
      </c>
      <c r="C903" s="16" t="s">
        <v>1329</v>
      </c>
      <c r="D903" s="2" t="s">
        <v>3127</v>
      </c>
      <c r="E903" s="2" t="s">
        <v>3128</v>
      </c>
      <c r="F903" s="15" t="s">
        <v>3795</v>
      </c>
      <c r="G903" s="17">
        <v>243221</v>
      </c>
      <c r="H903" s="2" t="s">
        <v>48</v>
      </c>
      <c r="I903" s="2" t="s">
        <v>1330</v>
      </c>
      <c r="J903" s="2" t="s">
        <v>1314</v>
      </c>
      <c r="K903" s="18">
        <v>41771</v>
      </c>
      <c r="L903" s="18">
        <v>41771</v>
      </c>
      <c r="M903" s="18">
        <v>46518</v>
      </c>
      <c r="N903" s="1"/>
      <c r="O903" s="19">
        <v>0</v>
      </c>
      <c r="P903" s="18">
        <v>46518</v>
      </c>
      <c r="Q903" s="19"/>
      <c r="R903" s="772"/>
      <c r="S903" s="18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12.75" customHeight="1">
      <c r="A904" s="15">
        <v>904</v>
      </c>
      <c r="B904" s="736" t="s">
        <v>1555</v>
      </c>
      <c r="C904" s="16" t="s">
        <v>2130</v>
      </c>
      <c r="D904" s="2" t="s">
        <v>3127</v>
      </c>
      <c r="E904" s="2" t="s">
        <v>3128</v>
      </c>
      <c r="F904" s="15" t="s">
        <v>3796</v>
      </c>
      <c r="G904" s="17">
        <v>243191</v>
      </c>
      <c r="H904" s="96" t="s">
        <v>510</v>
      </c>
      <c r="I904" s="2" t="s">
        <v>2131</v>
      </c>
      <c r="J904" s="2"/>
      <c r="K904" s="18">
        <v>44698</v>
      </c>
      <c r="L904" s="18">
        <v>44698</v>
      </c>
      <c r="M904" s="18">
        <v>44773</v>
      </c>
      <c r="N904" s="1"/>
      <c r="O904" s="19">
        <v>2000</v>
      </c>
      <c r="P904" s="18">
        <v>44773</v>
      </c>
      <c r="Q904" s="19"/>
      <c r="R904" s="772"/>
      <c r="S904" s="18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12.75" customHeight="1">
      <c r="A905" s="15">
        <v>905</v>
      </c>
      <c r="B905" s="736" t="s">
        <v>1555</v>
      </c>
      <c r="C905" s="16" t="s">
        <v>2173</v>
      </c>
      <c r="D905" s="20" t="s">
        <v>3087</v>
      </c>
      <c r="E905" s="2" t="s">
        <v>3093</v>
      </c>
      <c r="F905" s="15" t="s">
        <v>3797</v>
      </c>
      <c r="G905" s="17">
        <v>243001</v>
      </c>
      <c r="H905" s="96" t="s">
        <v>510</v>
      </c>
      <c r="I905" s="2" t="s">
        <v>2174</v>
      </c>
      <c r="J905" s="2"/>
      <c r="K905" s="18">
        <v>44719</v>
      </c>
      <c r="L905" s="18">
        <v>44719</v>
      </c>
      <c r="M905" s="18">
        <v>44804</v>
      </c>
      <c r="N905" s="1"/>
      <c r="O905" s="19">
        <v>3000</v>
      </c>
      <c r="P905" s="18">
        <v>44804</v>
      </c>
      <c r="Q905" s="19"/>
      <c r="R905" s="772"/>
      <c r="S905" s="18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12.75" customHeight="1">
      <c r="A906" s="15">
        <v>906</v>
      </c>
      <c r="B906" s="738" t="s">
        <v>3086</v>
      </c>
      <c r="C906" s="16" t="s">
        <v>1063</v>
      </c>
      <c r="D906" s="15" t="s">
        <v>3110</v>
      </c>
      <c r="E906" s="3" t="s">
        <v>3123</v>
      </c>
      <c r="F906" s="15" t="s">
        <v>3798</v>
      </c>
      <c r="G906" s="17">
        <v>242535</v>
      </c>
      <c r="H906" s="2" t="s">
        <v>250</v>
      </c>
      <c r="I906" s="2" t="s">
        <v>1064</v>
      </c>
      <c r="J906" s="2" t="s">
        <v>1065</v>
      </c>
      <c r="K906" s="18">
        <v>38960</v>
      </c>
      <c r="L906" s="18">
        <v>38960</v>
      </c>
      <c r="M906" s="18">
        <v>46264</v>
      </c>
      <c r="N906" s="1">
        <v>2</v>
      </c>
      <c r="O906" s="19">
        <v>13250</v>
      </c>
      <c r="P906" s="18">
        <v>46264</v>
      </c>
      <c r="Q906" s="19"/>
      <c r="R906" s="773"/>
      <c r="S906" s="18"/>
      <c r="T906" s="2"/>
      <c r="U906" s="2"/>
      <c r="V906" s="2"/>
      <c r="W906" s="2"/>
      <c r="X906" s="25" t="s">
        <v>3799</v>
      </c>
      <c r="Y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12.75" customHeight="1">
      <c r="A907" s="15">
        <v>907</v>
      </c>
      <c r="B907" s="736" t="s">
        <v>1555</v>
      </c>
      <c r="C907" s="16" t="s">
        <v>948</v>
      </c>
      <c r="D907" s="15" t="s">
        <v>3110</v>
      </c>
      <c r="E907" s="2" t="s">
        <v>3228</v>
      </c>
      <c r="F907" s="15" t="s">
        <v>3798</v>
      </c>
      <c r="G907" s="17">
        <v>242535</v>
      </c>
      <c r="H907" s="2" t="s">
        <v>947</v>
      </c>
      <c r="I907" s="2" t="s">
        <v>949</v>
      </c>
      <c r="J907" s="2"/>
      <c r="K907" s="18">
        <v>45321</v>
      </c>
      <c r="L907" s="18">
        <v>45321</v>
      </c>
      <c r="M907" s="18">
        <v>45657</v>
      </c>
      <c r="N907" s="1">
        <v>4</v>
      </c>
      <c r="O907" s="19">
        <v>3191.8</v>
      </c>
      <c r="P907" s="18">
        <v>45657</v>
      </c>
      <c r="Q907" s="19"/>
      <c r="R907" s="772"/>
      <c r="S907" s="18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12.75" customHeight="1">
      <c r="A908" s="15">
        <v>908</v>
      </c>
      <c r="B908" s="736" t="s">
        <v>1555</v>
      </c>
      <c r="C908" s="16" t="s">
        <v>3060</v>
      </c>
      <c r="D908" s="20" t="s">
        <v>3110</v>
      </c>
      <c r="E908" s="2" t="s">
        <v>3228</v>
      </c>
      <c r="F908" s="15" t="s">
        <v>3798</v>
      </c>
      <c r="G908" s="17">
        <v>242535</v>
      </c>
      <c r="H908" s="2" t="s">
        <v>3059</v>
      </c>
      <c r="I908" s="2" t="s">
        <v>3061</v>
      </c>
      <c r="J908" s="2"/>
      <c r="K908" s="18">
        <v>45323</v>
      </c>
      <c r="L908" s="18">
        <v>45323</v>
      </c>
      <c r="M908" s="18">
        <v>45323</v>
      </c>
      <c r="N908" s="1">
        <v>7</v>
      </c>
      <c r="O908" s="19">
        <v>3191.8</v>
      </c>
      <c r="P908" s="18">
        <v>45323</v>
      </c>
      <c r="Q908" s="19"/>
      <c r="R908" s="772"/>
      <c r="S908" s="18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12.75" customHeight="1">
      <c r="A909" s="15">
        <v>909</v>
      </c>
      <c r="B909" s="736" t="s">
        <v>1555</v>
      </c>
      <c r="C909" s="16" t="s">
        <v>627</v>
      </c>
      <c r="D909" s="15" t="s">
        <v>3110</v>
      </c>
      <c r="E909" s="2" t="s">
        <v>3228</v>
      </c>
      <c r="F909" s="15" t="s">
        <v>3798</v>
      </c>
      <c r="G909" s="17">
        <v>242535</v>
      </c>
      <c r="H909" s="2" t="s">
        <v>245</v>
      </c>
      <c r="I909" s="2" t="s">
        <v>628</v>
      </c>
      <c r="J909" s="2"/>
      <c r="K909" s="18">
        <v>44942</v>
      </c>
      <c r="L909" s="18">
        <v>44942</v>
      </c>
      <c r="M909" s="18">
        <v>45291</v>
      </c>
      <c r="N909" s="1"/>
      <c r="O909" s="19">
        <v>3191.8</v>
      </c>
      <c r="P909" s="18">
        <v>45291</v>
      </c>
      <c r="Q909" s="19"/>
      <c r="R909" s="772"/>
      <c r="S909" s="18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12.75" customHeight="1">
      <c r="A910" s="15">
        <v>910</v>
      </c>
      <c r="B910" s="736" t="s">
        <v>1555</v>
      </c>
      <c r="C910" s="16" t="s">
        <v>1566</v>
      </c>
      <c r="D910" s="20" t="s">
        <v>3110</v>
      </c>
      <c r="E910" s="2" t="s">
        <v>3228</v>
      </c>
      <c r="F910" s="15" t="s">
        <v>3798</v>
      </c>
      <c r="G910" s="17">
        <v>242535</v>
      </c>
      <c r="H910" s="2" t="s">
        <v>245</v>
      </c>
      <c r="I910" s="2" t="s">
        <v>1567</v>
      </c>
      <c r="J910" s="2"/>
      <c r="K910" s="18">
        <v>44239</v>
      </c>
      <c r="L910" s="18">
        <v>44239</v>
      </c>
      <c r="M910" s="18">
        <v>44561</v>
      </c>
      <c r="N910" s="1"/>
      <c r="O910" s="19"/>
      <c r="P910" s="18">
        <v>44561</v>
      </c>
      <c r="Q910" s="19"/>
      <c r="R910" s="772"/>
      <c r="S910" s="18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12.75" customHeight="1">
      <c r="A911" s="15">
        <v>911</v>
      </c>
      <c r="B911" s="736" t="s">
        <v>1555</v>
      </c>
      <c r="C911" s="16" t="s">
        <v>1965</v>
      </c>
      <c r="D911" s="20" t="s">
        <v>3110</v>
      </c>
      <c r="E911" s="2" t="s">
        <v>3228</v>
      </c>
      <c r="F911" s="15" t="s">
        <v>3798</v>
      </c>
      <c r="G911" s="17">
        <v>242535</v>
      </c>
      <c r="H911" s="2" t="s">
        <v>245</v>
      </c>
      <c r="I911" s="2" t="s">
        <v>1966</v>
      </c>
      <c r="J911" s="2"/>
      <c r="K911" s="18">
        <v>44599</v>
      </c>
      <c r="L911" s="18">
        <v>44599</v>
      </c>
      <c r="M911" s="18">
        <v>44926</v>
      </c>
      <c r="N911" s="1"/>
      <c r="O911" s="19">
        <v>3191.8</v>
      </c>
      <c r="P911" s="18">
        <v>44926</v>
      </c>
      <c r="Q911" s="19"/>
      <c r="R911" s="772"/>
      <c r="S911" s="18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12.75" customHeight="1">
      <c r="A912" s="15">
        <v>912</v>
      </c>
      <c r="B912" s="736" t="s">
        <v>3086</v>
      </c>
      <c r="C912" s="16" t="s">
        <v>1317</v>
      </c>
      <c r="D912" s="2" t="s">
        <v>3127</v>
      </c>
      <c r="E912" s="2" t="s">
        <v>3128</v>
      </c>
      <c r="F912" s="15" t="s">
        <v>3800</v>
      </c>
      <c r="G912" s="17">
        <v>242098</v>
      </c>
      <c r="H912" s="2" t="s">
        <v>48</v>
      </c>
      <c r="I912" s="2" t="s">
        <v>1318</v>
      </c>
      <c r="J912" s="2" t="s">
        <v>1314</v>
      </c>
      <c r="K912" s="18">
        <v>41788</v>
      </c>
      <c r="L912" s="18">
        <v>41788</v>
      </c>
      <c r="M912" s="18">
        <v>46535</v>
      </c>
      <c r="N912" s="1"/>
      <c r="O912" s="19">
        <v>0</v>
      </c>
      <c r="P912" s="18">
        <v>46535</v>
      </c>
      <c r="Q912" s="19"/>
      <c r="R912" s="772"/>
      <c r="S912" s="18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12.75" customHeight="1">
      <c r="A913" s="15">
        <v>913</v>
      </c>
      <c r="B913" s="736" t="s">
        <v>1555</v>
      </c>
      <c r="C913" s="16" t="s">
        <v>864</v>
      </c>
      <c r="D913" s="15" t="s">
        <v>3110</v>
      </c>
      <c r="E913" s="2" t="s">
        <v>3123</v>
      </c>
      <c r="F913" s="15" t="s">
        <v>3800</v>
      </c>
      <c r="G913" s="17">
        <v>242098</v>
      </c>
      <c r="H913" s="2" t="s">
        <v>606</v>
      </c>
      <c r="I913" s="2" t="s">
        <v>865</v>
      </c>
      <c r="J913" s="2"/>
      <c r="K913" s="18">
        <v>45259</v>
      </c>
      <c r="L913" s="18">
        <v>45259</v>
      </c>
      <c r="M913" s="18">
        <v>45382</v>
      </c>
      <c r="N913" s="1">
        <v>1</v>
      </c>
      <c r="O913" s="19">
        <v>3540000</v>
      </c>
      <c r="P913" s="18">
        <v>45382</v>
      </c>
      <c r="Q913" s="19"/>
      <c r="R913" s="772"/>
      <c r="S913" s="18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12.75" customHeight="1">
      <c r="A914" s="15">
        <v>914</v>
      </c>
      <c r="B914" s="736" t="s">
        <v>3086</v>
      </c>
      <c r="C914" s="16" t="s">
        <v>13</v>
      </c>
      <c r="D914" s="2" t="s">
        <v>3127</v>
      </c>
      <c r="E914" s="2" t="s">
        <v>3128</v>
      </c>
      <c r="F914" s="15" t="s">
        <v>3801</v>
      </c>
      <c r="G914" s="17">
        <v>242004</v>
      </c>
      <c r="H914" s="2" t="s">
        <v>48</v>
      </c>
      <c r="I914" s="2" t="s">
        <v>14</v>
      </c>
      <c r="J914" s="2"/>
      <c r="K914" s="18">
        <v>42780</v>
      </c>
      <c r="L914" s="18">
        <v>42780</v>
      </c>
      <c r="M914" s="18">
        <v>46431</v>
      </c>
      <c r="N914" s="1"/>
      <c r="O914" s="19">
        <v>39325</v>
      </c>
      <c r="P914" s="18">
        <v>46431</v>
      </c>
      <c r="Q914" s="19"/>
      <c r="R914" s="772"/>
      <c r="S914" s="18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12.75" customHeight="1">
      <c r="A915" s="15">
        <v>915</v>
      </c>
      <c r="B915" s="738" t="s">
        <v>3086</v>
      </c>
      <c r="C915" s="16" t="s">
        <v>1125</v>
      </c>
      <c r="D915" s="15" t="s">
        <v>3110</v>
      </c>
      <c r="E915" s="3" t="s">
        <v>3233</v>
      </c>
      <c r="F915" s="15" t="s">
        <v>3801</v>
      </c>
      <c r="G915" s="17">
        <v>242004</v>
      </c>
      <c r="H915" s="2" t="s">
        <v>250</v>
      </c>
      <c r="I915" s="2" t="s">
        <v>1126</v>
      </c>
      <c r="K915" s="18">
        <v>39721</v>
      </c>
      <c r="L915" s="18">
        <v>39721</v>
      </c>
      <c r="M915" s="18">
        <v>2958465</v>
      </c>
      <c r="N915" s="1"/>
      <c r="O915" s="19"/>
      <c r="P915" s="18">
        <v>2958465</v>
      </c>
      <c r="Q915" s="19"/>
      <c r="R915" s="773"/>
      <c r="S915" s="18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12.75" customHeight="1">
      <c r="A916" s="15">
        <v>916</v>
      </c>
      <c r="B916" s="738" t="s">
        <v>3086</v>
      </c>
      <c r="C916" s="16" t="s">
        <v>1029</v>
      </c>
      <c r="D916" s="15" t="s">
        <v>3110</v>
      </c>
      <c r="E916" s="3" t="s">
        <v>3123</v>
      </c>
      <c r="F916" s="15" t="s">
        <v>3802</v>
      </c>
      <c r="G916" s="17">
        <v>241318</v>
      </c>
      <c r="H916" s="2" t="s">
        <v>250</v>
      </c>
      <c r="I916" s="2" t="s">
        <v>1030</v>
      </c>
      <c r="J916" s="2" t="s">
        <v>1031</v>
      </c>
      <c r="K916" s="18">
        <v>38313</v>
      </c>
      <c r="L916" s="18">
        <v>38313</v>
      </c>
      <c r="M916" s="18">
        <v>46265</v>
      </c>
      <c r="N916" s="1">
        <v>1</v>
      </c>
      <c r="O916" s="19">
        <v>318588</v>
      </c>
      <c r="P916" s="18">
        <v>46265</v>
      </c>
      <c r="Q916" s="19">
        <v>222396</v>
      </c>
      <c r="R916" s="772" t="s">
        <v>1032</v>
      </c>
      <c r="S916" s="18">
        <v>43136</v>
      </c>
      <c r="T916" s="2"/>
      <c r="U916" s="2"/>
      <c r="V916" s="2"/>
      <c r="W916" s="2"/>
      <c r="X916" s="43" t="s">
        <v>3408</v>
      </c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12.75" customHeight="1">
      <c r="A917" s="15">
        <v>917</v>
      </c>
      <c r="B917" s="736" t="s">
        <v>3086</v>
      </c>
      <c r="C917" s="16" t="s">
        <v>1485</v>
      </c>
      <c r="D917" s="2" t="s">
        <v>3127</v>
      </c>
      <c r="E917" s="2" t="s">
        <v>3128</v>
      </c>
      <c r="F917" s="15" t="s">
        <v>3802</v>
      </c>
      <c r="G917" s="17">
        <v>241318</v>
      </c>
      <c r="H917" s="2" t="s">
        <v>48</v>
      </c>
      <c r="I917" s="2" t="s">
        <v>1486</v>
      </c>
      <c r="J917" s="2" t="s">
        <v>1314</v>
      </c>
      <c r="K917" s="18">
        <v>42389</v>
      </c>
      <c r="L917" s="18">
        <v>42389</v>
      </c>
      <c r="M917" s="18">
        <v>46041</v>
      </c>
      <c r="N917" s="1"/>
      <c r="O917" s="19">
        <v>48156.79</v>
      </c>
      <c r="P917" s="18">
        <v>46041</v>
      </c>
      <c r="Q917" s="19"/>
      <c r="R917" s="772"/>
      <c r="S917" s="18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12.75" customHeight="1">
      <c r="A918" s="15">
        <v>918</v>
      </c>
      <c r="B918" s="736" t="s">
        <v>1555</v>
      </c>
      <c r="C918" s="16" t="s">
        <v>1785</v>
      </c>
      <c r="D918" s="2"/>
      <c r="E918" s="96" t="s">
        <v>5143</v>
      </c>
      <c r="F918" s="15" t="s">
        <v>3802</v>
      </c>
      <c r="G918" s="17">
        <v>241318</v>
      </c>
      <c r="H918" s="2" t="s">
        <v>1729</v>
      </c>
      <c r="I918" s="2" t="s">
        <v>1786</v>
      </c>
      <c r="J918" s="2"/>
      <c r="K918" s="18">
        <v>44447</v>
      </c>
      <c r="L918" s="18">
        <v>44447</v>
      </c>
      <c r="M918" s="18">
        <v>44468</v>
      </c>
      <c r="N918" s="1"/>
      <c r="O918" s="19">
        <v>4000</v>
      </c>
      <c r="P918" s="18">
        <v>44468</v>
      </c>
      <c r="Q918" s="19"/>
      <c r="R918" s="772"/>
      <c r="S918" s="18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12.75" customHeight="1">
      <c r="A919" s="15">
        <v>919</v>
      </c>
      <c r="B919" s="736" t="s">
        <v>3086</v>
      </c>
      <c r="C919" s="16" t="s">
        <v>1367</v>
      </c>
      <c r="D919" s="2" t="s">
        <v>3127</v>
      </c>
      <c r="E919" s="2" t="s">
        <v>3128</v>
      </c>
      <c r="F919" s="15" t="s">
        <v>3803</v>
      </c>
      <c r="G919" s="17">
        <v>241237</v>
      </c>
      <c r="H919" s="2" t="s">
        <v>48</v>
      </c>
      <c r="I919" s="2" t="s">
        <v>1368</v>
      </c>
      <c r="J919" s="2" t="s">
        <v>1314</v>
      </c>
      <c r="K919" s="18">
        <v>42041</v>
      </c>
      <c r="L919" s="18">
        <v>42041</v>
      </c>
      <c r="M919" s="18">
        <v>46423</v>
      </c>
      <c r="N919" s="1"/>
      <c r="O919" s="19">
        <v>0</v>
      </c>
      <c r="P919" s="18">
        <v>46423</v>
      </c>
      <c r="Q919" s="19"/>
      <c r="R919" s="772"/>
      <c r="S919" s="18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12.75" customHeight="1">
      <c r="A920" s="15">
        <v>920</v>
      </c>
      <c r="B920" s="736" t="s">
        <v>1555</v>
      </c>
      <c r="C920" s="16" t="s">
        <v>2523</v>
      </c>
      <c r="D920" s="20" t="s">
        <v>3110</v>
      </c>
      <c r="E920" s="2" t="s">
        <v>3126</v>
      </c>
      <c r="F920" s="15" t="s">
        <v>3803</v>
      </c>
      <c r="G920" s="17">
        <v>241237</v>
      </c>
      <c r="H920" s="2" t="s">
        <v>588</v>
      </c>
      <c r="I920" s="2" t="s">
        <v>2524</v>
      </c>
      <c r="J920" s="2"/>
      <c r="K920" s="18">
        <v>44985</v>
      </c>
      <c r="L920" s="18">
        <v>44985</v>
      </c>
      <c r="M920" s="18">
        <v>45077</v>
      </c>
      <c r="N920" s="1"/>
      <c r="O920" s="19">
        <v>52000</v>
      </c>
      <c r="P920" s="18">
        <v>45077</v>
      </c>
      <c r="Q920" s="19"/>
      <c r="R920" s="772"/>
      <c r="S920" s="18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12.75" customHeight="1">
      <c r="A921" s="15">
        <v>921</v>
      </c>
      <c r="B921" s="736" t="s">
        <v>3086</v>
      </c>
      <c r="C921" s="16" t="s">
        <v>1427</v>
      </c>
      <c r="D921" s="2" t="s">
        <v>3127</v>
      </c>
      <c r="E921" s="2" t="s">
        <v>3128</v>
      </c>
      <c r="F921" s="15" t="s">
        <v>3804</v>
      </c>
      <c r="G921" s="17">
        <v>241121</v>
      </c>
      <c r="H921" s="2" t="s">
        <v>48</v>
      </c>
      <c r="I921" s="2" t="s">
        <v>1428</v>
      </c>
      <c r="J921" s="2" t="s">
        <v>1314</v>
      </c>
      <c r="K921" s="18">
        <v>42192</v>
      </c>
      <c r="L921" s="18">
        <v>42192</v>
      </c>
      <c r="M921" s="18">
        <v>46574</v>
      </c>
      <c r="N921" s="1"/>
      <c r="O921" s="19">
        <v>0</v>
      </c>
      <c r="P921" s="18">
        <v>46574</v>
      </c>
      <c r="Q921" s="19"/>
      <c r="R921" s="772"/>
      <c r="S921" s="18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12.75" customHeight="1">
      <c r="A922" s="15">
        <v>922</v>
      </c>
      <c r="B922" s="738" t="s">
        <v>1555</v>
      </c>
      <c r="C922" s="16" t="s">
        <v>1546</v>
      </c>
      <c r="D922" s="20" t="s">
        <v>3110</v>
      </c>
      <c r="E922" s="3" t="s">
        <v>3233</v>
      </c>
      <c r="F922" s="15" t="s">
        <v>3805</v>
      </c>
      <c r="G922" s="17">
        <v>240702</v>
      </c>
      <c r="H922" s="2" t="s">
        <v>147</v>
      </c>
      <c r="I922" s="2" t="s">
        <v>1547</v>
      </c>
      <c r="J922" s="2" t="s">
        <v>1548</v>
      </c>
      <c r="K922" s="18">
        <v>36245</v>
      </c>
      <c r="L922" s="18">
        <v>36245</v>
      </c>
      <c r="M922" s="18">
        <v>45260</v>
      </c>
      <c r="N922" s="1"/>
      <c r="O922" s="19">
        <v>38000</v>
      </c>
      <c r="P922" s="18">
        <v>45260</v>
      </c>
      <c r="Q922" s="19">
        <v>38000</v>
      </c>
      <c r="R922" s="773"/>
      <c r="S922" s="18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12.75" customHeight="1">
      <c r="A923" s="15">
        <v>923</v>
      </c>
      <c r="B923" s="738" t="s">
        <v>1555</v>
      </c>
      <c r="C923" s="16" t="s">
        <v>1549</v>
      </c>
      <c r="D923" s="20" t="s">
        <v>3110</v>
      </c>
      <c r="E923" s="3" t="s">
        <v>3123</v>
      </c>
      <c r="F923" s="15" t="s">
        <v>3805</v>
      </c>
      <c r="G923" s="17">
        <v>240702</v>
      </c>
      <c r="H923" s="2" t="s">
        <v>250</v>
      </c>
      <c r="I923" s="2" t="s">
        <v>1550</v>
      </c>
      <c r="J923" s="2" t="s">
        <v>1551</v>
      </c>
      <c r="K923" s="18">
        <v>36220</v>
      </c>
      <c r="L923" s="18">
        <v>36220</v>
      </c>
      <c r="M923" s="18">
        <v>45260</v>
      </c>
      <c r="N923" s="1"/>
      <c r="O923" s="19">
        <v>0</v>
      </c>
      <c r="P923" s="18">
        <v>45260</v>
      </c>
      <c r="Q923" s="19">
        <v>0</v>
      </c>
      <c r="R923" s="773"/>
      <c r="S923" s="18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12.75" customHeight="1">
      <c r="A924" s="15">
        <v>924</v>
      </c>
      <c r="B924" s="736" t="s">
        <v>3086</v>
      </c>
      <c r="C924" s="16" t="s">
        <v>30</v>
      </c>
      <c r="D924" s="2" t="s">
        <v>3127</v>
      </c>
      <c r="E924" s="2" t="s">
        <v>3128</v>
      </c>
      <c r="F924" s="15" t="s">
        <v>3806</v>
      </c>
      <c r="G924" s="17">
        <v>240559</v>
      </c>
      <c r="H924" s="2" t="s">
        <v>48</v>
      </c>
      <c r="I924" s="2" t="s">
        <v>31</v>
      </c>
      <c r="J924" s="2"/>
      <c r="K924" s="18">
        <v>42802</v>
      </c>
      <c r="L924" s="18">
        <v>42802</v>
      </c>
      <c r="M924" s="18">
        <v>46453</v>
      </c>
      <c r="N924" s="1"/>
      <c r="O924" s="19">
        <v>48156.79</v>
      </c>
      <c r="P924" s="18">
        <v>46453</v>
      </c>
      <c r="Q924" s="19"/>
      <c r="R924" s="772"/>
      <c r="S924" s="18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12.75" customHeight="1">
      <c r="A925" s="15">
        <v>925</v>
      </c>
      <c r="B925" s="736" t="s">
        <v>3086</v>
      </c>
      <c r="C925" s="16" t="s">
        <v>1473</v>
      </c>
      <c r="D925" s="2" t="s">
        <v>3127</v>
      </c>
      <c r="E925" s="2" t="s">
        <v>3128</v>
      </c>
      <c r="F925" s="15" t="s">
        <v>3807</v>
      </c>
      <c r="G925" s="17">
        <v>240427</v>
      </c>
      <c r="H925" s="2" t="s">
        <v>48</v>
      </c>
      <c r="I925" s="2" t="s">
        <v>1474</v>
      </c>
      <c r="J925" s="2" t="s">
        <v>1471</v>
      </c>
      <c r="K925" s="18">
        <v>42383</v>
      </c>
      <c r="L925" s="18">
        <v>42383</v>
      </c>
      <c r="M925" s="18">
        <v>46035</v>
      </c>
      <c r="N925" s="1"/>
      <c r="O925" s="19">
        <v>48156.79</v>
      </c>
      <c r="P925" s="18">
        <v>46035</v>
      </c>
      <c r="Q925" s="19"/>
      <c r="R925" s="772"/>
      <c r="S925" s="18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12.75" customHeight="1">
      <c r="A926" s="15">
        <v>926</v>
      </c>
      <c r="B926" s="736" t="s">
        <v>3086</v>
      </c>
      <c r="C926" s="16" t="s">
        <v>1341</v>
      </c>
      <c r="D926" s="2" t="s">
        <v>3127</v>
      </c>
      <c r="E926" s="2" t="s">
        <v>3128</v>
      </c>
      <c r="F926" s="15" t="s">
        <v>3808</v>
      </c>
      <c r="G926" s="17">
        <v>240079</v>
      </c>
      <c r="H926" s="2" t="s">
        <v>48</v>
      </c>
      <c r="I926" s="2" t="s">
        <v>1342</v>
      </c>
      <c r="J926" s="2" t="s">
        <v>1314</v>
      </c>
      <c r="K926" s="18">
        <v>41801</v>
      </c>
      <c r="L926" s="18">
        <v>41801</v>
      </c>
      <c r="M926" s="18">
        <v>46548</v>
      </c>
      <c r="N926" s="1"/>
      <c r="O926" s="19">
        <v>0</v>
      </c>
      <c r="P926" s="18">
        <v>46548</v>
      </c>
      <c r="Q926" s="19"/>
      <c r="R926" s="772"/>
      <c r="S926" s="18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12.75" customHeight="1">
      <c r="A927" s="15">
        <v>927</v>
      </c>
      <c r="B927" s="736" t="s">
        <v>3086</v>
      </c>
      <c r="C927" s="16" t="s">
        <v>9</v>
      </c>
      <c r="D927" s="2" t="s">
        <v>3127</v>
      </c>
      <c r="E927" s="2" t="s">
        <v>3128</v>
      </c>
      <c r="F927" s="15" t="s">
        <v>3809</v>
      </c>
      <c r="G927" s="17">
        <v>239721</v>
      </c>
      <c r="H927" s="2" t="s">
        <v>48</v>
      </c>
      <c r="I927" s="2" t="s">
        <v>10</v>
      </c>
      <c r="J927" s="2" t="s">
        <v>11</v>
      </c>
      <c r="K927" s="18">
        <v>42774</v>
      </c>
      <c r="L927" s="18">
        <v>42774</v>
      </c>
      <c r="M927" s="18">
        <v>46423</v>
      </c>
      <c r="N927" s="1"/>
      <c r="O927" s="19">
        <v>39325</v>
      </c>
      <c r="P927" s="18">
        <v>46423</v>
      </c>
      <c r="Q927" s="19">
        <v>39325</v>
      </c>
      <c r="R927" s="772" t="s">
        <v>12</v>
      </c>
      <c r="S927" s="18">
        <v>43391</v>
      </c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12.75" customHeight="1">
      <c r="A928" s="15">
        <v>928</v>
      </c>
      <c r="B928" s="738" t="s">
        <v>3086</v>
      </c>
      <c r="C928" s="16" t="s">
        <v>996</v>
      </c>
      <c r="D928" s="15" t="s">
        <v>3110</v>
      </c>
      <c r="E928" s="3" t="s">
        <v>3233</v>
      </c>
      <c r="F928" s="15" t="s">
        <v>3810</v>
      </c>
      <c r="G928" s="17">
        <v>239500</v>
      </c>
      <c r="H928" s="2" t="s">
        <v>250</v>
      </c>
      <c r="I928" s="2" t="s">
        <v>997</v>
      </c>
      <c r="J928" s="2" t="s">
        <v>998</v>
      </c>
      <c r="K928" s="18">
        <v>37817</v>
      </c>
      <c r="L928" s="18">
        <v>37817</v>
      </c>
      <c r="M928" s="18">
        <v>2958465</v>
      </c>
      <c r="N928" s="1">
        <v>2</v>
      </c>
      <c r="O928" s="19">
        <v>1999660</v>
      </c>
      <c r="P928" s="18">
        <v>2958465</v>
      </c>
      <c r="Q928" s="19">
        <v>1999660</v>
      </c>
      <c r="R928" s="772" t="s">
        <v>999</v>
      </c>
      <c r="S928" s="18">
        <v>43273</v>
      </c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12.75" customHeight="1">
      <c r="A929" s="15">
        <v>929</v>
      </c>
      <c r="B929" s="736" t="s">
        <v>1555</v>
      </c>
      <c r="C929" s="16" t="s">
        <v>3017</v>
      </c>
      <c r="D929" s="20" t="s">
        <v>3087</v>
      </c>
      <c r="E929" s="2" t="s">
        <v>3811</v>
      </c>
      <c r="F929" s="15" t="s">
        <v>3810</v>
      </c>
      <c r="G929" s="17">
        <v>239500</v>
      </c>
      <c r="H929" s="2" t="s">
        <v>180</v>
      </c>
      <c r="I929" s="2" t="s">
        <v>3018</v>
      </c>
      <c r="J929" s="2"/>
      <c r="K929" s="18">
        <v>45222</v>
      </c>
      <c r="L929" s="18">
        <v>45238</v>
      </c>
      <c r="M929" s="18">
        <v>45238</v>
      </c>
      <c r="N929" s="1"/>
      <c r="O929" s="19">
        <v>0</v>
      </c>
      <c r="P929" s="18">
        <v>45238</v>
      </c>
      <c r="Q929" s="19"/>
      <c r="R929" s="772"/>
      <c r="S929" s="18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12.75" customHeight="1">
      <c r="A930" s="15">
        <v>930</v>
      </c>
      <c r="B930" s="736" t="s">
        <v>3086</v>
      </c>
      <c r="C930" s="16" t="s">
        <v>1331</v>
      </c>
      <c r="D930" s="2" t="s">
        <v>3127</v>
      </c>
      <c r="E930" s="2" t="s">
        <v>3128</v>
      </c>
      <c r="F930" s="15" t="s">
        <v>3812</v>
      </c>
      <c r="G930" s="17">
        <v>239453</v>
      </c>
      <c r="H930" s="2" t="s">
        <v>48</v>
      </c>
      <c r="I930" s="2" t="s">
        <v>1332</v>
      </c>
      <c r="J930" s="2" t="s">
        <v>1314</v>
      </c>
      <c r="K930" s="18">
        <v>41766</v>
      </c>
      <c r="L930" s="18">
        <v>41766</v>
      </c>
      <c r="M930" s="18">
        <v>46513</v>
      </c>
      <c r="N930" s="1"/>
      <c r="O930" s="19">
        <v>0</v>
      </c>
      <c r="P930" s="18">
        <v>46513</v>
      </c>
      <c r="Q930" s="19"/>
      <c r="R930" s="772"/>
      <c r="S930" s="18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12.75" customHeight="1">
      <c r="A931" s="15">
        <v>931</v>
      </c>
      <c r="B931" s="738" t="s">
        <v>3086</v>
      </c>
      <c r="C931" s="16" t="s">
        <v>981</v>
      </c>
      <c r="D931" s="15" t="s">
        <v>3110</v>
      </c>
      <c r="E931" s="2" t="s">
        <v>3184</v>
      </c>
      <c r="F931" s="15" t="s">
        <v>3813</v>
      </c>
      <c r="G931" s="17">
        <v>239437</v>
      </c>
      <c r="H931" s="2" t="s">
        <v>255</v>
      </c>
      <c r="I931" s="2" t="s">
        <v>982</v>
      </c>
      <c r="J931" s="2" t="s">
        <v>983</v>
      </c>
      <c r="K931" s="18">
        <v>36809</v>
      </c>
      <c r="L931" s="18">
        <v>36809</v>
      </c>
      <c r="M931" s="18">
        <v>45909</v>
      </c>
      <c r="N931" s="1"/>
      <c r="O931" s="19">
        <v>0</v>
      </c>
      <c r="P931" s="18">
        <v>45909</v>
      </c>
      <c r="Q931" s="19"/>
      <c r="R931" s="773"/>
      <c r="S931" s="18"/>
      <c r="T931" s="2"/>
      <c r="U931" s="2"/>
      <c r="V931" s="2" t="s">
        <v>4625</v>
      </c>
      <c r="W931" s="2" t="s">
        <v>4625</v>
      </c>
      <c r="X931" s="25" t="s">
        <v>3814</v>
      </c>
      <c r="Y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12.75" customHeight="1">
      <c r="A932" s="15">
        <v>932</v>
      </c>
      <c r="B932" s="738" t="s">
        <v>3086</v>
      </c>
      <c r="C932" s="16" t="s">
        <v>262</v>
      </c>
      <c r="D932" s="15" t="s">
        <v>3110</v>
      </c>
      <c r="E932" s="3" t="s">
        <v>3233</v>
      </c>
      <c r="F932" s="15" t="s">
        <v>3815</v>
      </c>
      <c r="G932" s="17">
        <v>239402</v>
      </c>
      <c r="H932" s="2" t="s">
        <v>250</v>
      </c>
      <c r="I932" s="2" t="s">
        <v>263</v>
      </c>
      <c r="J932" s="2" t="s">
        <v>263</v>
      </c>
      <c r="K932" s="18">
        <v>44062</v>
      </c>
      <c r="L932" s="18">
        <v>44062</v>
      </c>
      <c r="M932" s="18">
        <v>2958465</v>
      </c>
      <c r="N932" s="1">
        <v>1</v>
      </c>
      <c r="O932" s="19">
        <v>28692</v>
      </c>
      <c r="P932" s="18">
        <v>2958465</v>
      </c>
      <c r="Q932" s="19">
        <v>26692</v>
      </c>
      <c r="R932" s="772" t="s">
        <v>264</v>
      </c>
      <c r="S932" s="18">
        <v>44062</v>
      </c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12.75" customHeight="1">
      <c r="A933" s="15">
        <v>933</v>
      </c>
      <c r="B933" s="736" t="s">
        <v>1555</v>
      </c>
      <c r="C933" s="16" t="s">
        <v>2849</v>
      </c>
      <c r="D933" s="20" t="s">
        <v>3087</v>
      </c>
      <c r="E933" s="2" t="s">
        <v>3093</v>
      </c>
      <c r="F933" s="15" t="s">
        <v>3816</v>
      </c>
      <c r="G933" s="17">
        <v>239399</v>
      </c>
      <c r="H933" s="96" t="s">
        <v>510</v>
      </c>
      <c r="I933" s="2" t="s">
        <v>2850</v>
      </c>
      <c r="J933" s="2"/>
      <c r="K933" s="18">
        <v>45099</v>
      </c>
      <c r="L933" s="18">
        <v>45099</v>
      </c>
      <c r="M933" s="18">
        <v>45138</v>
      </c>
      <c r="N933" s="1"/>
      <c r="O933" s="19"/>
      <c r="P933" s="18">
        <v>45138</v>
      </c>
      <c r="Q933" s="19"/>
      <c r="R933" s="772"/>
      <c r="S933" s="18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12.75" customHeight="1">
      <c r="A934" s="15">
        <v>934</v>
      </c>
      <c r="B934" s="736" t="s">
        <v>1555</v>
      </c>
      <c r="C934" s="16" t="s">
        <v>2847</v>
      </c>
      <c r="D934" s="20" t="s">
        <v>3087</v>
      </c>
      <c r="E934" s="2" t="s">
        <v>3093</v>
      </c>
      <c r="F934" s="15" t="s">
        <v>3817</v>
      </c>
      <c r="G934" s="17">
        <v>238953</v>
      </c>
      <c r="H934" s="96" t="s">
        <v>510</v>
      </c>
      <c r="I934" s="2" t="s">
        <v>2848</v>
      </c>
      <c r="J934" s="2"/>
      <c r="K934" s="18">
        <v>45098</v>
      </c>
      <c r="L934" s="18">
        <v>45098</v>
      </c>
      <c r="M934" s="18">
        <v>45138</v>
      </c>
      <c r="N934" s="1"/>
      <c r="O934" s="19"/>
      <c r="P934" s="18">
        <v>45138</v>
      </c>
      <c r="Q934" s="19"/>
      <c r="R934" s="772"/>
      <c r="S934" s="18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12.75" customHeight="1">
      <c r="A935" s="15">
        <v>935</v>
      </c>
      <c r="B935" s="736" t="s">
        <v>3086</v>
      </c>
      <c r="C935" s="16" t="s">
        <v>1333</v>
      </c>
      <c r="D935" s="2" t="s">
        <v>3127</v>
      </c>
      <c r="E935" s="2" t="s">
        <v>3128</v>
      </c>
      <c r="F935" s="15" t="s">
        <v>3818</v>
      </c>
      <c r="G935" s="17">
        <v>238309</v>
      </c>
      <c r="H935" s="2" t="s">
        <v>48</v>
      </c>
      <c r="I935" s="2" t="s">
        <v>1334</v>
      </c>
      <c r="J935" s="2" t="s">
        <v>1314</v>
      </c>
      <c r="K935" s="18">
        <v>41793</v>
      </c>
      <c r="L935" s="18">
        <v>41793</v>
      </c>
      <c r="M935" s="18">
        <v>46540</v>
      </c>
      <c r="N935" s="1"/>
      <c r="O935" s="19">
        <v>0</v>
      </c>
      <c r="P935" s="18">
        <v>46540</v>
      </c>
      <c r="Q935" s="19"/>
      <c r="R935" s="772"/>
      <c r="S935" s="18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12.75" customHeight="1">
      <c r="A936" s="15">
        <v>936</v>
      </c>
      <c r="B936" s="736" t="s">
        <v>3086</v>
      </c>
      <c r="C936" s="16" t="s">
        <v>1378</v>
      </c>
      <c r="D936" s="2" t="s">
        <v>3127</v>
      </c>
      <c r="E936" s="2" t="s">
        <v>3128</v>
      </c>
      <c r="F936" s="15" t="s">
        <v>3819</v>
      </c>
      <c r="G936" s="17">
        <v>238295</v>
      </c>
      <c r="H936" s="2" t="s">
        <v>48</v>
      </c>
      <c r="I936" s="2" t="s">
        <v>1379</v>
      </c>
      <c r="J936" s="2" t="s">
        <v>1380</v>
      </c>
      <c r="K936" s="18">
        <v>42054</v>
      </c>
      <c r="L936" s="18">
        <v>42054</v>
      </c>
      <c r="M936" s="18">
        <v>46436</v>
      </c>
      <c r="N936" s="1"/>
      <c r="O936" s="19">
        <v>96313.58</v>
      </c>
      <c r="P936" s="18">
        <v>46436</v>
      </c>
      <c r="Q936" s="19">
        <v>96313</v>
      </c>
      <c r="R936" s="772" t="s">
        <v>1381</v>
      </c>
      <c r="S936" s="18">
        <v>42768</v>
      </c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12.75" customHeight="1">
      <c r="A937" s="15">
        <v>937</v>
      </c>
      <c r="B937" s="736" t="s">
        <v>3086</v>
      </c>
      <c r="C937" s="16" t="s">
        <v>1319</v>
      </c>
      <c r="D937" s="2" t="s">
        <v>3127</v>
      </c>
      <c r="E937" s="2" t="s">
        <v>3128</v>
      </c>
      <c r="F937" s="15" t="s">
        <v>3820</v>
      </c>
      <c r="G937" s="17">
        <v>237663</v>
      </c>
      <c r="H937" s="2" t="s">
        <v>48</v>
      </c>
      <c r="I937" s="2" t="s">
        <v>1320</v>
      </c>
      <c r="J937" s="2" t="s">
        <v>1314</v>
      </c>
      <c r="K937" s="18">
        <v>41786</v>
      </c>
      <c r="L937" s="18">
        <v>41786</v>
      </c>
      <c r="M937" s="18">
        <v>46533</v>
      </c>
      <c r="N937" s="1"/>
      <c r="O937" s="19">
        <v>0</v>
      </c>
      <c r="P937" s="18">
        <v>46533</v>
      </c>
      <c r="Q937" s="19"/>
      <c r="R937" s="772"/>
      <c r="S937" s="18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12.75" customHeight="1">
      <c r="A938" s="15">
        <v>938</v>
      </c>
      <c r="B938" s="736" t="s">
        <v>3086</v>
      </c>
      <c r="C938" s="16" t="s">
        <v>954</v>
      </c>
      <c r="D938" s="15" t="s">
        <v>3110</v>
      </c>
      <c r="E938" s="3" t="s">
        <v>3123</v>
      </c>
      <c r="F938" s="15" t="s">
        <v>3821</v>
      </c>
      <c r="G938" s="17">
        <v>237442</v>
      </c>
      <c r="H938" s="2" t="s">
        <v>953</v>
      </c>
      <c r="I938" s="2" t="s">
        <v>955</v>
      </c>
      <c r="J938" s="2"/>
      <c r="K938" s="18">
        <v>45322</v>
      </c>
      <c r="L938" s="18">
        <v>45323</v>
      </c>
      <c r="M938" s="18">
        <v>2958465</v>
      </c>
      <c r="N938" s="1">
        <v>1</v>
      </c>
      <c r="O938" s="19">
        <v>239538</v>
      </c>
      <c r="P938" s="18">
        <v>2958465</v>
      </c>
      <c r="Q938" s="19">
        <v>1197690</v>
      </c>
      <c r="R938" s="772" t="s">
        <v>956</v>
      </c>
      <c r="S938" s="18">
        <v>45322</v>
      </c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12.75" customHeight="1">
      <c r="A939" s="15">
        <v>939</v>
      </c>
      <c r="B939" s="736" t="s">
        <v>1555</v>
      </c>
      <c r="C939" s="16" t="s">
        <v>957</v>
      </c>
      <c r="D939" s="20" t="s">
        <v>3110</v>
      </c>
      <c r="E939" s="3" t="s">
        <v>3126</v>
      </c>
      <c r="F939" s="15" t="s">
        <v>3821</v>
      </c>
      <c r="G939" s="17">
        <v>237442</v>
      </c>
      <c r="H939" s="2" t="s">
        <v>588</v>
      </c>
      <c r="I939" s="2" t="s">
        <v>3822</v>
      </c>
      <c r="J939" s="2"/>
      <c r="K939" s="18">
        <v>45322</v>
      </c>
      <c r="L939" s="18">
        <v>45322</v>
      </c>
      <c r="M939" s="18">
        <v>45338</v>
      </c>
      <c r="N939" s="1">
        <v>7</v>
      </c>
      <c r="O939" s="19">
        <v>120850.21</v>
      </c>
      <c r="P939" s="18">
        <v>45338</v>
      </c>
      <c r="Q939" s="19">
        <v>120850.21</v>
      </c>
      <c r="R939" s="772" t="s">
        <v>958</v>
      </c>
      <c r="S939" s="18">
        <v>45322</v>
      </c>
      <c r="T939" s="2"/>
      <c r="U939" s="2"/>
      <c r="V939" s="2" t="s">
        <v>3091</v>
      </c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12.75" customHeight="1">
      <c r="A940" s="15">
        <v>940</v>
      </c>
      <c r="B940" s="736" t="s">
        <v>1555</v>
      </c>
      <c r="C940" s="16" t="s">
        <v>2214</v>
      </c>
      <c r="D940" s="20" t="s">
        <v>3110</v>
      </c>
      <c r="E940" s="2" t="s">
        <v>3123</v>
      </c>
      <c r="F940" s="15" t="s">
        <v>3821</v>
      </c>
      <c r="G940" s="17">
        <v>237442</v>
      </c>
      <c r="H940" s="2" t="s">
        <v>953</v>
      </c>
      <c r="I940" s="2" t="s">
        <v>2215</v>
      </c>
      <c r="J940" s="2"/>
      <c r="K940" s="18">
        <v>44755</v>
      </c>
      <c r="L940" s="18">
        <v>44755</v>
      </c>
      <c r="M940" s="18">
        <v>45107</v>
      </c>
      <c r="N940" s="1"/>
      <c r="O940" s="19">
        <v>212525</v>
      </c>
      <c r="P940" s="18">
        <v>45107</v>
      </c>
      <c r="Q940" s="19"/>
      <c r="R940" s="772"/>
      <c r="S940" s="18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12.75" customHeight="1">
      <c r="A941" s="15">
        <v>941</v>
      </c>
      <c r="B941" s="736" t="s">
        <v>3086</v>
      </c>
      <c r="C941" s="16" t="s">
        <v>1339</v>
      </c>
      <c r="D941" s="2" t="s">
        <v>3127</v>
      </c>
      <c r="E941" s="2" t="s">
        <v>3128</v>
      </c>
      <c r="F941" s="15" t="s">
        <v>3823</v>
      </c>
      <c r="G941" s="17">
        <v>237418</v>
      </c>
      <c r="H941" s="2" t="s">
        <v>48</v>
      </c>
      <c r="I941" s="2" t="s">
        <v>1340</v>
      </c>
      <c r="J941" s="2" t="s">
        <v>1314</v>
      </c>
      <c r="K941" s="18">
        <v>41799</v>
      </c>
      <c r="L941" s="18">
        <v>41799</v>
      </c>
      <c r="M941" s="18">
        <v>46546</v>
      </c>
      <c r="N941" s="1"/>
      <c r="O941" s="19">
        <v>0</v>
      </c>
      <c r="P941" s="18">
        <v>46546</v>
      </c>
      <c r="Q941" s="19"/>
      <c r="R941" s="772"/>
      <c r="S941" s="18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12.75" customHeight="1">
      <c r="A942" s="15">
        <v>942</v>
      </c>
      <c r="B942" s="736" t="s">
        <v>3086</v>
      </c>
      <c r="C942" s="16" t="s">
        <v>1477</v>
      </c>
      <c r="D942" s="2" t="s">
        <v>3127</v>
      </c>
      <c r="E942" s="2" t="s">
        <v>3128</v>
      </c>
      <c r="F942" s="15" t="s">
        <v>3824</v>
      </c>
      <c r="G942" s="17">
        <v>237272</v>
      </c>
      <c r="H942" s="2" t="s">
        <v>48</v>
      </c>
      <c r="I942" s="2" t="s">
        <v>1478</v>
      </c>
      <c r="J942" s="2" t="s">
        <v>1471</v>
      </c>
      <c r="K942" s="18">
        <v>42387</v>
      </c>
      <c r="L942" s="18">
        <v>42387</v>
      </c>
      <c r="M942" s="18">
        <v>46039</v>
      </c>
      <c r="N942" s="1"/>
      <c r="O942" s="19">
        <v>0</v>
      </c>
      <c r="P942" s="18">
        <v>46039</v>
      </c>
      <c r="Q942" s="19"/>
      <c r="R942" s="772"/>
      <c r="S942" s="18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12.75" customHeight="1">
      <c r="A943" s="15">
        <v>943</v>
      </c>
      <c r="B943" s="736" t="s">
        <v>3086</v>
      </c>
      <c r="C943" s="16" t="s">
        <v>391</v>
      </c>
      <c r="D943" s="2" t="s">
        <v>3127</v>
      </c>
      <c r="E943" s="2" t="s">
        <v>3128</v>
      </c>
      <c r="F943" s="15" t="s">
        <v>3825</v>
      </c>
      <c r="G943" s="17">
        <v>237078</v>
      </c>
      <c r="H943" s="2" t="s">
        <v>48</v>
      </c>
      <c r="I943" s="2" t="s">
        <v>392</v>
      </c>
      <c r="J943" s="2"/>
      <c r="K943" s="18">
        <v>44575</v>
      </c>
      <c r="L943" s="18">
        <v>44575</v>
      </c>
      <c r="M943" s="18">
        <v>46035</v>
      </c>
      <c r="N943" s="1"/>
      <c r="O943" s="19">
        <v>0</v>
      </c>
      <c r="P943" s="18">
        <v>46035</v>
      </c>
      <c r="Q943" s="19"/>
      <c r="R943" s="772"/>
      <c r="S943" s="18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12.75" customHeight="1">
      <c r="A944" s="15">
        <v>944</v>
      </c>
      <c r="B944" s="736" t="s">
        <v>3086</v>
      </c>
      <c r="C944" s="16" t="s">
        <v>1369</v>
      </c>
      <c r="D944" s="2" t="s">
        <v>3127</v>
      </c>
      <c r="E944" s="2" t="s">
        <v>3128</v>
      </c>
      <c r="F944" s="15" t="s">
        <v>3826</v>
      </c>
      <c r="G944" s="17">
        <v>237051</v>
      </c>
      <c r="H944" s="2" t="s">
        <v>48</v>
      </c>
      <c r="I944" s="2" t="s">
        <v>1370</v>
      </c>
      <c r="J944" s="2" t="s">
        <v>1371</v>
      </c>
      <c r="K944" s="18">
        <v>42044</v>
      </c>
      <c r="L944" s="18">
        <v>42044</v>
      </c>
      <c r="M944" s="18">
        <v>46426</v>
      </c>
      <c r="N944" s="1"/>
      <c r="O944" s="19">
        <v>48157</v>
      </c>
      <c r="P944" s="18">
        <v>46426</v>
      </c>
      <c r="Q944" s="19"/>
      <c r="R944" s="772"/>
      <c r="S944" s="18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12.75" customHeight="1">
      <c r="A945" s="15">
        <v>945</v>
      </c>
      <c r="B945" s="736" t="s">
        <v>1555</v>
      </c>
      <c r="C945" s="16" t="s">
        <v>1799</v>
      </c>
      <c r="D945" s="20" t="s">
        <v>3087</v>
      </c>
      <c r="E945" s="2" t="s">
        <v>3103</v>
      </c>
      <c r="F945" s="15" t="s">
        <v>3826</v>
      </c>
      <c r="G945" s="17">
        <v>237051</v>
      </c>
      <c r="H945" s="2" t="s">
        <v>180</v>
      </c>
      <c r="I945" s="2" t="s">
        <v>1800</v>
      </c>
      <c r="J945" s="2"/>
      <c r="K945" s="18">
        <v>44433</v>
      </c>
      <c r="L945" s="18">
        <v>44433</v>
      </c>
      <c r="M945" s="18">
        <v>44457</v>
      </c>
      <c r="N945" s="1"/>
      <c r="O945" s="19">
        <v>2750</v>
      </c>
      <c r="P945" s="18">
        <v>44457</v>
      </c>
      <c r="Q945" s="19"/>
      <c r="R945" s="772"/>
      <c r="S945" s="18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12.75" customHeight="1">
      <c r="A946" s="15">
        <v>946</v>
      </c>
      <c r="B946" s="736" t="s">
        <v>1555</v>
      </c>
      <c r="C946" s="16" t="s">
        <v>2801</v>
      </c>
      <c r="D946" s="20" t="s">
        <v>3087</v>
      </c>
      <c r="E946" s="2" t="s">
        <v>3093</v>
      </c>
      <c r="F946" s="15" t="s">
        <v>3826</v>
      </c>
      <c r="G946" s="17">
        <v>237051</v>
      </c>
      <c r="H946" s="96" t="s">
        <v>510</v>
      </c>
      <c r="I946" s="2" t="s">
        <v>2802</v>
      </c>
      <c r="J946" s="2"/>
      <c r="K946" s="18">
        <v>45078</v>
      </c>
      <c r="L946" s="18">
        <v>45078</v>
      </c>
      <c r="M946" s="18">
        <v>45107</v>
      </c>
      <c r="N946" s="1"/>
      <c r="O946" s="19"/>
      <c r="P946" s="18">
        <v>45107</v>
      </c>
      <c r="Q946" s="19"/>
      <c r="R946" s="772"/>
      <c r="S946" s="18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12.75" customHeight="1">
      <c r="A947" s="15">
        <v>947</v>
      </c>
      <c r="B947" s="736" t="s">
        <v>1555</v>
      </c>
      <c r="C947" s="16" t="s">
        <v>2343</v>
      </c>
      <c r="D947" s="20" t="s">
        <v>3087</v>
      </c>
      <c r="E947" s="2" t="s">
        <v>3093</v>
      </c>
      <c r="F947" s="15" t="s">
        <v>3826</v>
      </c>
      <c r="G947" s="17">
        <v>237051</v>
      </c>
      <c r="H947" s="96" t="s">
        <v>510</v>
      </c>
      <c r="I947" s="2" t="s">
        <v>2344</v>
      </c>
      <c r="J947" s="2"/>
      <c r="K947" s="18">
        <v>44818</v>
      </c>
      <c r="L947" s="18">
        <v>44818</v>
      </c>
      <c r="M947" s="18">
        <v>44895</v>
      </c>
      <c r="N947" s="1"/>
      <c r="O947" s="19">
        <v>1900</v>
      </c>
      <c r="P947" s="18">
        <v>44895</v>
      </c>
      <c r="Q947" s="19"/>
      <c r="R947" s="772"/>
      <c r="S947" s="18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12.75" customHeight="1">
      <c r="A948" s="15">
        <v>948</v>
      </c>
      <c r="B948" s="736" t="s">
        <v>1555</v>
      </c>
      <c r="C948" s="16" t="s">
        <v>2941</v>
      </c>
      <c r="D948" s="20" t="s">
        <v>3087</v>
      </c>
      <c r="E948" s="2" t="s">
        <v>3093</v>
      </c>
      <c r="F948" s="15" t="s">
        <v>3826</v>
      </c>
      <c r="G948" s="17">
        <v>237051</v>
      </c>
      <c r="H948" s="96" t="s">
        <v>510</v>
      </c>
      <c r="I948" s="2" t="s">
        <v>2942</v>
      </c>
      <c r="J948" s="2"/>
      <c r="K948" s="18">
        <v>45181</v>
      </c>
      <c r="L948" s="18">
        <v>45181</v>
      </c>
      <c r="M948" s="18">
        <v>45230</v>
      </c>
      <c r="N948" s="1"/>
      <c r="O948" s="19">
        <v>1900</v>
      </c>
      <c r="P948" s="18">
        <v>45230</v>
      </c>
      <c r="Q948" s="19"/>
      <c r="R948" s="772"/>
      <c r="S948" s="18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12.75" customHeight="1">
      <c r="A949" s="15">
        <v>949</v>
      </c>
      <c r="B949" s="736" t="s">
        <v>3086</v>
      </c>
      <c r="C949" s="16" t="s">
        <v>1321</v>
      </c>
      <c r="D949" s="2" t="s">
        <v>3127</v>
      </c>
      <c r="E949" s="2" t="s">
        <v>3128</v>
      </c>
      <c r="F949" s="15" t="s">
        <v>3827</v>
      </c>
      <c r="G949" s="17">
        <v>236977</v>
      </c>
      <c r="H949" s="2" t="s">
        <v>48</v>
      </c>
      <c r="I949" s="2" t="s">
        <v>1322</v>
      </c>
      <c r="J949" s="2" t="s">
        <v>1314</v>
      </c>
      <c r="K949" s="18">
        <v>41779</v>
      </c>
      <c r="L949" s="18">
        <v>41779</v>
      </c>
      <c r="M949" s="18">
        <v>46526</v>
      </c>
      <c r="N949" s="1"/>
      <c r="O949" s="19">
        <v>0</v>
      </c>
      <c r="P949" s="18">
        <v>46526</v>
      </c>
      <c r="Q949" s="19"/>
      <c r="R949" s="772"/>
      <c r="S949" s="18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12.75" customHeight="1">
      <c r="A950" s="15">
        <v>950</v>
      </c>
      <c r="B950" s="736" t="s">
        <v>3086</v>
      </c>
      <c r="C950" s="16" t="s">
        <v>1391</v>
      </c>
      <c r="D950" s="2" t="s">
        <v>3127</v>
      </c>
      <c r="E950" s="2" t="s">
        <v>3128</v>
      </c>
      <c r="F950" s="15" t="s">
        <v>3828</v>
      </c>
      <c r="G950" s="17">
        <v>236667</v>
      </c>
      <c r="H950" s="2" t="s">
        <v>48</v>
      </c>
      <c r="I950" s="2" t="s">
        <v>1392</v>
      </c>
      <c r="J950" s="2" t="s">
        <v>1314</v>
      </c>
      <c r="K950" s="18">
        <v>42065</v>
      </c>
      <c r="L950" s="18">
        <v>42065</v>
      </c>
      <c r="M950" s="18">
        <v>46447</v>
      </c>
      <c r="N950" s="1"/>
      <c r="O950" s="19">
        <v>0</v>
      </c>
      <c r="P950" s="18">
        <v>46447</v>
      </c>
      <c r="Q950" s="19"/>
      <c r="R950" s="772"/>
      <c r="S950" s="18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12.75" customHeight="1">
      <c r="A951" s="15">
        <v>951</v>
      </c>
      <c r="B951" s="736" t="s">
        <v>3086</v>
      </c>
      <c r="C951" s="16" t="s">
        <v>479</v>
      </c>
      <c r="D951" s="15" t="s">
        <v>3110</v>
      </c>
      <c r="E951" s="2" t="s">
        <v>3233</v>
      </c>
      <c r="F951" s="15" t="s">
        <v>3829</v>
      </c>
      <c r="G951" s="17">
        <v>236641</v>
      </c>
      <c r="H951" s="2" t="s">
        <v>250</v>
      </c>
      <c r="I951" s="2" t="s">
        <v>480</v>
      </c>
      <c r="J951" s="2"/>
      <c r="K951" s="18">
        <v>44833</v>
      </c>
      <c r="L951" s="18">
        <v>44833</v>
      </c>
      <c r="M951" s="18">
        <v>47024</v>
      </c>
      <c r="N951" s="1"/>
      <c r="O951" s="19">
        <v>490416</v>
      </c>
      <c r="P951" s="18">
        <v>47024</v>
      </c>
      <c r="Q951" s="19">
        <v>490416</v>
      </c>
      <c r="R951" s="772" t="s">
        <v>481</v>
      </c>
      <c r="S951" s="18">
        <v>44840</v>
      </c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12.75" customHeight="1">
      <c r="A952" s="15">
        <v>952</v>
      </c>
      <c r="B952" s="738" t="s">
        <v>3086</v>
      </c>
      <c r="C952" s="16" t="s">
        <v>1502</v>
      </c>
      <c r="D952" s="15" t="s">
        <v>3110</v>
      </c>
      <c r="E952" s="3" t="s">
        <v>3123</v>
      </c>
      <c r="F952" s="15" t="s">
        <v>3830</v>
      </c>
      <c r="G952" s="17">
        <v>236527</v>
      </c>
      <c r="H952" s="2" t="s">
        <v>1463</v>
      </c>
      <c r="I952" s="2" t="s">
        <v>1503</v>
      </c>
      <c r="J952" s="2" t="s">
        <v>1465</v>
      </c>
      <c r="K952" s="18">
        <v>42507</v>
      </c>
      <c r="L952" s="18">
        <v>42507</v>
      </c>
      <c r="M952" s="18">
        <v>53624</v>
      </c>
      <c r="N952" s="1"/>
      <c r="O952" s="19">
        <v>292725</v>
      </c>
      <c r="P952" s="18">
        <v>53624</v>
      </c>
      <c r="Q952" s="19"/>
      <c r="R952" s="773"/>
      <c r="S952" s="18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12.75" customHeight="1">
      <c r="A953" s="15">
        <v>953</v>
      </c>
      <c r="B953" s="738" t="s">
        <v>3086</v>
      </c>
      <c r="C953" s="16" t="s">
        <v>1537</v>
      </c>
      <c r="D953" s="15" t="s">
        <v>3110</v>
      </c>
      <c r="E953" s="3" t="s">
        <v>3123</v>
      </c>
      <c r="F953" s="15" t="s">
        <v>3830</v>
      </c>
      <c r="G953" s="17">
        <v>236527</v>
      </c>
      <c r="H953" s="2" t="s">
        <v>250</v>
      </c>
      <c r="I953" s="2" t="s">
        <v>1538</v>
      </c>
      <c r="J953" s="2" t="s">
        <v>1539</v>
      </c>
      <c r="K953" s="18">
        <v>35755</v>
      </c>
      <c r="L953" s="18">
        <v>35755</v>
      </c>
      <c r="M953" s="18">
        <v>53624</v>
      </c>
      <c r="N953" s="1">
        <v>2</v>
      </c>
      <c r="O953" s="19">
        <v>20000</v>
      </c>
      <c r="P953" s="18">
        <v>53624</v>
      </c>
      <c r="Q953" s="19">
        <v>80000</v>
      </c>
      <c r="R953" s="772" t="s">
        <v>3831</v>
      </c>
      <c r="S953" s="18" t="s">
        <v>3832</v>
      </c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12.75" customHeight="1">
      <c r="A954" s="15">
        <v>954</v>
      </c>
      <c r="B954" s="738" t="s">
        <v>3086</v>
      </c>
      <c r="C954" s="16" t="s">
        <v>1540</v>
      </c>
      <c r="D954" s="15" t="s">
        <v>3110</v>
      </c>
      <c r="E954" s="3" t="s">
        <v>3123</v>
      </c>
      <c r="F954" s="15" t="s">
        <v>3830</v>
      </c>
      <c r="G954" s="17">
        <v>236527</v>
      </c>
      <c r="H954" s="2" t="s">
        <v>250</v>
      </c>
      <c r="I954" s="2" t="s">
        <v>1541</v>
      </c>
      <c r="J954" s="2" t="s">
        <v>1542</v>
      </c>
      <c r="K954" s="18">
        <v>36095</v>
      </c>
      <c r="L954" s="18">
        <v>36095</v>
      </c>
      <c r="M954" s="18">
        <v>54357</v>
      </c>
      <c r="N954" s="1"/>
      <c r="O954" s="19">
        <v>0</v>
      </c>
      <c r="P954" s="18">
        <v>54357</v>
      </c>
      <c r="Q954" s="19"/>
      <c r="R954" s="773"/>
      <c r="S954" s="18"/>
      <c r="T954" s="2"/>
      <c r="U954" s="2"/>
      <c r="V954" s="2"/>
      <c r="W954" s="2"/>
      <c r="X954" s="25" t="s">
        <v>3799</v>
      </c>
      <c r="Y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12.75" customHeight="1">
      <c r="A955" s="15">
        <v>955</v>
      </c>
      <c r="B955" s="736" t="s">
        <v>1555</v>
      </c>
      <c r="C955" s="16" t="s">
        <v>2811</v>
      </c>
      <c r="D955" s="20" t="s">
        <v>3087</v>
      </c>
      <c r="E955" s="2" t="s">
        <v>3093</v>
      </c>
      <c r="F955" s="15" t="s">
        <v>3833</v>
      </c>
      <c r="G955" s="17">
        <v>236365</v>
      </c>
      <c r="H955" s="96" t="s">
        <v>510</v>
      </c>
      <c r="I955" s="2" t="s">
        <v>2812</v>
      </c>
      <c r="J955" s="2"/>
      <c r="K955" s="18">
        <v>45085</v>
      </c>
      <c r="L955" s="18">
        <v>45085</v>
      </c>
      <c r="M955" s="18">
        <v>45107</v>
      </c>
      <c r="N955" s="1"/>
      <c r="O955" s="19"/>
      <c r="P955" s="18">
        <v>45107</v>
      </c>
      <c r="Q955" s="19"/>
      <c r="R955" s="772"/>
      <c r="S955" s="18"/>
      <c r="T955" s="2"/>
      <c r="U955" s="2"/>
      <c r="V955" s="2"/>
      <c r="W955" s="2"/>
      <c r="X955" s="2"/>
      <c r="Y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12.75" customHeight="1">
      <c r="A956" s="15">
        <v>956</v>
      </c>
      <c r="B956" s="736" t="s">
        <v>3086</v>
      </c>
      <c r="C956" s="16" t="s">
        <v>1347</v>
      </c>
      <c r="D956" s="2" t="s">
        <v>3127</v>
      </c>
      <c r="E956" s="2" t="s">
        <v>3128</v>
      </c>
      <c r="F956" s="15" t="s">
        <v>3834</v>
      </c>
      <c r="G956" s="17">
        <v>235873</v>
      </c>
      <c r="H956" s="2" t="s">
        <v>48</v>
      </c>
      <c r="I956" s="2" t="s">
        <v>1348</v>
      </c>
      <c r="J956" s="2" t="s">
        <v>1314</v>
      </c>
      <c r="K956" s="18">
        <v>41816</v>
      </c>
      <c r="L956" s="18">
        <v>41816</v>
      </c>
      <c r="M956" s="18">
        <v>46563</v>
      </c>
      <c r="N956" s="1"/>
      <c r="O956" s="19">
        <v>0</v>
      </c>
      <c r="P956" s="18">
        <v>46563</v>
      </c>
      <c r="Q956" s="19"/>
      <c r="R956" s="772"/>
      <c r="S956" s="18"/>
      <c r="T956" s="2"/>
      <c r="U956" s="2"/>
      <c r="V956" s="2"/>
      <c r="W956" s="2"/>
      <c r="X956" s="2"/>
      <c r="Y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12.75" customHeight="1">
      <c r="A957" s="15">
        <v>957</v>
      </c>
      <c r="B957" s="736" t="s">
        <v>1555</v>
      </c>
      <c r="C957" s="16" t="s">
        <v>1721</v>
      </c>
      <c r="D957" s="20" t="s">
        <v>3087</v>
      </c>
      <c r="E957" s="2" t="s">
        <v>3103</v>
      </c>
      <c r="F957" s="15" t="s">
        <v>3835</v>
      </c>
      <c r="G957" s="17">
        <v>235474</v>
      </c>
      <c r="H957" s="2" t="s">
        <v>180</v>
      </c>
      <c r="I957" s="2" t="s">
        <v>1722</v>
      </c>
      <c r="J957" s="2"/>
      <c r="K957" s="18">
        <v>44372</v>
      </c>
      <c r="L957" s="18">
        <v>44372</v>
      </c>
      <c r="M957" s="18">
        <v>44374</v>
      </c>
      <c r="N957" s="1"/>
      <c r="O957" s="19">
        <v>0</v>
      </c>
      <c r="P957" s="18">
        <v>44374</v>
      </c>
      <c r="Q957" s="19"/>
      <c r="R957" s="772"/>
      <c r="S957" s="18"/>
      <c r="T957" s="2"/>
      <c r="U957" s="2"/>
      <c r="V957" s="2"/>
      <c r="W957" s="2"/>
      <c r="X957" s="2"/>
      <c r="Y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12.75" customHeight="1">
      <c r="A958" s="15">
        <v>958</v>
      </c>
      <c r="B958" s="736" t="s">
        <v>3086</v>
      </c>
      <c r="C958" s="16" t="s">
        <v>1376</v>
      </c>
      <c r="D958" s="2" t="s">
        <v>3127</v>
      </c>
      <c r="E958" s="2" t="s">
        <v>3128</v>
      </c>
      <c r="F958" s="15" t="s">
        <v>3836</v>
      </c>
      <c r="G958" s="17">
        <v>235440</v>
      </c>
      <c r="H958" s="2" t="s">
        <v>48</v>
      </c>
      <c r="I958" s="2" t="s">
        <v>1377</v>
      </c>
      <c r="J958" s="2" t="s">
        <v>1314</v>
      </c>
      <c r="K958" s="18">
        <v>42051</v>
      </c>
      <c r="L958" s="18">
        <v>42051</v>
      </c>
      <c r="M958" s="18">
        <v>46433</v>
      </c>
      <c r="N958" s="1"/>
      <c r="O958" s="19">
        <v>48157</v>
      </c>
      <c r="P958" s="18">
        <v>46433</v>
      </c>
      <c r="Q958" s="19"/>
      <c r="R958" s="772"/>
      <c r="S958" s="18"/>
      <c r="T958" s="2"/>
      <c r="U958" s="2"/>
      <c r="V958" s="2"/>
      <c r="W958" s="2"/>
      <c r="X958" s="2"/>
      <c r="Y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12.75" customHeight="1">
      <c r="A959" s="15">
        <v>959</v>
      </c>
      <c r="B959" s="736" t="s">
        <v>1555</v>
      </c>
      <c r="C959" s="16" t="s">
        <v>2743</v>
      </c>
      <c r="D959" s="20" t="s">
        <v>3087</v>
      </c>
      <c r="E959" s="2" t="s">
        <v>3093</v>
      </c>
      <c r="F959" s="15" t="s">
        <v>3836</v>
      </c>
      <c r="G959" s="17">
        <v>235440</v>
      </c>
      <c r="H959" s="96" t="s">
        <v>510</v>
      </c>
      <c r="I959" s="2" t="s">
        <v>2744</v>
      </c>
      <c r="J959" s="2"/>
      <c r="K959" s="18">
        <v>45050</v>
      </c>
      <c r="L959" s="18">
        <v>45050</v>
      </c>
      <c r="M959" s="18">
        <v>45107</v>
      </c>
      <c r="N959" s="1"/>
      <c r="O959" s="19"/>
      <c r="P959" s="18">
        <v>45107</v>
      </c>
      <c r="Q959" s="19"/>
      <c r="R959" s="772"/>
      <c r="S959" s="18"/>
      <c r="T959" s="2"/>
      <c r="U959" s="2"/>
      <c r="V959" s="2"/>
      <c r="W959" s="2"/>
      <c r="X959" s="2"/>
      <c r="Y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12.75" customHeight="1">
      <c r="A960" s="15">
        <v>960</v>
      </c>
      <c r="B960" s="736" t="s">
        <v>1555</v>
      </c>
      <c r="C960" s="16" t="s">
        <v>2745</v>
      </c>
      <c r="D960" s="20" t="s">
        <v>3087</v>
      </c>
      <c r="E960" s="2" t="s">
        <v>3093</v>
      </c>
      <c r="F960" s="15" t="s">
        <v>3836</v>
      </c>
      <c r="G960" s="17">
        <v>235440</v>
      </c>
      <c r="H960" s="96" t="s">
        <v>510</v>
      </c>
      <c r="I960" s="2" t="s">
        <v>2746</v>
      </c>
      <c r="J960" s="2"/>
      <c r="K960" s="18">
        <v>45050</v>
      </c>
      <c r="L960" s="18">
        <v>45050</v>
      </c>
      <c r="M960" s="18">
        <v>45076</v>
      </c>
      <c r="N960" s="1"/>
      <c r="O960" s="19"/>
      <c r="P960" s="18">
        <v>45076</v>
      </c>
      <c r="Q960" s="19"/>
      <c r="R960" s="772"/>
      <c r="S960" s="18"/>
      <c r="T960" s="2"/>
      <c r="U960" s="2"/>
      <c r="V960" s="2"/>
      <c r="W960" s="2"/>
      <c r="X960" s="2"/>
      <c r="Y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12.75" customHeight="1">
      <c r="A961" s="15">
        <v>961</v>
      </c>
      <c r="B961" s="738" t="s">
        <v>3086</v>
      </c>
      <c r="C961" s="16" t="s">
        <v>1095</v>
      </c>
      <c r="D961" s="15" t="s">
        <v>3110</v>
      </c>
      <c r="E961" s="3" t="s">
        <v>3233</v>
      </c>
      <c r="F961" s="15" t="s">
        <v>3837</v>
      </c>
      <c r="G961" s="17">
        <v>235334</v>
      </c>
      <c r="H961" s="2" t="s">
        <v>1096</v>
      </c>
      <c r="I961" s="2" t="s">
        <v>1097</v>
      </c>
      <c r="J961" s="2" t="s">
        <v>1097</v>
      </c>
      <c r="K961" s="18">
        <v>39265</v>
      </c>
      <c r="L961" s="18">
        <v>39265</v>
      </c>
      <c r="M961" s="18">
        <v>2958465</v>
      </c>
      <c r="N961" s="1"/>
      <c r="O961" s="19"/>
      <c r="P961" s="18">
        <v>2958465</v>
      </c>
      <c r="Q961" s="19"/>
      <c r="R961" s="773"/>
      <c r="S961" s="18"/>
      <c r="T961" s="2"/>
      <c r="U961" s="2"/>
      <c r="V961" s="2"/>
      <c r="W961" s="2"/>
      <c r="X961" s="2"/>
      <c r="Y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12.75" customHeight="1">
      <c r="A962" s="15">
        <v>962</v>
      </c>
      <c r="B962" s="736" t="s">
        <v>3086</v>
      </c>
      <c r="C962" s="16" t="s">
        <v>1372</v>
      </c>
      <c r="D962" s="2" t="s">
        <v>3127</v>
      </c>
      <c r="E962" s="2" t="s">
        <v>3128</v>
      </c>
      <c r="F962" s="15" t="s">
        <v>3837</v>
      </c>
      <c r="G962" s="17">
        <v>235334</v>
      </c>
      <c r="H962" s="2" t="s">
        <v>48</v>
      </c>
      <c r="I962" s="2" t="s">
        <v>1373</v>
      </c>
      <c r="J962" s="2" t="s">
        <v>1314</v>
      </c>
      <c r="K962" s="18">
        <v>42047</v>
      </c>
      <c r="L962" s="18">
        <v>42047</v>
      </c>
      <c r="M962" s="18">
        <v>46429</v>
      </c>
      <c r="N962" s="1"/>
      <c r="O962" s="19">
        <v>48157</v>
      </c>
      <c r="P962" s="18">
        <v>46429</v>
      </c>
      <c r="Q962" s="19"/>
      <c r="R962" s="772"/>
      <c r="S962" s="18"/>
      <c r="T962" s="2"/>
      <c r="U962" s="2"/>
      <c r="V962" s="2"/>
      <c r="W962" s="2"/>
      <c r="X962" s="2"/>
      <c r="Y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12.75" customHeight="1">
      <c r="A963" s="15">
        <v>963</v>
      </c>
      <c r="B963" s="736" t="s">
        <v>3086</v>
      </c>
      <c r="C963" s="16" t="s">
        <v>1327</v>
      </c>
      <c r="D963" s="2" t="s">
        <v>3127</v>
      </c>
      <c r="E963" s="2" t="s">
        <v>3128</v>
      </c>
      <c r="F963" s="15" t="s">
        <v>3838</v>
      </c>
      <c r="G963" s="17">
        <v>234877</v>
      </c>
      <c r="H963" s="2" t="s">
        <v>48</v>
      </c>
      <c r="I963" s="2" t="s">
        <v>1328</v>
      </c>
      <c r="J963" s="2" t="s">
        <v>1314</v>
      </c>
      <c r="K963" s="18">
        <v>41771</v>
      </c>
      <c r="L963" s="18">
        <v>41771</v>
      </c>
      <c r="M963" s="18">
        <v>46518</v>
      </c>
      <c r="N963" s="1"/>
      <c r="O963" s="19">
        <v>0</v>
      </c>
      <c r="P963" s="18">
        <v>46518</v>
      </c>
      <c r="Q963" s="19"/>
      <c r="R963" s="772"/>
      <c r="S963" s="18"/>
      <c r="T963" s="2"/>
      <c r="U963" s="2"/>
      <c r="V963" s="2"/>
      <c r="W963" s="2"/>
      <c r="X963" s="2"/>
      <c r="Y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12.75" customHeight="1">
      <c r="A964" s="15">
        <v>964</v>
      </c>
      <c r="B964" s="738" t="s">
        <v>3086</v>
      </c>
      <c r="C964" s="16" t="s">
        <v>1098</v>
      </c>
      <c r="D964" s="20" t="s">
        <v>3087</v>
      </c>
      <c r="E964" s="3" t="s">
        <v>3093</v>
      </c>
      <c r="F964" s="15" t="s">
        <v>3839</v>
      </c>
      <c r="G964" s="17">
        <v>234516</v>
      </c>
      <c r="H964" s="96" t="s">
        <v>510</v>
      </c>
      <c r="I964" s="2" t="s">
        <v>1099</v>
      </c>
      <c r="J964" s="2" t="s">
        <v>1099</v>
      </c>
      <c r="K964" s="18">
        <v>39420</v>
      </c>
      <c r="L964" s="18">
        <v>39420</v>
      </c>
      <c r="M964" s="18">
        <v>2958465</v>
      </c>
      <c r="N964" s="1"/>
      <c r="O964" s="19">
        <v>0</v>
      </c>
      <c r="P964" s="18">
        <v>2958465</v>
      </c>
      <c r="Q964" s="19"/>
      <c r="R964" s="773"/>
      <c r="S964" s="18"/>
      <c r="T964" s="2"/>
      <c r="U964" s="2">
        <v>3</v>
      </c>
      <c r="V964" s="2"/>
      <c r="W964" s="2"/>
      <c r="X964" s="25" t="s">
        <v>3799</v>
      </c>
      <c r="Y964" s="2"/>
      <c r="AA964" s="2"/>
      <c r="AB964" s="2"/>
      <c r="AC964" s="2"/>
      <c r="AD964" s="2"/>
      <c r="AE964" s="2" t="s">
        <v>4741</v>
      </c>
      <c r="AF964" s="2"/>
      <c r="AG964" s="2"/>
      <c r="AH964" s="2"/>
      <c r="AI964" s="2"/>
      <c r="AJ964" s="2"/>
      <c r="AK964" s="2"/>
      <c r="AL964" s="2"/>
    </row>
    <row r="965" spans="1:38" ht="12.75" customHeight="1">
      <c r="A965" s="15">
        <v>965</v>
      </c>
      <c r="B965" s="736" t="s">
        <v>3086</v>
      </c>
      <c r="C965" s="16" t="s">
        <v>1345</v>
      </c>
      <c r="D965" s="2" t="s">
        <v>3127</v>
      </c>
      <c r="E965" s="2" t="s">
        <v>3128</v>
      </c>
      <c r="F965" s="15" t="s">
        <v>3840</v>
      </c>
      <c r="G965" s="17">
        <v>234073</v>
      </c>
      <c r="H965" s="2" t="s">
        <v>48</v>
      </c>
      <c r="I965" s="2" t="s">
        <v>1346</v>
      </c>
      <c r="J965" s="2" t="s">
        <v>1314</v>
      </c>
      <c r="K965" s="18">
        <v>41813</v>
      </c>
      <c r="L965" s="18">
        <v>41813</v>
      </c>
      <c r="M965" s="18">
        <v>46560</v>
      </c>
      <c r="N965" s="1"/>
      <c r="O965" s="19">
        <v>0</v>
      </c>
      <c r="P965" s="18">
        <v>46560</v>
      </c>
      <c r="Q965" s="19"/>
      <c r="R965" s="772"/>
      <c r="S965" s="18"/>
      <c r="T965" s="2"/>
      <c r="U965" s="2"/>
      <c r="V965" s="2"/>
      <c r="W965" s="2"/>
      <c r="Y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12.75" customHeight="1">
      <c r="A966" s="15">
        <v>966</v>
      </c>
      <c r="B966" s="738" t="s">
        <v>1555</v>
      </c>
      <c r="C966" s="16" t="s">
        <v>1169</v>
      </c>
      <c r="D966" s="15" t="s">
        <v>3110</v>
      </c>
      <c r="E966" s="3" t="s">
        <v>3123</v>
      </c>
      <c r="F966" s="15" t="s">
        <v>3841</v>
      </c>
      <c r="G966" s="17">
        <v>234061</v>
      </c>
      <c r="H966" s="2" t="s">
        <v>250</v>
      </c>
      <c r="I966" s="2" t="s">
        <v>1170</v>
      </c>
      <c r="K966" s="18">
        <v>40360</v>
      </c>
      <c r="L966" s="18">
        <v>40360</v>
      </c>
      <c r="M966" s="18">
        <v>45699</v>
      </c>
      <c r="N966" s="1">
        <v>4</v>
      </c>
      <c r="O966" s="19">
        <v>10001</v>
      </c>
      <c r="P966" s="18">
        <v>45699</v>
      </c>
      <c r="Q966" s="19"/>
      <c r="R966" s="773"/>
      <c r="S966" s="18"/>
      <c r="T966" s="2"/>
      <c r="U966" s="2"/>
      <c r="V966" s="2"/>
      <c r="W966" s="2"/>
      <c r="X966" s="25" t="s">
        <v>3799</v>
      </c>
      <c r="Y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12.75" customHeight="1">
      <c r="A967" s="15">
        <v>967</v>
      </c>
      <c r="B967" s="738" t="s">
        <v>1555</v>
      </c>
      <c r="C967" s="16" t="s">
        <v>5322</v>
      </c>
      <c r="D967" s="15" t="s">
        <v>3110</v>
      </c>
      <c r="E967" s="3" t="s">
        <v>3958</v>
      </c>
      <c r="F967" s="15" t="s">
        <v>3841</v>
      </c>
      <c r="G967" s="17">
        <v>234061</v>
      </c>
      <c r="H967" s="2" t="s">
        <v>1905</v>
      </c>
      <c r="I967" s="2" t="s">
        <v>5323</v>
      </c>
      <c r="J967" s="2" t="s">
        <v>5323</v>
      </c>
      <c r="K967" s="18">
        <v>45699</v>
      </c>
      <c r="L967" s="18">
        <v>45699</v>
      </c>
      <c r="M967" s="18">
        <v>45699</v>
      </c>
      <c r="N967" s="1"/>
      <c r="O967" s="19">
        <v>0</v>
      </c>
      <c r="P967" s="18">
        <v>45699</v>
      </c>
      <c r="Q967" s="19"/>
      <c r="R967" s="773"/>
      <c r="S967" s="18"/>
      <c r="T967" s="2"/>
      <c r="U967" s="2"/>
      <c r="V967" s="2"/>
      <c r="W967" s="2"/>
      <c r="X967" s="25"/>
      <c r="Y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12.75" customHeight="1">
      <c r="A968" s="15">
        <v>968</v>
      </c>
      <c r="B968" s="736" t="s">
        <v>1555</v>
      </c>
      <c r="C968" s="16" t="s">
        <v>2794</v>
      </c>
      <c r="D968" s="20" t="s">
        <v>3087</v>
      </c>
      <c r="E968" s="3" t="s">
        <v>3093</v>
      </c>
      <c r="F968" s="15" t="s">
        <v>3842</v>
      </c>
      <c r="G968" s="17">
        <v>233901</v>
      </c>
      <c r="H968" s="96" t="s">
        <v>510</v>
      </c>
      <c r="I968" s="2" t="s">
        <v>2795</v>
      </c>
      <c r="J968" s="2"/>
      <c r="K968" s="18">
        <v>45076</v>
      </c>
      <c r="L968" s="18">
        <v>45076</v>
      </c>
      <c r="M968" s="18">
        <v>45138</v>
      </c>
      <c r="N968" s="1"/>
      <c r="O968" s="19">
        <v>2500</v>
      </c>
      <c r="P968" s="18">
        <v>45138</v>
      </c>
      <c r="Q968" s="19"/>
      <c r="R968" s="772"/>
      <c r="S968" s="18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12.75" customHeight="1">
      <c r="A969" s="15">
        <v>969</v>
      </c>
      <c r="B969" s="736" t="s">
        <v>3086</v>
      </c>
      <c r="C969" s="16" t="s">
        <v>1323</v>
      </c>
      <c r="D969" s="2" t="s">
        <v>3127</v>
      </c>
      <c r="E969" s="2" t="s">
        <v>3128</v>
      </c>
      <c r="F969" s="15" t="s">
        <v>3843</v>
      </c>
      <c r="G969" s="17">
        <v>233374</v>
      </c>
      <c r="H969" s="2" t="s">
        <v>48</v>
      </c>
      <c r="I969" s="2" t="s">
        <v>1324</v>
      </c>
      <c r="J969" s="2" t="s">
        <v>1314</v>
      </c>
      <c r="K969" s="18">
        <v>41773</v>
      </c>
      <c r="L969" s="18">
        <v>41773</v>
      </c>
      <c r="M969" s="18">
        <v>46520</v>
      </c>
      <c r="N969" s="1"/>
      <c r="O969" s="19">
        <v>0</v>
      </c>
      <c r="P969" s="18">
        <v>46520</v>
      </c>
      <c r="Q969" s="19"/>
      <c r="R969" s="772"/>
      <c r="S969" s="18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12.75" customHeight="1">
      <c r="A970" s="15">
        <v>970</v>
      </c>
      <c r="B970" s="736" t="s">
        <v>3086</v>
      </c>
      <c r="C970" s="16" t="s">
        <v>1401</v>
      </c>
      <c r="D970" s="2" t="s">
        <v>3127</v>
      </c>
      <c r="E970" s="2" t="s">
        <v>3128</v>
      </c>
      <c r="F970" s="15" t="s">
        <v>3844</v>
      </c>
      <c r="G970" s="17">
        <v>233358</v>
      </c>
      <c r="H970" s="2" t="s">
        <v>48</v>
      </c>
      <c r="I970" s="2" t="s">
        <v>1402</v>
      </c>
      <c r="J970" s="2" t="s">
        <v>1314</v>
      </c>
      <c r="K970" s="18">
        <v>42107</v>
      </c>
      <c r="L970" s="18">
        <v>42107</v>
      </c>
      <c r="M970" s="18">
        <v>46501</v>
      </c>
      <c r="N970" s="1"/>
      <c r="O970" s="19">
        <v>0</v>
      </c>
      <c r="P970" s="18">
        <v>46501</v>
      </c>
      <c r="Q970" s="19"/>
      <c r="R970" s="772"/>
      <c r="S970" s="18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12.75" customHeight="1">
      <c r="A971" s="15">
        <v>971</v>
      </c>
      <c r="B971" s="736" t="s">
        <v>3086</v>
      </c>
      <c r="C971" s="16" t="s">
        <v>1487</v>
      </c>
      <c r="D971" s="2" t="s">
        <v>3127</v>
      </c>
      <c r="E971" s="2" t="s">
        <v>3128</v>
      </c>
      <c r="F971" s="15" t="s">
        <v>3845</v>
      </c>
      <c r="G971" s="17">
        <v>233242</v>
      </c>
      <c r="H971" s="2" t="s">
        <v>48</v>
      </c>
      <c r="I971" s="2" t="s">
        <v>1488</v>
      </c>
      <c r="J971" s="2" t="s">
        <v>1314</v>
      </c>
      <c r="K971" s="18">
        <v>42389</v>
      </c>
      <c r="L971" s="18">
        <v>42389</v>
      </c>
      <c r="M971" s="18">
        <v>46041</v>
      </c>
      <c r="N971" s="1"/>
      <c r="O971" s="19">
        <v>48156.79</v>
      </c>
      <c r="P971" s="18">
        <v>46041</v>
      </c>
      <c r="Q971" s="19"/>
      <c r="R971" s="772"/>
      <c r="S971" s="18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12.75" customHeight="1">
      <c r="A972" s="15">
        <v>972</v>
      </c>
      <c r="B972" s="736" t="s">
        <v>3086</v>
      </c>
      <c r="C972" s="16" t="s">
        <v>1399</v>
      </c>
      <c r="D972" s="2" t="s">
        <v>3127</v>
      </c>
      <c r="E972" s="2" t="s">
        <v>3128</v>
      </c>
      <c r="F972" s="15" t="s">
        <v>3846</v>
      </c>
      <c r="G972" s="17">
        <v>233129</v>
      </c>
      <c r="H972" s="2" t="s">
        <v>48</v>
      </c>
      <c r="I972" s="2" t="s">
        <v>1400</v>
      </c>
      <c r="J972" s="2" t="s">
        <v>1314</v>
      </c>
      <c r="K972" s="18">
        <v>42107</v>
      </c>
      <c r="L972" s="18">
        <v>42107</v>
      </c>
      <c r="M972" s="18">
        <v>46489</v>
      </c>
      <c r="N972" s="1"/>
      <c r="O972" s="19">
        <v>0</v>
      </c>
      <c r="P972" s="18">
        <v>46489</v>
      </c>
      <c r="Q972" s="19"/>
      <c r="R972" s="772"/>
      <c r="S972" s="18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12.75" customHeight="1">
      <c r="A973" s="15">
        <v>973</v>
      </c>
      <c r="B973" s="736" t="s">
        <v>3086</v>
      </c>
      <c r="C973" s="16" t="s">
        <v>492</v>
      </c>
      <c r="D973" s="15" t="s">
        <v>3110</v>
      </c>
      <c r="E973" s="2" t="s">
        <v>3123</v>
      </c>
      <c r="F973" s="15" t="s">
        <v>3847</v>
      </c>
      <c r="G973" s="17">
        <v>232980</v>
      </c>
      <c r="H973" s="2" t="s">
        <v>250</v>
      </c>
      <c r="I973" s="2" t="s">
        <v>493</v>
      </c>
      <c r="J973" s="2"/>
      <c r="K973" s="18">
        <v>44960</v>
      </c>
      <c r="L973" s="18">
        <v>44960</v>
      </c>
      <c r="M973" s="18">
        <v>47151</v>
      </c>
      <c r="N973" s="1">
        <v>2</v>
      </c>
      <c r="O973" s="19">
        <v>508200</v>
      </c>
      <c r="P973" s="18">
        <v>47151</v>
      </c>
      <c r="Q973" s="19">
        <v>508200</v>
      </c>
      <c r="R973" s="772" t="s">
        <v>494</v>
      </c>
      <c r="S973" s="18">
        <v>44960</v>
      </c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12.75" customHeight="1">
      <c r="A974" s="15">
        <v>974</v>
      </c>
      <c r="B974" s="736" t="s">
        <v>1555</v>
      </c>
      <c r="C974" s="16" t="s">
        <v>2602</v>
      </c>
      <c r="D974" s="15" t="s">
        <v>3110</v>
      </c>
      <c r="E974" s="2" t="s">
        <v>3126</v>
      </c>
      <c r="F974" s="15" t="s">
        <v>3847</v>
      </c>
      <c r="G974" s="17">
        <v>232980</v>
      </c>
      <c r="H974" s="2" t="s">
        <v>588</v>
      </c>
      <c r="I974" s="2" t="s">
        <v>3848</v>
      </c>
      <c r="J974" s="2"/>
      <c r="K974" s="18">
        <v>44960</v>
      </c>
      <c r="L974" s="18">
        <v>44960</v>
      </c>
      <c r="M974" s="18">
        <v>45016</v>
      </c>
      <c r="N974" s="1"/>
      <c r="O974" s="19">
        <v>17500</v>
      </c>
      <c r="P974" s="18">
        <v>45016</v>
      </c>
      <c r="Q974" s="19"/>
      <c r="R974" s="772"/>
      <c r="S974" s="18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12.75" customHeight="1">
      <c r="A975" s="15">
        <v>975</v>
      </c>
      <c r="B975" s="736" t="s">
        <v>1555</v>
      </c>
      <c r="C975" s="16" t="s">
        <v>2450</v>
      </c>
      <c r="D975" s="20" t="s">
        <v>3110</v>
      </c>
      <c r="E975" s="2" t="s">
        <v>3126</v>
      </c>
      <c r="F975" s="15" t="s">
        <v>3847</v>
      </c>
      <c r="G975" s="17">
        <v>232980</v>
      </c>
      <c r="H975" s="2" t="s">
        <v>588</v>
      </c>
      <c r="I975" s="2" t="s">
        <v>3849</v>
      </c>
      <c r="J975" s="2"/>
      <c r="K975" s="18">
        <v>44872</v>
      </c>
      <c r="L975" s="18">
        <v>44872</v>
      </c>
      <c r="M975" s="18">
        <v>44895</v>
      </c>
      <c r="N975" s="1"/>
      <c r="O975" s="19">
        <v>65770.679999999993</v>
      </c>
      <c r="P975" s="18">
        <v>44895</v>
      </c>
      <c r="Q975" s="19"/>
      <c r="R975" s="772"/>
      <c r="S975" s="18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12.75" customHeight="1">
      <c r="A976" s="15">
        <v>976</v>
      </c>
      <c r="B976" s="736" t="s">
        <v>3086</v>
      </c>
      <c r="C976" s="16" t="s">
        <v>1315</v>
      </c>
      <c r="D976" s="2" t="s">
        <v>3127</v>
      </c>
      <c r="E976" s="2" t="s">
        <v>3128</v>
      </c>
      <c r="F976" s="15" t="s">
        <v>3850</v>
      </c>
      <c r="G976" s="17">
        <v>232963</v>
      </c>
      <c r="H976" s="2" t="s">
        <v>48</v>
      </c>
      <c r="I976" s="2" t="s">
        <v>1316</v>
      </c>
      <c r="J976" s="2" t="s">
        <v>1314</v>
      </c>
      <c r="K976" s="18">
        <v>41782</v>
      </c>
      <c r="L976" s="18">
        <v>41782</v>
      </c>
      <c r="M976" s="18">
        <v>46529</v>
      </c>
      <c r="N976" s="1"/>
      <c r="O976" s="19">
        <v>0</v>
      </c>
      <c r="P976" s="18">
        <v>46529</v>
      </c>
      <c r="Q976" s="19"/>
      <c r="R976" s="772"/>
      <c r="S976" s="18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12.75" customHeight="1">
      <c r="A977" s="15">
        <v>977</v>
      </c>
      <c r="B977" s="736" t="s">
        <v>1555</v>
      </c>
      <c r="C977" s="16" t="s">
        <v>419</v>
      </c>
      <c r="D977" s="15" t="s">
        <v>3110</v>
      </c>
      <c r="E977" s="2" t="s">
        <v>3123</v>
      </c>
      <c r="F977" s="15" t="s">
        <v>3850</v>
      </c>
      <c r="G977" s="17">
        <v>232963</v>
      </c>
      <c r="H977" s="2" t="s">
        <v>250</v>
      </c>
      <c r="I977" s="2" t="s">
        <v>420</v>
      </c>
      <c r="J977" s="2"/>
      <c r="K977" s="18">
        <v>44651</v>
      </c>
      <c r="L977" s="18">
        <v>44652</v>
      </c>
      <c r="M977" s="18">
        <v>45382</v>
      </c>
      <c r="N977" s="1"/>
      <c r="O977" s="19">
        <v>176675</v>
      </c>
      <c r="P977" s="18">
        <v>45382</v>
      </c>
      <c r="Q977" s="19">
        <v>176675</v>
      </c>
      <c r="R977" s="772" t="s">
        <v>421</v>
      </c>
      <c r="S977" s="18">
        <v>44658</v>
      </c>
      <c r="T977" s="2"/>
      <c r="U977" s="2"/>
      <c r="V977" s="2" t="s">
        <v>3091</v>
      </c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12.75" customHeight="1">
      <c r="A978" s="15">
        <v>978</v>
      </c>
      <c r="B978" s="738" t="s">
        <v>3086</v>
      </c>
      <c r="C978" s="16" t="s">
        <v>975</v>
      </c>
      <c r="D978" s="2" t="s">
        <v>3110</v>
      </c>
      <c r="E978" s="3" t="s">
        <v>3233</v>
      </c>
      <c r="F978" s="15" t="s">
        <v>3851</v>
      </c>
      <c r="G978" s="17">
        <v>232947</v>
      </c>
      <c r="H978" s="2" t="s">
        <v>250</v>
      </c>
      <c r="I978" s="2" t="s">
        <v>976</v>
      </c>
      <c r="J978" s="2" t="s">
        <v>977</v>
      </c>
      <c r="K978" s="18">
        <v>36542</v>
      </c>
      <c r="L978" s="18">
        <v>36542</v>
      </c>
      <c r="M978" s="18"/>
      <c r="N978" s="1"/>
      <c r="O978" s="19">
        <v>137302</v>
      </c>
      <c r="P978" s="18"/>
      <c r="Q978" s="19">
        <v>137302</v>
      </c>
      <c r="R978" s="773"/>
      <c r="S978" s="18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12.75" customHeight="1">
      <c r="A979" s="15">
        <v>979</v>
      </c>
      <c r="B979" s="736" t="s">
        <v>3086</v>
      </c>
      <c r="C979" s="16" t="s">
        <v>1312</v>
      </c>
      <c r="D979" s="2" t="s">
        <v>3127</v>
      </c>
      <c r="E979" s="2" t="s">
        <v>3128</v>
      </c>
      <c r="F979" s="15" t="s">
        <v>3851</v>
      </c>
      <c r="G979" s="17">
        <v>232947</v>
      </c>
      <c r="H979" s="2" t="s">
        <v>48</v>
      </c>
      <c r="I979" s="2" t="s">
        <v>1313</v>
      </c>
      <c r="J979" s="2" t="s">
        <v>1314</v>
      </c>
      <c r="K979" s="18">
        <v>41788</v>
      </c>
      <c r="L979" s="18">
        <v>41788</v>
      </c>
      <c r="M979" s="18">
        <v>46535</v>
      </c>
      <c r="N979" s="1"/>
      <c r="O979" s="19">
        <v>0</v>
      </c>
      <c r="P979" s="18">
        <v>46535</v>
      </c>
      <c r="Q979" s="19"/>
      <c r="R979" s="772"/>
      <c r="S979" s="18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12.75" customHeight="1">
      <c r="A980" s="15">
        <v>980</v>
      </c>
      <c r="B980" s="736" t="s">
        <v>3086</v>
      </c>
      <c r="C980" s="16" t="s">
        <v>543</v>
      </c>
      <c r="D980" s="15" t="s">
        <v>3110</v>
      </c>
      <c r="E980" s="2" t="s">
        <v>3157</v>
      </c>
      <c r="F980" s="15" t="s">
        <v>3851</v>
      </c>
      <c r="G980" s="17">
        <v>232947</v>
      </c>
      <c r="H980" s="2" t="s">
        <v>250</v>
      </c>
      <c r="I980" s="2" t="s">
        <v>544</v>
      </c>
      <c r="J980" s="2"/>
      <c r="K980" s="18">
        <v>44820</v>
      </c>
      <c r="L980" s="18">
        <v>44830</v>
      </c>
      <c r="M980" s="18">
        <v>46660</v>
      </c>
      <c r="N980" s="1"/>
      <c r="O980" s="19">
        <v>56600</v>
      </c>
      <c r="P980" s="18">
        <v>46660</v>
      </c>
      <c r="Q980" s="19">
        <v>56600</v>
      </c>
      <c r="R980" s="772" t="s">
        <v>545</v>
      </c>
      <c r="S980" s="18">
        <v>44853</v>
      </c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12.75" customHeight="1">
      <c r="A981" s="15">
        <v>981</v>
      </c>
      <c r="B981" s="736" t="s">
        <v>1555</v>
      </c>
      <c r="C981" s="16" t="s">
        <v>1561</v>
      </c>
      <c r="D981" s="20" t="s">
        <v>3087</v>
      </c>
      <c r="E981" s="2" t="s">
        <v>3092</v>
      </c>
      <c r="F981" s="15" t="s">
        <v>3851</v>
      </c>
      <c r="G981" s="17">
        <v>232947</v>
      </c>
      <c r="H981" s="2" t="s">
        <v>684</v>
      </c>
      <c r="I981" s="2" t="s">
        <v>1562</v>
      </c>
      <c r="J981" s="2"/>
      <c r="K981" s="18">
        <v>44217</v>
      </c>
      <c r="L981" s="18">
        <v>44217</v>
      </c>
      <c r="M981" s="18">
        <v>44227</v>
      </c>
      <c r="N981" s="1"/>
      <c r="O981" s="19">
        <v>12100</v>
      </c>
      <c r="P981" s="18">
        <v>44227</v>
      </c>
      <c r="Q981" s="19"/>
      <c r="R981" s="772"/>
      <c r="S981" s="18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12.75" customHeight="1">
      <c r="A982" s="15">
        <v>982</v>
      </c>
      <c r="B982" s="736" t="s">
        <v>1555</v>
      </c>
      <c r="C982" s="16" t="s">
        <v>1771</v>
      </c>
      <c r="D982" s="20" t="s">
        <v>3087</v>
      </c>
      <c r="E982" s="2" t="s">
        <v>3103</v>
      </c>
      <c r="F982" s="15" t="s">
        <v>3851</v>
      </c>
      <c r="G982" s="17">
        <v>232947</v>
      </c>
      <c r="H982" s="2" t="s">
        <v>180</v>
      </c>
      <c r="I982" s="2" t="s">
        <v>1772</v>
      </c>
      <c r="J982" s="2"/>
      <c r="K982" s="18">
        <v>44415</v>
      </c>
      <c r="L982" s="18">
        <v>44415</v>
      </c>
      <c r="M982" s="18">
        <v>44416</v>
      </c>
      <c r="N982" s="1"/>
      <c r="O982" s="19">
        <v>0</v>
      </c>
      <c r="P982" s="18">
        <v>44416</v>
      </c>
      <c r="Q982" s="19"/>
      <c r="R982" s="772"/>
      <c r="S982" s="18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12.75" customHeight="1">
      <c r="A983" s="15">
        <v>983</v>
      </c>
      <c r="B983" s="736" t="s">
        <v>1555</v>
      </c>
      <c r="C983" s="16" t="s">
        <v>2420</v>
      </c>
      <c r="D983" s="20" t="s">
        <v>3110</v>
      </c>
      <c r="E983" s="2" t="s">
        <v>3126</v>
      </c>
      <c r="F983" s="15" t="s">
        <v>3851</v>
      </c>
      <c r="G983" s="17">
        <v>232947</v>
      </c>
      <c r="H983" s="2" t="s">
        <v>588</v>
      </c>
      <c r="I983" s="2" t="s">
        <v>2421</v>
      </c>
      <c r="J983" s="2"/>
      <c r="K983" s="18">
        <v>44825</v>
      </c>
      <c r="L983" s="18">
        <v>44825</v>
      </c>
      <c r="M983" s="18">
        <v>44834</v>
      </c>
      <c r="N983" s="1"/>
      <c r="O983" s="19">
        <v>142612.37</v>
      </c>
      <c r="P983" s="18">
        <v>44834</v>
      </c>
      <c r="Q983" s="19"/>
      <c r="R983" s="772"/>
      <c r="S983" s="18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12.75" customHeight="1">
      <c r="A984" s="15">
        <v>984</v>
      </c>
      <c r="B984" s="736" t="s">
        <v>3086</v>
      </c>
      <c r="C984" s="16" t="s">
        <v>1475</v>
      </c>
      <c r="D984" s="2" t="s">
        <v>3127</v>
      </c>
      <c r="E984" s="2" t="s">
        <v>3128</v>
      </c>
      <c r="F984" s="15" t="s">
        <v>3852</v>
      </c>
      <c r="G984" s="17">
        <v>232645</v>
      </c>
      <c r="H984" s="2" t="s">
        <v>48</v>
      </c>
      <c r="I984" s="2" t="s">
        <v>1476</v>
      </c>
      <c r="J984" s="2" t="s">
        <v>1471</v>
      </c>
      <c r="K984" s="18">
        <v>42387</v>
      </c>
      <c r="L984" s="18">
        <v>42387</v>
      </c>
      <c r="M984" s="18">
        <v>46039</v>
      </c>
      <c r="N984" s="1"/>
      <c r="O984" s="19">
        <v>0</v>
      </c>
      <c r="P984" s="18">
        <v>46039</v>
      </c>
      <c r="Q984" s="19"/>
      <c r="R984" s="772"/>
      <c r="S984" s="18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12.75" customHeight="1">
      <c r="A985" s="15">
        <v>985</v>
      </c>
      <c r="B985" s="738" t="s">
        <v>3086</v>
      </c>
      <c r="C985" s="16" t="s">
        <v>1472</v>
      </c>
      <c r="D985" s="20" t="s">
        <v>3127</v>
      </c>
      <c r="E985" s="3" t="s">
        <v>3088</v>
      </c>
      <c r="F985" s="15" t="s">
        <v>3853</v>
      </c>
      <c r="G985" s="17">
        <v>232386</v>
      </c>
      <c r="H985" s="2" t="s">
        <v>48</v>
      </c>
      <c r="I985" s="2" t="s">
        <v>3854</v>
      </c>
      <c r="K985" s="18">
        <v>42382</v>
      </c>
      <c r="L985" s="18">
        <v>42382</v>
      </c>
      <c r="M985" s="18">
        <v>46034</v>
      </c>
      <c r="N985" s="1"/>
      <c r="O985" s="19">
        <v>0</v>
      </c>
      <c r="P985" s="18">
        <v>46034</v>
      </c>
      <c r="Q985" s="19"/>
      <c r="R985" s="773"/>
      <c r="S985" s="18"/>
      <c r="T985" s="2"/>
      <c r="U985" s="2"/>
      <c r="V985" s="2"/>
      <c r="W985" s="2"/>
      <c r="X985" s="43" t="s">
        <v>3855</v>
      </c>
      <c r="Y985" s="2"/>
      <c r="Z985" s="2"/>
      <c r="AA985" s="2"/>
      <c r="AB985" s="2"/>
      <c r="AC985" s="2"/>
      <c r="AD985" s="2"/>
      <c r="AE985" s="2" t="s">
        <v>4746</v>
      </c>
      <c r="AF985" s="2"/>
      <c r="AG985" s="2"/>
      <c r="AH985" s="2"/>
      <c r="AI985" s="2"/>
      <c r="AJ985" s="2"/>
      <c r="AK985" s="2"/>
      <c r="AL985" s="2"/>
    </row>
    <row r="986" spans="1:38" ht="12.75" customHeight="1">
      <c r="A986" s="15">
        <v>986</v>
      </c>
      <c r="B986" s="736" t="s">
        <v>3086</v>
      </c>
      <c r="C986" s="16" t="s">
        <v>21</v>
      </c>
      <c r="D986" s="2" t="s">
        <v>3127</v>
      </c>
      <c r="E986" s="2" t="s">
        <v>3128</v>
      </c>
      <c r="F986" s="15" t="s">
        <v>3856</v>
      </c>
      <c r="G986" s="17">
        <v>231584</v>
      </c>
      <c r="H986" s="2" t="s">
        <v>48</v>
      </c>
      <c r="I986" s="2" t="s">
        <v>22</v>
      </c>
      <c r="J986" s="2"/>
      <c r="K986" s="18">
        <v>42790</v>
      </c>
      <c r="L986" s="18">
        <v>42790</v>
      </c>
      <c r="M986" s="18">
        <v>46441</v>
      </c>
      <c r="N986" s="1"/>
      <c r="O986" s="19">
        <v>39325</v>
      </c>
      <c r="P986" s="18">
        <v>46441</v>
      </c>
      <c r="Q986" s="19"/>
      <c r="R986" s="772"/>
      <c r="S986" s="18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12.75" customHeight="1">
      <c r="A987" s="15">
        <v>987</v>
      </c>
      <c r="B987" s="736" t="s">
        <v>3086</v>
      </c>
      <c r="C987" s="16" t="s">
        <v>1397</v>
      </c>
      <c r="D987" s="2" t="s">
        <v>3127</v>
      </c>
      <c r="E987" s="2" t="s">
        <v>3128</v>
      </c>
      <c r="F987" s="15" t="s">
        <v>3857</v>
      </c>
      <c r="G987" s="17">
        <v>231550</v>
      </c>
      <c r="H987" s="2" t="s">
        <v>48</v>
      </c>
      <c r="I987" s="2" t="s">
        <v>1398</v>
      </c>
      <c r="J987" s="2" t="s">
        <v>1314</v>
      </c>
      <c r="K987" s="18">
        <v>42104</v>
      </c>
      <c r="L987" s="18">
        <v>42104</v>
      </c>
      <c r="M987" s="18">
        <v>45756</v>
      </c>
      <c r="N987" s="1"/>
      <c r="O987" s="19">
        <v>0</v>
      </c>
      <c r="P987" s="18">
        <v>45756</v>
      </c>
      <c r="Q987" s="19"/>
      <c r="R987" s="772"/>
      <c r="S987" s="18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12.75" customHeight="1">
      <c r="A988" s="15">
        <v>988</v>
      </c>
      <c r="B988" s="736" t="s">
        <v>3086</v>
      </c>
      <c r="C988" s="16" t="s">
        <v>1349</v>
      </c>
      <c r="D988" s="2" t="s">
        <v>3127</v>
      </c>
      <c r="E988" s="2" t="s">
        <v>3128</v>
      </c>
      <c r="F988" s="15" t="s">
        <v>3858</v>
      </c>
      <c r="G988" s="17">
        <v>231525</v>
      </c>
      <c r="H988" s="2" t="s">
        <v>48</v>
      </c>
      <c r="I988" s="2" t="s">
        <v>1350</v>
      </c>
      <c r="J988" s="2" t="s">
        <v>1314</v>
      </c>
      <c r="K988" s="18">
        <v>41817</v>
      </c>
      <c r="L988" s="18">
        <v>41817</v>
      </c>
      <c r="M988" s="18">
        <v>46564</v>
      </c>
      <c r="N988" s="1"/>
      <c r="O988" s="19">
        <v>0</v>
      </c>
      <c r="P988" s="18">
        <v>46564</v>
      </c>
      <c r="Q988" s="19"/>
      <c r="R988" s="772"/>
      <c r="S988" s="18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12.75" customHeight="1">
      <c r="A989" s="15">
        <v>989</v>
      </c>
      <c r="B989" s="736" t="s">
        <v>1555</v>
      </c>
      <c r="C989" s="16" t="s">
        <v>920</v>
      </c>
      <c r="D989" s="20" t="s">
        <v>3110</v>
      </c>
      <c r="E989" s="3" t="s">
        <v>3088</v>
      </c>
      <c r="F989" s="15" t="s">
        <v>3859</v>
      </c>
      <c r="G989" s="17">
        <v>231401</v>
      </c>
      <c r="H989" s="2" t="s">
        <v>48</v>
      </c>
      <c r="I989" s="2" t="s">
        <v>921</v>
      </c>
      <c r="J989" s="2"/>
      <c r="K989" s="18">
        <v>45309</v>
      </c>
      <c r="L989" s="18">
        <v>45309</v>
      </c>
      <c r="M989" s="18">
        <v>45427</v>
      </c>
      <c r="N989" s="1">
        <v>7</v>
      </c>
      <c r="O989" s="19">
        <v>0</v>
      </c>
      <c r="P989" s="18">
        <v>45427</v>
      </c>
      <c r="Q989" s="19"/>
      <c r="R989" s="772"/>
      <c r="S989" s="18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12.75" customHeight="1">
      <c r="A990" s="15">
        <v>990</v>
      </c>
      <c r="B990" s="736" t="s">
        <v>3086</v>
      </c>
      <c r="C990" s="16" t="s">
        <v>726</v>
      </c>
      <c r="D990" s="2" t="s">
        <v>3127</v>
      </c>
      <c r="E990" s="2" t="s">
        <v>3128</v>
      </c>
      <c r="F990" s="15" t="s">
        <v>3859</v>
      </c>
      <c r="G990" s="17">
        <v>231401</v>
      </c>
      <c r="H990" s="2" t="s">
        <v>48</v>
      </c>
      <c r="I990" s="2" t="s">
        <v>727</v>
      </c>
      <c r="J990" s="2"/>
      <c r="K990" s="18">
        <v>45086</v>
      </c>
      <c r="L990" s="18">
        <v>45086</v>
      </c>
      <c r="M990" s="18">
        <v>46546</v>
      </c>
      <c r="N990" s="1"/>
      <c r="O990" s="19">
        <v>78650</v>
      </c>
      <c r="P990" s="18">
        <v>46546</v>
      </c>
      <c r="Q990" s="19">
        <v>78650</v>
      </c>
      <c r="R990" s="772" t="s">
        <v>728</v>
      </c>
      <c r="S990" s="18">
        <v>45091</v>
      </c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12.75" customHeight="1">
      <c r="A991" s="15">
        <v>991</v>
      </c>
      <c r="B991" s="738" t="s">
        <v>3086</v>
      </c>
      <c r="C991" s="16" t="s">
        <v>290</v>
      </c>
      <c r="D991" s="20" t="s">
        <v>4667</v>
      </c>
      <c r="E991" s="3" t="s">
        <v>3132</v>
      </c>
      <c r="F991" s="15" t="s">
        <v>3859</v>
      </c>
      <c r="G991" s="17">
        <v>231401</v>
      </c>
      <c r="H991" s="2" t="s">
        <v>48</v>
      </c>
      <c r="I991" s="2" t="s">
        <v>291</v>
      </c>
      <c r="J991" s="2" t="s">
        <v>291</v>
      </c>
      <c r="K991" s="18">
        <v>44161</v>
      </c>
      <c r="L991" s="18">
        <v>44161</v>
      </c>
      <c r="M991" s="18">
        <v>2958465</v>
      </c>
      <c r="N991" s="1"/>
      <c r="O991" s="19">
        <v>1</v>
      </c>
      <c r="P991" s="18">
        <v>2958465</v>
      </c>
      <c r="Q991" s="19">
        <v>1</v>
      </c>
      <c r="R991" s="772" t="s">
        <v>292</v>
      </c>
      <c r="S991" s="18">
        <v>44161</v>
      </c>
      <c r="T991" s="2"/>
      <c r="U991" s="2"/>
      <c r="V991" s="2"/>
      <c r="W991" s="2"/>
      <c r="X991" s="43" t="s">
        <v>3855</v>
      </c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12.75" customHeight="1">
      <c r="A992" s="15">
        <v>992</v>
      </c>
      <c r="B992" s="736" t="s">
        <v>1555</v>
      </c>
      <c r="C992" s="16" t="s">
        <v>1657</v>
      </c>
      <c r="D992" s="20" t="s">
        <v>3087</v>
      </c>
      <c r="E992" s="2" t="s">
        <v>3103</v>
      </c>
      <c r="F992" s="15" t="s">
        <v>3859</v>
      </c>
      <c r="G992" s="17">
        <v>231401</v>
      </c>
      <c r="H992" s="2" t="s">
        <v>180</v>
      </c>
      <c r="I992" s="2" t="s">
        <v>1658</v>
      </c>
      <c r="J992" s="2"/>
      <c r="K992" s="18">
        <v>44372</v>
      </c>
      <c r="L992" s="18">
        <v>44372</v>
      </c>
      <c r="M992" s="18">
        <v>44372</v>
      </c>
      <c r="N992" s="1"/>
      <c r="O992" s="19">
        <v>0</v>
      </c>
      <c r="P992" s="18">
        <v>44372</v>
      </c>
      <c r="Q992" s="19"/>
      <c r="R992" s="772"/>
      <c r="S992" s="18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12.75" customHeight="1">
      <c r="A993" s="15">
        <v>993</v>
      </c>
      <c r="B993" s="736" t="s">
        <v>1555</v>
      </c>
      <c r="C993" s="16" t="s">
        <v>2114</v>
      </c>
      <c r="D993" s="20" t="s">
        <v>3087</v>
      </c>
      <c r="E993" s="2" t="s">
        <v>3093</v>
      </c>
      <c r="F993" s="15" t="s">
        <v>3859</v>
      </c>
      <c r="G993" s="17">
        <v>231401</v>
      </c>
      <c r="H993" s="96" t="s">
        <v>510</v>
      </c>
      <c r="I993" s="2" t="s">
        <v>2115</v>
      </c>
      <c r="J993" s="2"/>
      <c r="K993" s="18">
        <v>44692</v>
      </c>
      <c r="L993" s="18">
        <v>44692</v>
      </c>
      <c r="M993" s="18">
        <v>44804</v>
      </c>
      <c r="N993" s="1"/>
      <c r="O993" s="19"/>
      <c r="P993" s="18">
        <v>44804</v>
      </c>
      <c r="Q993" s="19"/>
      <c r="R993" s="772"/>
      <c r="S993" s="18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12.75" customHeight="1">
      <c r="A994" s="15">
        <v>994</v>
      </c>
      <c r="B994" s="736" t="s">
        <v>1555</v>
      </c>
      <c r="C994" s="16" t="s">
        <v>2116</v>
      </c>
      <c r="D994" s="20" t="s">
        <v>3087</v>
      </c>
      <c r="E994" s="2" t="s">
        <v>3093</v>
      </c>
      <c r="F994" s="15" t="s">
        <v>3859</v>
      </c>
      <c r="G994" s="17">
        <v>231401</v>
      </c>
      <c r="H994" s="96" t="s">
        <v>510</v>
      </c>
      <c r="I994" s="2" t="s">
        <v>2117</v>
      </c>
      <c r="J994" s="2"/>
      <c r="K994" s="18">
        <v>44692</v>
      </c>
      <c r="L994" s="18">
        <v>44692</v>
      </c>
      <c r="M994" s="18">
        <v>44895</v>
      </c>
      <c r="N994" s="1"/>
      <c r="O994" s="19"/>
      <c r="P994" s="18">
        <v>44895</v>
      </c>
      <c r="Q994" s="19"/>
      <c r="R994" s="772"/>
      <c r="S994" s="18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12.75" customHeight="1">
      <c r="A995" s="15">
        <v>995</v>
      </c>
      <c r="B995" s="736" t="s">
        <v>1555</v>
      </c>
      <c r="C995" s="16" t="s">
        <v>1767</v>
      </c>
      <c r="D995" s="20" t="s">
        <v>3087</v>
      </c>
      <c r="E995" s="2" t="s">
        <v>3103</v>
      </c>
      <c r="F995" s="15" t="s">
        <v>3859</v>
      </c>
      <c r="G995" s="17">
        <v>231401</v>
      </c>
      <c r="H995" s="2" t="s">
        <v>180</v>
      </c>
      <c r="I995" s="2" t="s">
        <v>1768</v>
      </c>
      <c r="J995" s="2"/>
      <c r="K995" s="18">
        <v>44419</v>
      </c>
      <c r="L995" s="18">
        <v>44419</v>
      </c>
      <c r="M995" s="18">
        <v>44436</v>
      </c>
      <c r="N995" s="1"/>
      <c r="O995" s="19"/>
      <c r="P995" s="18">
        <v>44436</v>
      </c>
      <c r="Q995" s="19"/>
      <c r="R995" s="772"/>
      <c r="S995" s="18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12.75" customHeight="1">
      <c r="A996" s="15">
        <v>996</v>
      </c>
      <c r="B996" s="736" t="s">
        <v>1555</v>
      </c>
      <c r="C996" s="16" t="s">
        <v>2751</v>
      </c>
      <c r="D996" s="20" t="s">
        <v>3087</v>
      </c>
      <c r="E996" s="2" t="s">
        <v>3093</v>
      </c>
      <c r="F996" s="15" t="s">
        <v>3859</v>
      </c>
      <c r="G996" s="17">
        <v>231401</v>
      </c>
      <c r="H996" s="2" t="s">
        <v>48</v>
      </c>
      <c r="I996" s="2" t="s">
        <v>2752</v>
      </c>
      <c r="J996" s="2"/>
      <c r="K996" s="18">
        <v>45058</v>
      </c>
      <c r="L996" s="18">
        <v>45058</v>
      </c>
      <c r="M996" s="18">
        <v>45087</v>
      </c>
      <c r="N996" s="1"/>
      <c r="O996" s="19"/>
      <c r="P996" s="18">
        <v>45087</v>
      </c>
      <c r="Q996" s="19"/>
      <c r="R996" s="772"/>
      <c r="S996" s="18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12.75" customHeight="1">
      <c r="A997" s="15">
        <v>997</v>
      </c>
      <c r="B997" s="736" t="s">
        <v>1555</v>
      </c>
      <c r="C997" s="16" t="s">
        <v>2893</v>
      </c>
      <c r="D997" s="20" t="s">
        <v>3087</v>
      </c>
      <c r="E997" s="2" t="s">
        <v>3093</v>
      </c>
      <c r="F997" s="15" t="s">
        <v>3859</v>
      </c>
      <c r="G997" s="17">
        <v>231401</v>
      </c>
      <c r="H997" s="96" t="s">
        <v>510</v>
      </c>
      <c r="I997" s="2" t="s">
        <v>2894</v>
      </c>
      <c r="J997" s="2"/>
      <c r="K997" s="18">
        <v>45138</v>
      </c>
      <c r="L997" s="18">
        <v>45138</v>
      </c>
      <c r="M997" s="18">
        <v>45199</v>
      </c>
      <c r="N997" s="1"/>
      <c r="O997" s="19"/>
      <c r="P997" s="18">
        <v>45199</v>
      </c>
      <c r="Q997" s="19"/>
      <c r="R997" s="772"/>
      <c r="S997" s="18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12.75" customHeight="1">
      <c r="A998" s="15">
        <v>998</v>
      </c>
      <c r="B998" s="736" t="s">
        <v>1555</v>
      </c>
      <c r="C998" s="16" t="s">
        <v>2349</v>
      </c>
      <c r="D998" s="20" t="s">
        <v>3110</v>
      </c>
      <c r="E998" s="2" t="s">
        <v>3088</v>
      </c>
      <c r="F998" s="15" t="s">
        <v>3859</v>
      </c>
      <c r="G998" s="17">
        <v>231401</v>
      </c>
      <c r="H998" s="2" t="s">
        <v>48</v>
      </c>
      <c r="I998" s="2" t="s">
        <v>2350</v>
      </c>
      <c r="J998" s="2"/>
      <c r="K998" s="18">
        <v>44820</v>
      </c>
      <c r="L998" s="18">
        <v>44820</v>
      </c>
      <c r="M998" s="18">
        <v>44865</v>
      </c>
      <c r="N998" s="1"/>
      <c r="O998" s="19"/>
      <c r="P998" s="18">
        <v>44865</v>
      </c>
      <c r="Q998" s="19"/>
      <c r="R998" s="772"/>
      <c r="S998" s="18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12.75" customHeight="1">
      <c r="A999" s="15">
        <v>999</v>
      </c>
      <c r="B999" s="738" t="s">
        <v>3086</v>
      </c>
      <c r="C999" s="16" t="s">
        <v>241</v>
      </c>
      <c r="D999" s="20" t="s">
        <v>3087</v>
      </c>
      <c r="E999" s="2" t="s">
        <v>3093</v>
      </c>
      <c r="F999" s="15" t="s">
        <v>3860</v>
      </c>
      <c r="G999" s="17">
        <v>216208</v>
      </c>
      <c r="H999" s="96" t="s">
        <v>510</v>
      </c>
      <c r="I999" s="2" t="s">
        <v>242</v>
      </c>
      <c r="K999" s="18">
        <v>43927</v>
      </c>
      <c r="L999" s="18">
        <v>43927</v>
      </c>
      <c r="M999" s="18">
        <v>2958465</v>
      </c>
      <c r="N999" s="1"/>
      <c r="O999" s="19">
        <v>0</v>
      </c>
      <c r="P999" s="18">
        <v>2958465</v>
      </c>
      <c r="Q999" s="19"/>
      <c r="R999" s="773"/>
      <c r="S999" s="18"/>
      <c r="T999" s="2"/>
      <c r="U999" s="2">
        <v>3</v>
      </c>
      <c r="V999" s="2" t="s">
        <v>4625</v>
      </c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12.75" customHeight="1">
      <c r="A1000" s="15">
        <v>1000</v>
      </c>
      <c r="B1000" s="737" t="s">
        <v>3086</v>
      </c>
      <c r="C1000" s="71" t="s">
        <v>1176</v>
      </c>
      <c r="D1000" s="20" t="s">
        <v>3087</v>
      </c>
      <c r="E1000" s="77" t="s">
        <v>3097</v>
      </c>
      <c r="F1000" s="75" t="s">
        <v>3861</v>
      </c>
      <c r="G1000" s="76">
        <v>179906</v>
      </c>
      <c r="H1000" s="96" t="s">
        <v>830</v>
      </c>
      <c r="I1000" s="77" t="s">
        <v>768</v>
      </c>
      <c r="J1000" s="2" t="s">
        <v>1177</v>
      </c>
      <c r="K1000" s="18">
        <v>40396</v>
      </c>
      <c r="L1000" s="18">
        <v>40396</v>
      </c>
      <c r="M1000" s="18">
        <v>2958465</v>
      </c>
      <c r="N1000" s="1"/>
      <c r="O1000" s="19">
        <v>0</v>
      </c>
      <c r="P1000" s="18">
        <v>2958465</v>
      </c>
      <c r="Q1000" s="19"/>
      <c r="R1000" s="773"/>
      <c r="S1000" s="18"/>
      <c r="T1000" s="2"/>
      <c r="U1000" s="2"/>
      <c r="V1000" s="2" t="s">
        <v>4625</v>
      </c>
      <c r="W1000" s="2"/>
      <c r="X1000" s="25" t="s">
        <v>3209</v>
      </c>
      <c r="Y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 ht="12.75" customHeight="1">
      <c r="A1001" s="15">
        <v>1001</v>
      </c>
      <c r="B1001" s="736" t="s">
        <v>1555</v>
      </c>
      <c r="C1001" s="16" t="s">
        <v>2286</v>
      </c>
      <c r="D1001" s="20" t="s">
        <v>3087</v>
      </c>
      <c r="E1001" s="2" t="s">
        <v>3097</v>
      </c>
      <c r="F1001" s="15" t="s">
        <v>3861</v>
      </c>
      <c r="G1001" s="17">
        <v>179906</v>
      </c>
      <c r="H1001" s="96" t="s">
        <v>830</v>
      </c>
      <c r="I1001" s="2" t="s">
        <v>2287</v>
      </c>
      <c r="J1001" s="2"/>
      <c r="K1001" s="18">
        <v>44797</v>
      </c>
      <c r="L1001" s="18">
        <v>44797</v>
      </c>
      <c r="M1001" s="18">
        <v>44957</v>
      </c>
      <c r="N1001" s="1"/>
      <c r="O1001" s="19">
        <v>3780</v>
      </c>
      <c r="P1001" s="18">
        <v>44957</v>
      </c>
      <c r="Q1001" s="19"/>
      <c r="R1001" s="772"/>
      <c r="S1001" s="18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 ht="12.75" customHeight="1">
      <c r="A1002" s="15">
        <v>1002</v>
      </c>
      <c r="B1002" s="736" t="s">
        <v>3086</v>
      </c>
      <c r="C1002" s="16" t="s">
        <v>649</v>
      </c>
      <c r="D1002" s="20" t="s">
        <v>3110</v>
      </c>
      <c r="E1002" s="2" t="s">
        <v>3093</v>
      </c>
      <c r="F1002" s="2" t="s">
        <v>3862</v>
      </c>
      <c r="G1002" s="17">
        <v>177041</v>
      </c>
      <c r="H1002" s="96" t="s">
        <v>510</v>
      </c>
      <c r="I1002" s="2" t="s">
        <v>650</v>
      </c>
      <c r="J1002" s="2"/>
      <c r="K1002" s="18">
        <v>44971</v>
      </c>
      <c r="L1002" s="18">
        <v>44971</v>
      </c>
      <c r="M1002" s="18">
        <v>2958465</v>
      </c>
      <c r="N1002" s="1">
        <v>6</v>
      </c>
      <c r="O1002" s="19">
        <v>218000</v>
      </c>
      <c r="P1002" s="18">
        <v>2958465</v>
      </c>
      <c r="Q1002" s="19"/>
      <c r="R1002" s="772"/>
      <c r="S1002" s="18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 t="s">
        <v>4726</v>
      </c>
      <c r="AF1002" s="2"/>
      <c r="AG1002" s="2"/>
      <c r="AH1002" s="2"/>
      <c r="AI1002" s="2"/>
      <c r="AJ1002" s="2"/>
      <c r="AK1002" s="2"/>
      <c r="AL1002" s="2"/>
    </row>
    <row r="1003" spans="1:38" ht="12.75" customHeight="1">
      <c r="A1003" s="15">
        <v>1003</v>
      </c>
      <c r="B1003" s="736" t="s">
        <v>1555</v>
      </c>
      <c r="C1003" s="16" t="s">
        <v>1961</v>
      </c>
      <c r="D1003" s="20" t="s">
        <v>3087</v>
      </c>
      <c r="E1003" s="2" t="s">
        <v>3103</v>
      </c>
      <c r="F1003" s="2" t="s">
        <v>3862</v>
      </c>
      <c r="G1003" s="17">
        <v>177041</v>
      </c>
      <c r="H1003" s="2" t="s">
        <v>180</v>
      </c>
      <c r="I1003" s="2" t="s">
        <v>1962</v>
      </c>
      <c r="J1003" s="2"/>
      <c r="K1003" s="18">
        <v>44587</v>
      </c>
      <c r="L1003" s="18">
        <v>44587</v>
      </c>
      <c r="M1003" s="18">
        <v>44926</v>
      </c>
      <c r="N1003" s="1"/>
      <c r="O1003" s="19">
        <v>206000</v>
      </c>
      <c r="P1003" s="18">
        <v>44926</v>
      </c>
      <c r="Q1003" s="19"/>
      <c r="R1003" s="772"/>
      <c r="S1003" s="18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spans="1:38" ht="12.75" customHeight="1">
      <c r="A1004" s="15">
        <v>1004</v>
      </c>
      <c r="B1004" s="736" t="s">
        <v>1555</v>
      </c>
      <c r="C1004" s="16" t="s">
        <v>1659</v>
      </c>
      <c r="D1004" s="20" t="s">
        <v>3087</v>
      </c>
      <c r="E1004" s="2" t="s">
        <v>3103</v>
      </c>
      <c r="F1004" s="2" t="s">
        <v>3862</v>
      </c>
      <c r="G1004" s="17">
        <v>177041</v>
      </c>
      <c r="H1004" s="2" t="s">
        <v>180</v>
      </c>
      <c r="I1004" s="2" t="s">
        <v>1660</v>
      </c>
      <c r="J1004" s="2"/>
      <c r="K1004" s="18">
        <v>44362</v>
      </c>
      <c r="L1004" s="18">
        <v>44362</v>
      </c>
      <c r="M1004" s="18">
        <v>44561</v>
      </c>
      <c r="N1004" s="1"/>
      <c r="O1004" s="19">
        <v>172000</v>
      </c>
      <c r="P1004" s="18">
        <v>44561</v>
      </c>
      <c r="Q1004" s="19"/>
      <c r="R1004" s="772"/>
      <c r="S1004" s="18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spans="1:38" ht="12.75" customHeight="1">
      <c r="A1005" s="15">
        <v>1005</v>
      </c>
      <c r="B1005" s="736" t="s">
        <v>3086</v>
      </c>
      <c r="C1005" s="16" t="s">
        <v>393</v>
      </c>
      <c r="D1005" s="21" t="s">
        <v>3116</v>
      </c>
      <c r="E1005" s="2" t="s">
        <v>3273</v>
      </c>
      <c r="F1005" s="2" t="s">
        <v>3863</v>
      </c>
      <c r="G1005" s="17">
        <v>174939</v>
      </c>
      <c r="H1005" s="2" t="s">
        <v>271</v>
      </c>
      <c r="I1005" s="2" t="s">
        <v>394</v>
      </c>
      <c r="J1005" s="2"/>
      <c r="K1005" s="18">
        <v>44602</v>
      </c>
      <c r="L1005" s="18">
        <v>44602</v>
      </c>
      <c r="M1005" s="18">
        <v>2958465</v>
      </c>
      <c r="N1005" s="1">
        <v>2</v>
      </c>
      <c r="O1005" s="19">
        <v>21477000</v>
      </c>
      <c r="P1005" s="18">
        <v>2958465</v>
      </c>
      <c r="Q1005" s="19">
        <v>21477000</v>
      </c>
      <c r="R1005" s="772" t="s">
        <v>395</v>
      </c>
      <c r="S1005" s="18">
        <v>44602</v>
      </c>
      <c r="T1005" s="2"/>
      <c r="U1005" s="3">
        <v>3</v>
      </c>
      <c r="V1005" s="2" t="s">
        <v>4625</v>
      </c>
      <c r="W1005" s="2" t="s">
        <v>4625</v>
      </c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spans="1:38" ht="12.75" customHeight="1">
      <c r="A1006" s="15">
        <v>1006</v>
      </c>
      <c r="B1006" s="736" t="s">
        <v>1555</v>
      </c>
      <c r="C1006" s="16" t="s">
        <v>2679</v>
      </c>
      <c r="D1006" s="15" t="s">
        <v>3116</v>
      </c>
      <c r="E1006" s="2" t="s">
        <v>3197</v>
      </c>
      <c r="F1006" s="2" t="s">
        <v>3863</v>
      </c>
      <c r="G1006" s="17">
        <v>174939</v>
      </c>
      <c r="H1006" s="2" t="s">
        <v>546</v>
      </c>
      <c r="I1006" s="2" t="s">
        <v>2680</v>
      </c>
      <c r="J1006" s="2"/>
      <c r="K1006" s="18">
        <v>45007</v>
      </c>
      <c r="L1006" s="18">
        <v>45007</v>
      </c>
      <c r="M1006" s="18">
        <v>45050</v>
      </c>
      <c r="N1006" s="1"/>
      <c r="O1006" s="19">
        <v>243331</v>
      </c>
      <c r="P1006" s="18">
        <v>45050</v>
      </c>
      <c r="Q1006" s="19"/>
      <c r="R1006" s="772"/>
      <c r="S1006" s="18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 ht="12.75" customHeight="1">
      <c r="A1007" s="15">
        <v>1007</v>
      </c>
      <c r="B1007" s="736" t="s">
        <v>1555</v>
      </c>
      <c r="C1007" s="16" t="s">
        <v>2500</v>
      </c>
      <c r="D1007" s="15" t="s">
        <v>3116</v>
      </c>
      <c r="E1007" s="2" t="s">
        <v>3197</v>
      </c>
      <c r="F1007" s="2" t="s">
        <v>3863</v>
      </c>
      <c r="G1007" s="17">
        <v>174939</v>
      </c>
      <c r="H1007" s="2" t="s">
        <v>546</v>
      </c>
      <c r="I1007" s="2" t="s">
        <v>2501</v>
      </c>
      <c r="J1007" s="2"/>
      <c r="K1007" s="18">
        <v>44907</v>
      </c>
      <c r="L1007" s="18">
        <v>44907</v>
      </c>
      <c r="M1007" s="18">
        <v>45107</v>
      </c>
      <c r="N1007" s="1"/>
      <c r="O1007" s="19">
        <v>2341350</v>
      </c>
      <c r="P1007" s="18">
        <v>45107</v>
      </c>
      <c r="Q1007" s="19"/>
      <c r="R1007" s="772"/>
      <c r="S1007" s="18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 ht="12.75" customHeight="1">
      <c r="A1008" s="15">
        <v>1008</v>
      </c>
      <c r="B1008" s="736" t="s">
        <v>1555</v>
      </c>
      <c r="C1008" s="16" t="s">
        <v>2782</v>
      </c>
      <c r="D1008" s="20" t="s">
        <v>3087</v>
      </c>
      <c r="E1008" s="2" t="s">
        <v>3097</v>
      </c>
      <c r="F1008" s="15" t="s">
        <v>3864</v>
      </c>
      <c r="G1008" s="17">
        <v>90638</v>
      </c>
      <c r="H1008" s="96" t="s">
        <v>830</v>
      </c>
      <c r="I1008" s="2" t="s">
        <v>2783</v>
      </c>
      <c r="J1008" s="2"/>
      <c r="K1008" s="18">
        <v>45075</v>
      </c>
      <c r="L1008" s="18">
        <v>45075</v>
      </c>
      <c r="M1008" s="18">
        <v>45169</v>
      </c>
      <c r="N1008" s="1"/>
      <c r="O1008" s="19">
        <v>3000</v>
      </c>
      <c r="P1008" s="18">
        <v>45169</v>
      </c>
      <c r="Q1008" s="19"/>
      <c r="R1008" s="772"/>
      <c r="S1008" s="18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spans="1:38" ht="12.75" customHeight="1">
      <c r="A1009" s="15">
        <v>1009</v>
      </c>
      <c r="B1009" s="736" t="s">
        <v>1555</v>
      </c>
      <c r="C1009" s="16" t="s">
        <v>2600</v>
      </c>
      <c r="D1009" s="15" t="s">
        <v>3110</v>
      </c>
      <c r="E1009" s="2" t="s">
        <v>3123</v>
      </c>
      <c r="F1009" s="15" t="s">
        <v>3865</v>
      </c>
      <c r="G1009" s="17">
        <v>69922</v>
      </c>
      <c r="H1009" s="2" t="s">
        <v>250</v>
      </c>
      <c r="I1009" s="2" t="s">
        <v>2601</v>
      </c>
      <c r="J1009" s="2"/>
      <c r="K1009" s="18">
        <v>44958</v>
      </c>
      <c r="L1009" s="18">
        <v>44958</v>
      </c>
      <c r="M1009" s="18">
        <v>45016</v>
      </c>
      <c r="N1009" s="1"/>
      <c r="O1009" s="19">
        <v>3745</v>
      </c>
      <c r="P1009" s="18">
        <v>45016</v>
      </c>
      <c r="Q1009" s="19"/>
      <c r="R1009" s="772"/>
      <c r="S1009" s="18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 ht="12.75" customHeight="1">
      <c r="A1010" s="15">
        <v>1010</v>
      </c>
      <c r="B1010" s="736" t="s">
        <v>1555</v>
      </c>
      <c r="C1010" s="16" t="s">
        <v>2347</v>
      </c>
      <c r="D1010" s="20" t="s">
        <v>3110</v>
      </c>
      <c r="E1010" s="2" t="s">
        <v>3123</v>
      </c>
      <c r="F1010" s="15" t="s">
        <v>3865</v>
      </c>
      <c r="G1010" s="17">
        <v>69922</v>
      </c>
      <c r="H1010" s="2" t="s">
        <v>250</v>
      </c>
      <c r="I1010" s="2" t="s">
        <v>2348</v>
      </c>
      <c r="J1010" s="2"/>
      <c r="K1010" s="18">
        <v>44806</v>
      </c>
      <c r="L1010" s="18">
        <v>44806</v>
      </c>
      <c r="M1010" s="18">
        <v>44895</v>
      </c>
      <c r="N1010" s="1"/>
      <c r="O1010" s="19">
        <v>2899</v>
      </c>
      <c r="P1010" s="18">
        <v>44895</v>
      </c>
      <c r="Q1010" s="19"/>
      <c r="R1010" s="772"/>
      <c r="S1010" s="18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spans="1:38" ht="12.75" customHeight="1">
      <c r="A1011" s="15">
        <v>1011</v>
      </c>
      <c r="B1011" s="736" t="s">
        <v>1555</v>
      </c>
      <c r="C1011" s="16" t="s">
        <v>2961</v>
      </c>
      <c r="D1011" s="15" t="s">
        <v>3110</v>
      </c>
      <c r="E1011" s="2" t="s">
        <v>3123</v>
      </c>
      <c r="F1011" s="15" t="s">
        <v>3865</v>
      </c>
      <c r="G1011" s="17">
        <v>69922</v>
      </c>
      <c r="H1011" s="2" t="s">
        <v>250</v>
      </c>
      <c r="I1011" s="2" t="s">
        <v>2962</v>
      </c>
      <c r="J1011" s="2"/>
      <c r="K1011" s="18">
        <v>45182</v>
      </c>
      <c r="L1011" s="18">
        <v>45182</v>
      </c>
      <c r="M1011" s="18">
        <v>45250</v>
      </c>
      <c r="N1011" s="1"/>
      <c r="O1011" s="19">
        <v>26215</v>
      </c>
      <c r="P1011" s="18">
        <v>45250</v>
      </c>
      <c r="Q1011" s="19"/>
      <c r="R1011" s="772"/>
      <c r="S1011" s="18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 ht="12.75" customHeight="1">
      <c r="A1012" s="15">
        <v>1012</v>
      </c>
      <c r="B1012" s="738" t="s">
        <v>3086</v>
      </c>
      <c r="C1012" s="16" t="s">
        <v>1532</v>
      </c>
      <c r="D1012" s="20" t="s">
        <v>3110</v>
      </c>
      <c r="E1012" s="3" t="s">
        <v>3228</v>
      </c>
      <c r="F1012" s="15" t="s">
        <v>3866</v>
      </c>
      <c r="G1012" s="17">
        <v>67733</v>
      </c>
      <c r="H1012" s="2" t="s">
        <v>64</v>
      </c>
      <c r="I1012" s="2" t="s">
        <v>1533</v>
      </c>
      <c r="J1012" s="2" t="s">
        <v>1533</v>
      </c>
      <c r="K1012" s="18">
        <v>42735</v>
      </c>
      <c r="L1012" s="18">
        <v>42735</v>
      </c>
      <c r="M1012" s="18">
        <v>2958465</v>
      </c>
      <c r="N1012" s="1">
        <v>3</v>
      </c>
      <c r="O1012" s="19">
        <v>8424</v>
      </c>
      <c r="P1012" s="18">
        <v>2958465</v>
      </c>
      <c r="Q1012" s="19"/>
      <c r="R1012" s="773"/>
      <c r="S1012" s="18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 ht="12.75" customHeight="1">
      <c r="A1013" s="15">
        <v>1013</v>
      </c>
      <c r="B1013" s="736" t="s">
        <v>3086</v>
      </c>
      <c r="C1013" s="16" t="s">
        <v>332</v>
      </c>
      <c r="D1013" s="20" t="s">
        <v>3110</v>
      </c>
      <c r="E1013" s="2" t="s">
        <v>3228</v>
      </c>
      <c r="F1013" s="2" t="s">
        <v>3867</v>
      </c>
      <c r="G1013" s="17">
        <v>67041</v>
      </c>
      <c r="H1013" s="2" t="s">
        <v>245</v>
      </c>
      <c r="I1013" s="2" t="s">
        <v>333</v>
      </c>
      <c r="J1013" s="2"/>
      <c r="K1013" s="18">
        <v>44351</v>
      </c>
      <c r="L1013" s="18">
        <v>44378</v>
      </c>
      <c r="M1013" s="18">
        <v>2958465</v>
      </c>
      <c r="N1013" s="1">
        <v>4</v>
      </c>
      <c r="O1013" s="19">
        <v>7000</v>
      </c>
      <c r="P1013" s="18">
        <v>2958465</v>
      </c>
      <c r="Q1013" s="19"/>
      <c r="R1013" s="772"/>
      <c r="S1013" s="18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 ht="12.75" customHeight="1">
      <c r="A1014" s="15">
        <v>1014</v>
      </c>
      <c r="B1014" s="736" t="s">
        <v>1555</v>
      </c>
      <c r="C1014" s="16" t="s">
        <v>2825</v>
      </c>
      <c r="D1014" s="20" t="s">
        <v>3087</v>
      </c>
      <c r="E1014" s="2" t="s">
        <v>3093</v>
      </c>
      <c r="F1014" s="15" t="s">
        <v>3868</v>
      </c>
      <c r="G1014" s="17">
        <v>66729</v>
      </c>
      <c r="H1014" s="96" t="s">
        <v>510</v>
      </c>
      <c r="I1014" s="2" t="s">
        <v>2826</v>
      </c>
      <c r="J1014" s="2"/>
      <c r="K1014" s="18">
        <v>45091</v>
      </c>
      <c r="L1014" s="18">
        <v>45091</v>
      </c>
      <c r="M1014" s="18">
        <v>45107</v>
      </c>
      <c r="N1014" s="1"/>
      <c r="O1014" s="19"/>
      <c r="P1014" s="18">
        <v>45107</v>
      </c>
      <c r="Q1014" s="19"/>
      <c r="R1014" s="772"/>
      <c r="S1014" s="18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 ht="12.75" customHeight="1">
      <c r="A1015" s="15">
        <v>1015</v>
      </c>
      <c r="B1015" s="736" t="s">
        <v>3086</v>
      </c>
      <c r="C1015" s="16" t="s">
        <v>296</v>
      </c>
      <c r="D1015" s="15" t="s">
        <v>3110</v>
      </c>
      <c r="E1015" s="2" t="s">
        <v>3088</v>
      </c>
      <c r="F1015" s="15" t="s">
        <v>3869</v>
      </c>
      <c r="G1015" s="17">
        <v>66001</v>
      </c>
      <c r="H1015" s="2" t="s">
        <v>48</v>
      </c>
      <c r="I1015" s="2" t="s">
        <v>297</v>
      </c>
      <c r="J1015" s="2"/>
      <c r="K1015" s="18">
        <v>44222</v>
      </c>
      <c r="L1015" s="18">
        <v>44228</v>
      </c>
      <c r="M1015" s="18">
        <v>2958465</v>
      </c>
      <c r="N1015" s="1">
        <v>1</v>
      </c>
      <c r="O1015" s="19">
        <v>29200</v>
      </c>
      <c r="P1015" s="18">
        <v>2958465</v>
      </c>
      <c r="Q1015" s="19" t="s">
        <v>3870</v>
      </c>
      <c r="R1015" s="772" t="s">
        <v>3871</v>
      </c>
      <c r="S1015" s="18" t="s">
        <v>3872</v>
      </c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spans="1:38" ht="12.75" customHeight="1">
      <c r="A1016" s="15">
        <v>1016</v>
      </c>
      <c r="B1016" s="736" t="s">
        <v>3086</v>
      </c>
      <c r="C1016" s="16" t="s">
        <v>317</v>
      </c>
      <c r="D1016" s="15" t="s">
        <v>3110</v>
      </c>
      <c r="E1016" s="2" t="s">
        <v>3123</v>
      </c>
      <c r="F1016" s="15" t="s">
        <v>3869</v>
      </c>
      <c r="G1016" s="17">
        <v>66001</v>
      </c>
      <c r="H1016" s="2" t="s">
        <v>5252</v>
      </c>
      <c r="I1016" s="2" t="s">
        <v>318</v>
      </c>
      <c r="J1016" s="2"/>
      <c r="K1016" s="18">
        <v>44314</v>
      </c>
      <c r="L1016" s="18">
        <v>44314</v>
      </c>
      <c r="M1016" s="18">
        <v>2958465</v>
      </c>
      <c r="N1016" s="1"/>
      <c r="O1016" s="19"/>
      <c r="P1016" s="18">
        <v>2958465</v>
      </c>
      <c r="Q1016" s="19"/>
      <c r="R1016" s="772"/>
      <c r="S1016" s="18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 spans="1:38" ht="12.75" customHeight="1">
      <c r="A1017" s="15">
        <v>1017</v>
      </c>
      <c r="B1017" s="738" t="s">
        <v>3086</v>
      </c>
      <c r="C1017" s="16" t="s">
        <v>256</v>
      </c>
      <c r="D1017" s="15" t="s">
        <v>3110</v>
      </c>
      <c r="E1017" s="2" t="s">
        <v>3184</v>
      </c>
      <c r="F1017" s="15" t="s">
        <v>3869</v>
      </c>
      <c r="G1017" s="17">
        <v>66001</v>
      </c>
      <c r="H1017" s="2" t="s">
        <v>255</v>
      </c>
      <c r="I1017" s="2" t="s">
        <v>257</v>
      </c>
      <c r="K1017" s="18">
        <v>44007</v>
      </c>
      <c r="L1017" s="18">
        <v>44007</v>
      </c>
      <c r="M1017" s="18">
        <v>2958465</v>
      </c>
      <c r="N1017" s="1"/>
      <c r="O1017" s="19"/>
      <c r="P1017" s="18">
        <v>2958465</v>
      </c>
      <c r="Q1017" s="19"/>
      <c r="R1017" s="773"/>
      <c r="S1017" s="18"/>
      <c r="T1017" s="2"/>
      <c r="U1017" s="2"/>
      <c r="V1017" s="2" t="s">
        <v>4625</v>
      </c>
      <c r="W1017" s="2" t="s">
        <v>4625</v>
      </c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 spans="1:38" ht="12.75" customHeight="1">
      <c r="A1018" s="15">
        <v>1018</v>
      </c>
      <c r="B1018" s="736" t="s">
        <v>1555</v>
      </c>
      <c r="C1018" s="16" t="s">
        <v>1565</v>
      </c>
      <c r="D1018" s="20" t="s">
        <v>3110</v>
      </c>
      <c r="E1018" s="2" t="s">
        <v>3088</v>
      </c>
      <c r="F1018" s="15" t="s">
        <v>3869</v>
      </c>
      <c r="G1018" s="17">
        <v>66001</v>
      </c>
      <c r="H1018" s="2" t="s">
        <v>48</v>
      </c>
      <c r="I1018" s="2" t="s">
        <v>297</v>
      </c>
      <c r="J1018" s="2"/>
      <c r="K1018" s="18">
        <v>44197</v>
      </c>
      <c r="L1018" s="18">
        <v>44197</v>
      </c>
      <c r="M1018" s="18">
        <v>44227</v>
      </c>
      <c r="N1018" s="1"/>
      <c r="O1018" s="19">
        <v>29200</v>
      </c>
      <c r="P1018" s="18">
        <v>44227</v>
      </c>
      <c r="Q1018" s="19"/>
      <c r="R1018" s="772"/>
      <c r="S1018" s="18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 ht="12.75" customHeight="1">
      <c r="A1019" s="15">
        <v>1019</v>
      </c>
      <c r="B1019" s="738" t="s">
        <v>3086</v>
      </c>
      <c r="C1019" s="16" t="s">
        <v>1290</v>
      </c>
      <c r="D1019" s="20" t="s">
        <v>3087</v>
      </c>
      <c r="E1019" s="2" t="s">
        <v>3093</v>
      </c>
      <c r="F1019" s="15" t="s">
        <v>3873</v>
      </c>
      <c r="G1019" s="17">
        <v>64581</v>
      </c>
      <c r="H1019" s="96" t="s">
        <v>510</v>
      </c>
      <c r="I1019" s="2" t="s">
        <v>1291</v>
      </c>
      <c r="J1019" s="2" t="s">
        <v>1022</v>
      </c>
      <c r="K1019" s="18">
        <v>41501</v>
      </c>
      <c r="L1019" s="18">
        <v>41501</v>
      </c>
      <c r="M1019" s="18">
        <v>2958465</v>
      </c>
      <c r="N1019" s="1"/>
      <c r="O1019" s="19">
        <v>0</v>
      </c>
      <c r="P1019" s="18">
        <v>2958465</v>
      </c>
      <c r="Q1019" s="19"/>
      <c r="R1019" s="773"/>
      <c r="S1019" s="18"/>
      <c r="T1019" s="2"/>
      <c r="U1019" s="2">
        <v>3</v>
      </c>
      <c r="V1019" s="2"/>
      <c r="W1019" s="2"/>
      <c r="X1019" s="25" t="s">
        <v>3874</v>
      </c>
      <c r="Y1019" s="2"/>
      <c r="AA1019" s="2"/>
      <c r="AB1019" s="2"/>
      <c r="AC1019" s="2"/>
      <c r="AD1019" s="2"/>
      <c r="AE1019" s="2" t="s">
        <v>4741</v>
      </c>
      <c r="AF1019" s="2"/>
      <c r="AG1019" s="2"/>
      <c r="AH1019" s="2"/>
      <c r="AI1019" s="2"/>
      <c r="AJ1019" s="2"/>
      <c r="AK1019" s="2"/>
      <c r="AL1019" s="2"/>
    </row>
    <row r="1020" spans="1:38" ht="12.75" customHeight="1">
      <c r="A1020" s="15">
        <v>1020</v>
      </c>
      <c r="B1020" s="736" t="s">
        <v>1555</v>
      </c>
      <c r="C1020" s="16" t="s">
        <v>2560</v>
      </c>
      <c r="D1020" s="20" t="s">
        <v>3087</v>
      </c>
      <c r="E1020" s="2" t="s">
        <v>3097</v>
      </c>
      <c r="F1020" s="15" t="s">
        <v>3875</v>
      </c>
      <c r="G1020" s="17">
        <v>64220</v>
      </c>
      <c r="H1020" s="96" t="s">
        <v>830</v>
      </c>
      <c r="I1020" s="2" t="s">
        <v>2561</v>
      </c>
      <c r="J1020" s="2"/>
      <c r="K1020" s="18">
        <v>44896</v>
      </c>
      <c r="L1020" s="18">
        <v>44896</v>
      </c>
      <c r="M1020" s="18">
        <v>44985</v>
      </c>
      <c r="N1020" s="1"/>
      <c r="O1020" s="19">
        <v>6800</v>
      </c>
      <c r="P1020" s="18">
        <v>44985</v>
      </c>
      <c r="Q1020" s="19"/>
      <c r="R1020" s="772"/>
      <c r="S1020" s="18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 spans="1:38" ht="12.75" customHeight="1">
      <c r="A1021" s="15">
        <v>1021</v>
      </c>
      <c r="B1021" s="738" t="s">
        <v>3086</v>
      </c>
      <c r="C1021" s="16" t="s">
        <v>1429</v>
      </c>
      <c r="D1021" s="20" t="s">
        <v>3094</v>
      </c>
      <c r="E1021" s="2" t="s">
        <v>3093</v>
      </c>
      <c r="F1021" s="15" t="s">
        <v>3876</v>
      </c>
      <c r="G1021" s="17">
        <v>64203</v>
      </c>
      <c r="H1021" s="96" t="s">
        <v>510</v>
      </c>
      <c r="I1021" s="655" t="s">
        <v>1430</v>
      </c>
      <c r="J1021" s="2" t="s">
        <v>1431</v>
      </c>
      <c r="K1021" s="18">
        <v>42202</v>
      </c>
      <c r="L1021" s="18">
        <v>42202</v>
      </c>
      <c r="M1021" s="18">
        <v>2958465</v>
      </c>
      <c r="N1021" s="1"/>
      <c r="O1021" s="19">
        <v>0</v>
      </c>
      <c r="P1021" s="18">
        <v>2958465</v>
      </c>
      <c r="Q1021" s="19"/>
      <c r="R1021" s="773"/>
      <c r="S1021" s="18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 t="s">
        <v>4740</v>
      </c>
      <c r="AF1021" s="2"/>
      <c r="AG1021" s="2"/>
      <c r="AH1021" s="2"/>
      <c r="AI1021" s="2"/>
      <c r="AJ1021" s="2"/>
      <c r="AK1021" s="2"/>
      <c r="AL1021" s="2"/>
    </row>
    <row r="1022" spans="1:38" ht="12.75" customHeight="1">
      <c r="A1022" s="15">
        <v>1022</v>
      </c>
      <c r="B1022" s="738" t="s">
        <v>3086</v>
      </c>
      <c r="C1022" s="16" t="s">
        <v>1432</v>
      </c>
      <c r="D1022" s="20" t="s">
        <v>3094</v>
      </c>
      <c r="E1022" s="2" t="s">
        <v>3093</v>
      </c>
      <c r="F1022" s="15" t="s">
        <v>3876</v>
      </c>
      <c r="G1022" s="17">
        <v>64203</v>
      </c>
      <c r="H1022" s="96" t="s">
        <v>510</v>
      </c>
      <c r="I1022" s="655" t="s">
        <v>1430</v>
      </c>
      <c r="J1022" s="2" t="s">
        <v>1431</v>
      </c>
      <c r="K1022" s="18">
        <v>42202</v>
      </c>
      <c r="L1022" s="18">
        <v>42202</v>
      </c>
      <c r="M1022" s="18">
        <v>2958465</v>
      </c>
      <c r="N1022" s="1"/>
      <c r="O1022" s="19">
        <v>0</v>
      </c>
      <c r="P1022" s="18">
        <v>2958465</v>
      </c>
      <c r="Q1022" s="19"/>
      <c r="R1022" s="773"/>
      <c r="S1022" s="18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 t="s">
        <v>4740</v>
      </c>
      <c r="AF1022" s="2"/>
      <c r="AG1022" s="2"/>
      <c r="AH1022" s="2"/>
      <c r="AI1022" s="2"/>
      <c r="AJ1022" s="2"/>
      <c r="AK1022" s="2"/>
      <c r="AL1022" s="2"/>
    </row>
    <row r="1023" spans="1:38" ht="12.75" customHeight="1">
      <c r="A1023" s="15">
        <v>1023</v>
      </c>
      <c r="B1023" s="738" t="s">
        <v>3086</v>
      </c>
      <c r="C1023" s="16" t="s">
        <v>211</v>
      </c>
      <c r="D1023" s="20" t="s">
        <v>3094</v>
      </c>
      <c r="E1023" s="2" t="s">
        <v>3202</v>
      </c>
      <c r="F1023" s="15" t="s">
        <v>3876</v>
      </c>
      <c r="G1023" s="17">
        <v>64203</v>
      </c>
      <c r="H1023" s="2" t="s">
        <v>210</v>
      </c>
      <c r="I1023" s="655" t="s">
        <v>212</v>
      </c>
      <c r="J1023" s="2" t="s">
        <v>213</v>
      </c>
      <c r="K1023" s="18">
        <v>43781</v>
      </c>
      <c r="L1023" s="18">
        <v>43783</v>
      </c>
      <c r="M1023" s="18">
        <v>2958465</v>
      </c>
      <c r="N1023" s="1"/>
      <c r="O1023" s="19"/>
      <c r="P1023" s="18">
        <v>2958465</v>
      </c>
      <c r="Q1023" s="19">
        <v>1</v>
      </c>
      <c r="R1023" s="772" t="s">
        <v>214</v>
      </c>
      <c r="S1023" s="18">
        <v>43787</v>
      </c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 t="s">
        <v>4740</v>
      </c>
      <c r="AF1023" s="2"/>
      <c r="AG1023" s="2"/>
      <c r="AH1023" s="2"/>
      <c r="AI1023" s="2"/>
      <c r="AJ1023" s="2"/>
      <c r="AK1023" s="2"/>
      <c r="AL1023" s="2"/>
    </row>
    <row r="1024" spans="1:38" ht="12.75" customHeight="1">
      <c r="A1024" s="15">
        <v>1024</v>
      </c>
      <c r="B1024" s="736" t="s">
        <v>1555</v>
      </c>
      <c r="C1024" s="16" t="s">
        <v>2268</v>
      </c>
      <c r="D1024" s="20" t="s">
        <v>3087</v>
      </c>
      <c r="E1024" s="2" t="s">
        <v>3097</v>
      </c>
      <c r="F1024" s="15" t="s">
        <v>3876</v>
      </c>
      <c r="G1024" s="17">
        <v>64203</v>
      </c>
      <c r="H1024" s="96" t="s">
        <v>830</v>
      </c>
      <c r="I1024" s="2" t="s">
        <v>2269</v>
      </c>
      <c r="J1024" s="2"/>
      <c r="K1024" s="18">
        <v>44770</v>
      </c>
      <c r="L1024" s="18">
        <v>44770</v>
      </c>
      <c r="M1024" s="18">
        <v>44893</v>
      </c>
      <c r="N1024" s="1"/>
      <c r="O1024" s="19">
        <v>6800</v>
      </c>
      <c r="P1024" s="18">
        <v>44893</v>
      </c>
      <c r="Q1024" s="19"/>
      <c r="R1024" s="772"/>
      <c r="S1024" s="18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 ht="12.75" customHeight="1">
      <c r="A1025" s="15">
        <v>1025</v>
      </c>
      <c r="B1025" s="736" t="s">
        <v>1555</v>
      </c>
      <c r="C1025" s="16" t="s">
        <v>2877</v>
      </c>
      <c r="D1025" s="20" t="s">
        <v>3087</v>
      </c>
      <c r="E1025" s="2" t="s">
        <v>3097</v>
      </c>
      <c r="F1025" s="15" t="s">
        <v>3876</v>
      </c>
      <c r="G1025" s="17">
        <v>64203</v>
      </c>
      <c r="H1025" s="96" t="s">
        <v>830</v>
      </c>
      <c r="I1025" s="2" t="s">
        <v>2878</v>
      </c>
      <c r="J1025" s="2"/>
      <c r="K1025" s="18">
        <v>45107</v>
      </c>
      <c r="L1025" s="18">
        <v>45107</v>
      </c>
      <c r="M1025" s="18">
        <v>45169</v>
      </c>
      <c r="N1025" s="1"/>
      <c r="O1025" s="19">
        <v>6800</v>
      </c>
      <c r="P1025" s="18">
        <v>45169</v>
      </c>
      <c r="Q1025" s="19"/>
      <c r="R1025" s="772"/>
      <c r="S1025" s="18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 spans="1:38" ht="12.75" customHeight="1">
      <c r="A1026" s="15">
        <v>1026</v>
      </c>
      <c r="B1026" s="736" t="s">
        <v>1555</v>
      </c>
      <c r="C1026" s="16" t="s">
        <v>2357</v>
      </c>
      <c r="D1026" s="20" t="s">
        <v>3087</v>
      </c>
      <c r="E1026" s="2" t="s">
        <v>3097</v>
      </c>
      <c r="F1026" s="15" t="s">
        <v>3876</v>
      </c>
      <c r="G1026" s="17">
        <v>64203</v>
      </c>
      <c r="H1026" s="96" t="s">
        <v>830</v>
      </c>
      <c r="I1026" s="2" t="s">
        <v>2358</v>
      </c>
      <c r="J1026" s="2"/>
      <c r="K1026" s="18">
        <v>44816</v>
      </c>
      <c r="L1026" s="18">
        <v>44816</v>
      </c>
      <c r="M1026" s="18">
        <v>44926</v>
      </c>
      <c r="N1026" s="1"/>
      <c r="O1026" s="19">
        <v>6000</v>
      </c>
      <c r="P1026" s="18">
        <v>44926</v>
      </c>
      <c r="Q1026" s="19"/>
      <c r="R1026" s="772"/>
      <c r="S1026" s="18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 spans="1:38" ht="12.75" customHeight="1">
      <c r="A1027" s="15">
        <v>1027</v>
      </c>
      <c r="B1027" s="736" t="s">
        <v>1555</v>
      </c>
      <c r="C1027" s="16" t="s">
        <v>2404</v>
      </c>
      <c r="D1027" s="20" t="s">
        <v>3087</v>
      </c>
      <c r="E1027" s="2" t="s">
        <v>3097</v>
      </c>
      <c r="F1027" s="15" t="s">
        <v>3876</v>
      </c>
      <c r="G1027" s="17">
        <v>64203</v>
      </c>
      <c r="H1027" s="96" t="s">
        <v>830</v>
      </c>
      <c r="I1027" s="2" t="s">
        <v>2405</v>
      </c>
      <c r="J1027" s="2"/>
      <c r="K1027" s="18">
        <v>44834</v>
      </c>
      <c r="L1027" s="18">
        <v>44834</v>
      </c>
      <c r="M1027" s="18">
        <v>44926</v>
      </c>
      <c r="N1027" s="1"/>
      <c r="O1027" s="19">
        <v>6800</v>
      </c>
      <c r="P1027" s="18">
        <v>44926</v>
      </c>
      <c r="Q1027" s="19"/>
      <c r="R1027" s="772"/>
      <c r="S1027" s="18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 ht="12.75" customHeight="1">
      <c r="A1028" s="15">
        <v>1028</v>
      </c>
      <c r="B1028" s="736" t="s">
        <v>1555</v>
      </c>
      <c r="C1028" s="16" t="s">
        <v>2478</v>
      </c>
      <c r="D1028" s="20" t="s">
        <v>3087</v>
      </c>
      <c r="E1028" s="2" t="s">
        <v>3097</v>
      </c>
      <c r="F1028" s="15" t="s">
        <v>3876</v>
      </c>
      <c r="G1028" s="17">
        <v>64203</v>
      </c>
      <c r="H1028" s="96" t="s">
        <v>830</v>
      </c>
      <c r="I1028" s="2" t="s">
        <v>2479</v>
      </c>
      <c r="J1028" s="2"/>
      <c r="K1028" s="18">
        <v>44867</v>
      </c>
      <c r="L1028" s="18">
        <v>44867</v>
      </c>
      <c r="M1028" s="18">
        <v>44963</v>
      </c>
      <c r="N1028" s="1"/>
      <c r="O1028" s="19">
        <v>6800</v>
      </c>
      <c r="P1028" s="18">
        <v>44963</v>
      </c>
      <c r="Q1028" s="19"/>
      <c r="R1028" s="772"/>
      <c r="S1028" s="18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 ht="12.75" customHeight="1">
      <c r="A1029" s="15">
        <v>1029</v>
      </c>
      <c r="B1029" s="736" t="s">
        <v>1555</v>
      </c>
      <c r="C1029" s="16" t="s">
        <v>2507</v>
      </c>
      <c r="D1029" s="20" t="s">
        <v>3087</v>
      </c>
      <c r="E1029" s="2" t="s">
        <v>3097</v>
      </c>
      <c r="F1029" s="15" t="s">
        <v>3876</v>
      </c>
      <c r="G1029" s="17">
        <v>64203</v>
      </c>
      <c r="H1029" s="96" t="s">
        <v>830</v>
      </c>
      <c r="I1029" s="2" t="s">
        <v>2508</v>
      </c>
      <c r="J1029" s="2"/>
      <c r="K1029" s="18">
        <v>44894</v>
      </c>
      <c r="L1029" s="18">
        <v>44894</v>
      </c>
      <c r="M1029" s="18">
        <v>44963</v>
      </c>
      <c r="N1029" s="1"/>
      <c r="O1029" s="19">
        <v>6800</v>
      </c>
      <c r="P1029" s="18">
        <v>44963</v>
      </c>
      <c r="Q1029" s="19"/>
      <c r="R1029" s="772"/>
      <c r="S1029" s="18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 ht="12.75" customHeight="1">
      <c r="A1030" s="15">
        <v>1030</v>
      </c>
      <c r="B1030" s="736" t="s">
        <v>1555</v>
      </c>
      <c r="C1030" s="16" t="s">
        <v>848</v>
      </c>
      <c r="D1030" s="20" t="s">
        <v>3087</v>
      </c>
      <c r="E1030" s="2" t="s">
        <v>3097</v>
      </c>
      <c r="F1030" s="2" t="s">
        <v>3877</v>
      </c>
      <c r="G1030" s="17">
        <v>64190</v>
      </c>
      <c r="H1030" s="96" t="s">
        <v>830</v>
      </c>
      <c r="I1030" s="2" t="s">
        <v>849</v>
      </c>
      <c r="J1030" s="2"/>
      <c r="K1030" s="18">
        <v>45230</v>
      </c>
      <c r="L1030" s="18">
        <v>45292</v>
      </c>
      <c r="M1030" s="18">
        <v>45322</v>
      </c>
      <c r="N1030" s="1"/>
      <c r="O1030" s="19">
        <v>5000</v>
      </c>
      <c r="P1030" s="18">
        <v>45322</v>
      </c>
      <c r="Q1030" s="19"/>
      <c r="R1030" s="772"/>
      <c r="S1030" s="18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 ht="12.75" customHeight="1">
      <c r="A1031" s="15">
        <v>1031</v>
      </c>
      <c r="B1031" s="736" t="s">
        <v>1555</v>
      </c>
      <c r="C1031" s="16" t="s">
        <v>2243</v>
      </c>
      <c r="D1031" s="20" t="s">
        <v>3087</v>
      </c>
      <c r="E1031" s="2" t="s">
        <v>3097</v>
      </c>
      <c r="F1031" s="2" t="s">
        <v>3877</v>
      </c>
      <c r="G1031" s="17">
        <v>64190</v>
      </c>
      <c r="H1031" s="96" t="s">
        <v>830</v>
      </c>
      <c r="I1031" s="2" t="s">
        <v>2244</v>
      </c>
      <c r="J1031" s="2"/>
      <c r="K1031" s="18">
        <v>44774</v>
      </c>
      <c r="L1031" s="18">
        <v>44774</v>
      </c>
      <c r="M1031" s="18">
        <v>44865</v>
      </c>
      <c r="N1031" s="1"/>
      <c r="O1031" s="19">
        <v>4000</v>
      </c>
      <c r="P1031" s="18">
        <v>44865</v>
      </c>
      <c r="Q1031" s="19"/>
      <c r="R1031" s="772"/>
      <c r="S1031" s="18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 ht="12.75" customHeight="1">
      <c r="A1032" s="15">
        <v>1032</v>
      </c>
      <c r="B1032" s="736" t="s">
        <v>1555</v>
      </c>
      <c r="C1032" s="16" t="s">
        <v>2905</v>
      </c>
      <c r="D1032" s="20" t="s">
        <v>3087</v>
      </c>
      <c r="E1032" s="2" t="s">
        <v>3097</v>
      </c>
      <c r="F1032" s="2" t="s">
        <v>3877</v>
      </c>
      <c r="G1032" s="17">
        <v>64190</v>
      </c>
      <c r="H1032" s="96" t="s">
        <v>830</v>
      </c>
      <c r="I1032" s="2" t="s">
        <v>2906</v>
      </c>
      <c r="J1032" s="2"/>
      <c r="K1032" s="18">
        <v>45147</v>
      </c>
      <c r="L1032" s="18">
        <v>45147</v>
      </c>
      <c r="M1032" s="18">
        <v>45215</v>
      </c>
      <c r="N1032" s="1"/>
      <c r="O1032" s="19">
        <v>5000</v>
      </c>
      <c r="P1032" s="18">
        <v>45215</v>
      </c>
      <c r="Q1032" s="19"/>
      <c r="R1032" s="772"/>
      <c r="S1032" s="18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 ht="12.75" customHeight="1">
      <c r="A1033" s="15">
        <v>1033</v>
      </c>
      <c r="B1033" s="736" t="s">
        <v>1555</v>
      </c>
      <c r="C1033" s="16" t="s">
        <v>1597</v>
      </c>
      <c r="D1033" s="20" t="s">
        <v>3087</v>
      </c>
      <c r="E1033" s="2" t="s">
        <v>3097</v>
      </c>
      <c r="F1033" s="15" t="s">
        <v>3878</v>
      </c>
      <c r="G1033" s="17">
        <v>64173</v>
      </c>
      <c r="H1033" s="96" t="s">
        <v>830</v>
      </c>
      <c r="I1033" s="2" t="s">
        <v>1598</v>
      </c>
      <c r="J1033" s="2"/>
      <c r="K1033" s="18">
        <v>44285</v>
      </c>
      <c r="L1033" s="18">
        <v>44287</v>
      </c>
      <c r="M1033" s="18">
        <v>44347</v>
      </c>
      <c r="N1033" s="1"/>
      <c r="O1033" s="19">
        <v>5000</v>
      </c>
      <c r="P1033" s="18">
        <v>44347</v>
      </c>
      <c r="Q1033" s="19"/>
      <c r="R1033" s="772"/>
      <c r="S1033" s="18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 spans="1:38" ht="12.75" customHeight="1">
      <c r="A1034" s="15">
        <v>1034</v>
      </c>
      <c r="B1034" s="736" t="s">
        <v>1555</v>
      </c>
      <c r="C1034" s="16" t="s">
        <v>1895</v>
      </c>
      <c r="D1034" s="20" t="s">
        <v>3087</v>
      </c>
      <c r="E1034" s="2" t="s">
        <v>3097</v>
      </c>
      <c r="F1034" s="15" t="s">
        <v>3878</v>
      </c>
      <c r="G1034" s="17">
        <v>64173</v>
      </c>
      <c r="H1034" s="96" t="s">
        <v>830</v>
      </c>
      <c r="I1034" s="2" t="s">
        <v>1896</v>
      </c>
      <c r="J1034" s="2"/>
      <c r="K1034" s="18">
        <v>44523</v>
      </c>
      <c r="L1034" s="18">
        <v>44531</v>
      </c>
      <c r="M1034" s="18">
        <v>44561</v>
      </c>
      <c r="N1034" s="1"/>
      <c r="O1034" s="19">
        <v>5000</v>
      </c>
      <c r="P1034" s="18">
        <v>44561</v>
      </c>
      <c r="Q1034" s="19"/>
      <c r="R1034" s="772"/>
      <c r="S1034" s="18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 spans="1:38" ht="12.75" customHeight="1">
      <c r="A1035" s="15">
        <v>1035</v>
      </c>
      <c r="B1035" s="736" t="s">
        <v>1555</v>
      </c>
      <c r="C1035" s="16" t="s">
        <v>803</v>
      </c>
      <c r="D1035" s="20" t="s">
        <v>3087</v>
      </c>
      <c r="E1035" s="2" t="s">
        <v>3097</v>
      </c>
      <c r="F1035" s="2" t="s">
        <v>3879</v>
      </c>
      <c r="G1035" s="17">
        <v>64165</v>
      </c>
      <c r="H1035" s="96" t="s">
        <v>830</v>
      </c>
      <c r="I1035" s="2" t="s">
        <v>804</v>
      </c>
      <c r="J1035" s="2"/>
      <c r="K1035" s="18">
        <v>45191</v>
      </c>
      <c r="L1035" s="18">
        <v>45208</v>
      </c>
      <c r="M1035" s="18">
        <v>45345</v>
      </c>
      <c r="N1035" s="1"/>
      <c r="O1035" s="19">
        <v>9000</v>
      </c>
      <c r="P1035" s="18">
        <v>45345</v>
      </c>
      <c r="Q1035" s="19"/>
      <c r="R1035" s="772"/>
      <c r="S1035" s="18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 spans="1:38" ht="12.75" customHeight="1">
      <c r="A1036" s="15">
        <v>1036</v>
      </c>
      <c r="B1036" s="736" t="s">
        <v>1555</v>
      </c>
      <c r="C1036" s="16" t="s">
        <v>2163</v>
      </c>
      <c r="D1036" s="20" t="s">
        <v>3087</v>
      </c>
      <c r="E1036" s="2" t="s">
        <v>3097</v>
      </c>
      <c r="F1036" s="2" t="s">
        <v>3879</v>
      </c>
      <c r="G1036" s="17">
        <v>64165</v>
      </c>
      <c r="H1036" s="96" t="s">
        <v>830</v>
      </c>
      <c r="I1036" s="2" t="s">
        <v>2164</v>
      </c>
      <c r="J1036" s="2"/>
      <c r="K1036" s="18">
        <v>44699</v>
      </c>
      <c r="L1036" s="18">
        <v>44699</v>
      </c>
      <c r="M1036" s="18">
        <v>44804</v>
      </c>
      <c r="N1036" s="1"/>
      <c r="O1036" s="19">
        <v>7000</v>
      </c>
      <c r="P1036" s="18">
        <v>44804</v>
      </c>
      <c r="Q1036" s="19"/>
      <c r="R1036" s="772"/>
      <c r="S1036" s="18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 spans="1:38" ht="12.75" customHeight="1">
      <c r="A1037" s="15">
        <v>1037</v>
      </c>
      <c r="B1037" s="736" t="s">
        <v>1555</v>
      </c>
      <c r="C1037" s="16" t="s">
        <v>2813</v>
      </c>
      <c r="D1037" s="20" t="s">
        <v>3087</v>
      </c>
      <c r="E1037" s="2" t="s">
        <v>3097</v>
      </c>
      <c r="F1037" s="2" t="s">
        <v>3879</v>
      </c>
      <c r="G1037" s="17">
        <v>64165</v>
      </c>
      <c r="H1037" s="96" t="s">
        <v>830</v>
      </c>
      <c r="I1037" s="2" t="s">
        <v>2814</v>
      </c>
      <c r="J1037" s="2"/>
      <c r="K1037" s="18">
        <v>45068</v>
      </c>
      <c r="L1037" s="18">
        <v>45068</v>
      </c>
      <c r="M1037" s="18">
        <v>45138</v>
      </c>
      <c r="N1037" s="1"/>
      <c r="O1037" s="19">
        <v>2250</v>
      </c>
      <c r="P1037" s="18">
        <v>45138</v>
      </c>
      <c r="Q1037" s="19"/>
      <c r="R1037" s="772"/>
      <c r="S1037" s="18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 spans="1:38" ht="12.75" customHeight="1">
      <c r="A1038" s="15">
        <v>1038</v>
      </c>
      <c r="B1038" s="736" t="s">
        <v>1555</v>
      </c>
      <c r="C1038" s="16" t="s">
        <v>3027</v>
      </c>
      <c r="D1038" s="20" t="s">
        <v>3087</v>
      </c>
      <c r="E1038" s="2" t="s">
        <v>3097</v>
      </c>
      <c r="F1038" s="2" t="s">
        <v>3879</v>
      </c>
      <c r="G1038" s="17">
        <v>64165</v>
      </c>
      <c r="H1038" s="96" t="s">
        <v>830</v>
      </c>
      <c r="I1038" s="2" t="s">
        <v>3028</v>
      </c>
      <c r="J1038" s="2"/>
      <c r="K1038" s="18">
        <v>45215</v>
      </c>
      <c r="L1038" s="18">
        <v>45215</v>
      </c>
      <c r="M1038" s="18">
        <v>45219</v>
      </c>
      <c r="N1038" s="1"/>
      <c r="O1038" s="19"/>
      <c r="P1038" s="18">
        <v>45219</v>
      </c>
      <c r="Q1038" s="19"/>
      <c r="R1038" s="772"/>
      <c r="S1038" s="18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 spans="1:38" ht="12.75" customHeight="1">
      <c r="A1039" s="15">
        <v>1039</v>
      </c>
      <c r="B1039" s="736" t="s">
        <v>3086</v>
      </c>
      <c r="C1039" s="16" t="s">
        <v>922</v>
      </c>
      <c r="D1039" s="15" t="s">
        <v>3110</v>
      </c>
      <c r="E1039" s="2" t="s">
        <v>3123</v>
      </c>
      <c r="F1039" s="2" t="s">
        <v>3880</v>
      </c>
      <c r="G1039" s="17">
        <v>25615</v>
      </c>
      <c r="H1039" s="2" t="s">
        <v>250</v>
      </c>
      <c r="I1039" s="2" t="s">
        <v>923</v>
      </c>
      <c r="J1039" s="2"/>
      <c r="K1039" s="18">
        <v>45289</v>
      </c>
      <c r="L1039" s="18">
        <v>45309</v>
      </c>
      <c r="M1039" s="18">
        <v>2958465</v>
      </c>
      <c r="N1039" s="1">
        <v>2</v>
      </c>
      <c r="O1039" s="19">
        <v>396535.68</v>
      </c>
      <c r="P1039" s="18">
        <v>2958465</v>
      </c>
      <c r="Q1039" s="19">
        <v>1982648</v>
      </c>
      <c r="R1039" s="772" t="s">
        <v>3881</v>
      </c>
      <c r="S1039" s="18">
        <v>45364</v>
      </c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 spans="1:38" ht="12.75" customHeight="1">
      <c r="A1040" s="15">
        <v>1040</v>
      </c>
      <c r="B1040" s="736" t="s">
        <v>1555</v>
      </c>
      <c r="C1040" s="16" t="s">
        <v>745</v>
      </c>
      <c r="D1040" s="15" t="s">
        <v>3110</v>
      </c>
      <c r="E1040" s="2" t="s">
        <v>3123</v>
      </c>
      <c r="F1040" s="2" t="s">
        <v>3880</v>
      </c>
      <c r="G1040" s="17">
        <v>25615</v>
      </c>
      <c r="H1040" s="2" t="s">
        <v>250</v>
      </c>
      <c r="I1040" s="2" t="s">
        <v>746</v>
      </c>
      <c r="J1040" s="2"/>
      <c r="K1040" s="18">
        <v>45127</v>
      </c>
      <c r="L1040" s="18">
        <v>45200</v>
      </c>
      <c r="M1040" s="18">
        <v>45565</v>
      </c>
      <c r="N1040" s="1"/>
      <c r="O1040" s="19">
        <v>47916</v>
      </c>
      <c r="P1040" s="18">
        <v>45565</v>
      </c>
      <c r="Q1040" s="19"/>
      <c r="R1040" s="772"/>
      <c r="S1040" s="18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 spans="1:38" ht="12.75" customHeight="1">
      <c r="A1041" s="15">
        <v>1041</v>
      </c>
      <c r="B1041" s="736" t="s">
        <v>1555</v>
      </c>
      <c r="C1041" s="16" t="s">
        <v>2391</v>
      </c>
      <c r="D1041" s="20" t="s">
        <v>3110</v>
      </c>
      <c r="E1041" s="2" t="s">
        <v>3123</v>
      </c>
      <c r="F1041" s="2" t="s">
        <v>3880</v>
      </c>
      <c r="G1041" s="17">
        <v>25615</v>
      </c>
      <c r="H1041" s="2" t="s">
        <v>250</v>
      </c>
      <c r="I1041" s="2" t="s">
        <v>2392</v>
      </c>
      <c r="J1041" s="2"/>
      <c r="K1041" s="18">
        <v>44824</v>
      </c>
      <c r="L1041" s="18">
        <v>44824</v>
      </c>
      <c r="M1041" s="18">
        <v>45196</v>
      </c>
      <c r="N1041" s="1"/>
      <c r="O1041" s="19">
        <v>47916</v>
      </c>
      <c r="P1041" s="18">
        <v>45196</v>
      </c>
      <c r="Q1041" s="19"/>
      <c r="R1041" s="772"/>
      <c r="S1041" s="18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 spans="1:38" ht="12.75" customHeight="1">
      <c r="A1042" s="15">
        <v>1042</v>
      </c>
      <c r="B1042" s="736" t="s">
        <v>1555</v>
      </c>
      <c r="C1042" s="16" t="s">
        <v>2321</v>
      </c>
      <c r="D1042" s="20" t="s">
        <v>3110</v>
      </c>
      <c r="E1042" s="2" t="s">
        <v>3123</v>
      </c>
      <c r="F1042" s="2" t="s">
        <v>3882</v>
      </c>
      <c r="G1042" s="17">
        <v>23850</v>
      </c>
      <c r="H1042" s="2" t="s">
        <v>2320</v>
      </c>
      <c r="I1042" s="2" t="s">
        <v>2322</v>
      </c>
      <c r="J1042" s="2"/>
      <c r="K1042" s="18">
        <v>44804</v>
      </c>
      <c r="L1042" s="18">
        <v>44804</v>
      </c>
      <c r="M1042" s="18">
        <v>45169</v>
      </c>
      <c r="N1042" s="1"/>
      <c r="O1042" s="19">
        <v>653980</v>
      </c>
      <c r="P1042" s="18">
        <v>45169</v>
      </c>
      <c r="Q1042" s="19"/>
      <c r="R1042" s="772"/>
      <c r="S1042" s="18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 spans="1:38" ht="12.75" customHeight="1">
      <c r="A1043" s="15">
        <v>1043</v>
      </c>
      <c r="B1043" s="737" t="s">
        <v>3086</v>
      </c>
      <c r="C1043" s="744" t="s">
        <v>1157</v>
      </c>
      <c r="D1043" s="745" t="s">
        <v>3094</v>
      </c>
      <c r="E1043" s="746" t="s">
        <v>3093</v>
      </c>
      <c r="F1043" s="746" t="s">
        <v>3883</v>
      </c>
      <c r="G1043" s="747">
        <v>23841</v>
      </c>
      <c r="H1043" s="743" t="s">
        <v>510</v>
      </c>
      <c r="I1043" s="748" t="s">
        <v>1158</v>
      </c>
      <c r="J1043" s="2" t="s">
        <v>1159</v>
      </c>
      <c r="K1043" s="18">
        <v>40316</v>
      </c>
      <c r="L1043" s="18">
        <v>40316</v>
      </c>
      <c r="M1043" s="18">
        <v>2958465</v>
      </c>
      <c r="N1043" s="1"/>
      <c r="O1043" s="19">
        <v>0</v>
      </c>
      <c r="P1043" s="18">
        <v>2958465</v>
      </c>
      <c r="Q1043" s="19"/>
      <c r="R1043" s="773"/>
      <c r="S1043" s="18"/>
      <c r="T1043" s="2"/>
      <c r="U1043" s="2"/>
      <c r="V1043" s="2"/>
      <c r="W1043" s="2"/>
      <c r="X1043" s="25" t="s">
        <v>3799</v>
      </c>
      <c r="Y1043" s="2"/>
      <c r="AA1043" s="2"/>
      <c r="AB1043" s="2"/>
      <c r="AC1043" s="2"/>
      <c r="AD1043" s="2"/>
      <c r="AE1043" s="2" t="s">
        <v>4740</v>
      </c>
      <c r="AF1043" s="2"/>
      <c r="AG1043" s="2"/>
      <c r="AH1043" s="2"/>
      <c r="AI1043" s="2"/>
      <c r="AJ1043" s="2"/>
      <c r="AK1043" s="2"/>
      <c r="AL1043" s="2"/>
    </row>
    <row r="1044" spans="1:38" ht="12.75" customHeight="1">
      <c r="A1044" s="15">
        <v>1044</v>
      </c>
      <c r="B1044" s="737" t="s">
        <v>3086</v>
      </c>
      <c r="C1044" s="744" t="s">
        <v>1265</v>
      </c>
      <c r="D1044" s="749" t="s">
        <v>3116</v>
      </c>
      <c r="E1044" s="746" t="s">
        <v>3093</v>
      </c>
      <c r="F1044" s="746" t="s">
        <v>3884</v>
      </c>
      <c r="G1044" s="747">
        <v>23221</v>
      </c>
      <c r="H1044" s="748" t="s">
        <v>1266</v>
      </c>
      <c r="I1044" s="748" t="s">
        <v>1267</v>
      </c>
      <c r="J1044" s="2" t="s">
        <v>1268</v>
      </c>
      <c r="K1044" s="18">
        <v>41337</v>
      </c>
      <c r="L1044" s="18">
        <v>41337</v>
      </c>
      <c r="M1044" s="18">
        <v>2958465</v>
      </c>
      <c r="N1044" s="1"/>
      <c r="O1044" s="19">
        <v>0</v>
      </c>
      <c r="P1044" s="18">
        <v>2958465</v>
      </c>
      <c r="Q1044" s="19"/>
      <c r="R1044" s="773"/>
      <c r="S1044" s="18"/>
      <c r="T1044" s="2"/>
      <c r="U1044" s="3">
        <v>3</v>
      </c>
      <c r="V1044" s="2" t="s">
        <v>4625</v>
      </c>
      <c r="W1044" s="2" t="s">
        <v>4631</v>
      </c>
      <c r="X1044" s="2"/>
      <c r="Y1044" s="2" t="s">
        <v>4719</v>
      </c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 spans="1:38" ht="12.75" customHeight="1">
      <c r="A1045" s="15">
        <v>1045</v>
      </c>
      <c r="B1045" s="736" t="s">
        <v>1555</v>
      </c>
      <c r="C1045" s="16" t="s">
        <v>931</v>
      </c>
      <c r="D1045" s="20" t="s">
        <v>3110</v>
      </c>
      <c r="E1045" s="2" t="s">
        <v>3123</v>
      </c>
      <c r="F1045" s="2" t="s">
        <v>3885</v>
      </c>
      <c r="G1045" s="17">
        <v>11754</v>
      </c>
      <c r="H1045" s="2" t="s">
        <v>250</v>
      </c>
      <c r="I1045" s="2" t="s">
        <v>932</v>
      </c>
      <c r="J1045" s="2"/>
      <c r="K1045" s="18">
        <v>45315</v>
      </c>
      <c r="L1045" s="18">
        <v>45315</v>
      </c>
      <c r="M1045" s="18">
        <v>45657</v>
      </c>
      <c r="N1045" s="1">
        <v>7</v>
      </c>
      <c r="O1045" s="19">
        <v>292000</v>
      </c>
      <c r="P1045" s="18">
        <v>45657</v>
      </c>
      <c r="Q1045" s="19">
        <v>321200</v>
      </c>
      <c r="R1045" s="772" t="s">
        <v>933</v>
      </c>
      <c r="S1045" s="18">
        <v>45315</v>
      </c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 spans="1:38" ht="12.75" customHeight="1">
      <c r="A1046" s="15">
        <v>1046</v>
      </c>
      <c r="B1046" s="736" t="s">
        <v>3086</v>
      </c>
      <c r="C1046" s="16" t="s">
        <v>547</v>
      </c>
      <c r="D1046" s="20" t="s">
        <v>3110</v>
      </c>
      <c r="E1046" s="2" t="s">
        <v>3202</v>
      </c>
      <c r="F1046" s="2" t="s">
        <v>3885</v>
      </c>
      <c r="G1046" s="17">
        <v>11754</v>
      </c>
      <c r="H1046" s="2" t="s">
        <v>546</v>
      </c>
      <c r="I1046" s="2" t="s">
        <v>548</v>
      </c>
      <c r="J1046" s="2"/>
      <c r="K1046" s="18">
        <v>44861</v>
      </c>
      <c r="L1046" s="18">
        <v>44861</v>
      </c>
      <c r="M1046" s="18">
        <v>46321</v>
      </c>
      <c r="N1046" s="1">
        <v>6</v>
      </c>
      <c r="O1046" s="19">
        <v>32789546</v>
      </c>
      <c r="P1046" s="18">
        <v>46321</v>
      </c>
      <c r="Q1046" s="19">
        <v>32789546</v>
      </c>
      <c r="R1046" s="772" t="s">
        <v>549</v>
      </c>
      <c r="S1046" s="18">
        <v>44861</v>
      </c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 spans="1:38" ht="12.75" customHeight="1">
      <c r="A1047" s="15">
        <v>1047</v>
      </c>
      <c r="B1047" s="736" t="s">
        <v>1555</v>
      </c>
      <c r="C1047" s="16" t="s">
        <v>1595</v>
      </c>
      <c r="D1047" s="20" t="s">
        <v>3110</v>
      </c>
      <c r="E1047" s="2" t="s">
        <v>3111</v>
      </c>
      <c r="F1047" s="2" t="s">
        <v>3885</v>
      </c>
      <c r="G1047" s="17">
        <v>11754</v>
      </c>
      <c r="H1047" s="2" t="s">
        <v>1594</v>
      </c>
      <c r="I1047" s="2" t="s">
        <v>1596</v>
      </c>
      <c r="J1047" s="2"/>
      <c r="K1047" s="18">
        <v>44278</v>
      </c>
      <c r="L1047" s="18">
        <v>44287</v>
      </c>
      <c r="M1047" s="18">
        <v>44651</v>
      </c>
      <c r="N1047" s="1"/>
      <c r="O1047" s="19">
        <v>338607</v>
      </c>
      <c r="P1047" s="18">
        <v>44651</v>
      </c>
      <c r="Q1047" s="19"/>
      <c r="R1047" s="772"/>
      <c r="S1047" s="18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 spans="1:38" ht="12.75" customHeight="1">
      <c r="A1048" s="15">
        <v>1048</v>
      </c>
      <c r="B1048" s="736" t="s">
        <v>1555</v>
      </c>
      <c r="C1048" s="16" t="s">
        <v>1924</v>
      </c>
      <c r="D1048" s="20" t="s">
        <v>3110</v>
      </c>
      <c r="E1048" s="2" t="s">
        <v>3111</v>
      </c>
      <c r="F1048" s="2" t="s">
        <v>3885</v>
      </c>
      <c r="G1048" s="17">
        <v>11754</v>
      </c>
      <c r="H1048" s="2" t="s">
        <v>1923</v>
      </c>
      <c r="I1048" s="2" t="s">
        <v>1925</v>
      </c>
      <c r="J1048" s="2"/>
      <c r="K1048" s="18">
        <v>44559</v>
      </c>
      <c r="L1048" s="18">
        <v>44562</v>
      </c>
      <c r="M1048" s="18">
        <v>44926</v>
      </c>
      <c r="N1048" s="1"/>
      <c r="O1048" s="19">
        <v>290150</v>
      </c>
      <c r="P1048" s="18">
        <v>44926</v>
      </c>
      <c r="Q1048" s="19"/>
      <c r="R1048" s="772"/>
      <c r="S1048" s="18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 spans="1:38" ht="12.75" customHeight="1">
      <c r="A1049" s="15">
        <v>1049</v>
      </c>
      <c r="B1049" s="736" t="s">
        <v>1555</v>
      </c>
      <c r="C1049" s="16" t="s">
        <v>2482</v>
      </c>
      <c r="D1049" s="20" t="s">
        <v>3110</v>
      </c>
      <c r="E1049" s="2" t="s">
        <v>3111</v>
      </c>
      <c r="F1049" s="2" t="s">
        <v>3885</v>
      </c>
      <c r="G1049" s="17">
        <v>11754</v>
      </c>
      <c r="H1049" s="2" t="s">
        <v>1923</v>
      </c>
      <c r="I1049" s="2" t="s">
        <v>2483</v>
      </c>
      <c r="J1049" s="2"/>
      <c r="K1049" s="18">
        <v>44894</v>
      </c>
      <c r="L1049" s="18">
        <v>44894</v>
      </c>
      <c r="M1049" s="18">
        <v>45291</v>
      </c>
      <c r="N1049" s="1"/>
      <c r="O1049" s="19">
        <v>353320</v>
      </c>
      <c r="P1049" s="18">
        <v>45291</v>
      </c>
      <c r="Q1049" s="19"/>
      <c r="R1049" s="772"/>
      <c r="S1049" s="18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 spans="1:38" ht="12.75" customHeight="1">
      <c r="A1050" s="15">
        <v>1050</v>
      </c>
      <c r="B1050" s="736" t="s">
        <v>1555</v>
      </c>
      <c r="C1050" s="16" t="s">
        <v>2554</v>
      </c>
      <c r="D1050" s="20" t="s">
        <v>3087</v>
      </c>
      <c r="E1050" s="2" t="s">
        <v>3097</v>
      </c>
      <c r="F1050" s="15" t="s">
        <v>3886</v>
      </c>
      <c r="G1050" s="17">
        <v>10827</v>
      </c>
      <c r="H1050" s="96" t="s">
        <v>830</v>
      </c>
      <c r="I1050" s="2" t="s">
        <v>2555</v>
      </c>
      <c r="J1050" s="2"/>
      <c r="K1050" s="18">
        <v>44936</v>
      </c>
      <c r="L1050" s="18">
        <v>44936</v>
      </c>
      <c r="M1050" s="18">
        <v>45077</v>
      </c>
      <c r="N1050" s="1"/>
      <c r="O1050" s="19">
        <v>3500</v>
      </c>
      <c r="P1050" s="18">
        <v>45077</v>
      </c>
      <c r="Q1050" s="19"/>
      <c r="R1050" s="772"/>
      <c r="S1050" s="18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 spans="1:38" ht="12.75" customHeight="1">
      <c r="A1051" s="15">
        <v>1051</v>
      </c>
      <c r="B1051" s="736" t="s">
        <v>1555</v>
      </c>
      <c r="C1051" s="16" t="s">
        <v>2841</v>
      </c>
      <c r="D1051" s="20" t="s">
        <v>3087</v>
      </c>
      <c r="E1051" s="2" t="s">
        <v>3097</v>
      </c>
      <c r="F1051" s="15" t="s">
        <v>3886</v>
      </c>
      <c r="G1051" s="17">
        <v>10827</v>
      </c>
      <c r="H1051" s="96" t="s">
        <v>830</v>
      </c>
      <c r="I1051" s="2" t="s">
        <v>2842</v>
      </c>
      <c r="J1051" s="2"/>
      <c r="K1051" s="18">
        <v>45098</v>
      </c>
      <c r="L1051" s="18">
        <v>45098</v>
      </c>
      <c r="M1051" s="18">
        <v>45322</v>
      </c>
      <c r="N1051" s="1"/>
      <c r="O1051" s="19">
        <v>3500</v>
      </c>
      <c r="P1051" s="18">
        <v>45322</v>
      </c>
      <c r="Q1051" s="19"/>
      <c r="R1051" s="772"/>
      <c r="S1051" s="18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 spans="1:38" ht="12.75" customHeight="1">
      <c r="A1052" s="15">
        <v>1052</v>
      </c>
      <c r="B1052" s="736" t="s">
        <v>1555</v>
      </c>
      <c r="C1052" s="16" t="s">
        <v>2864</v>
      </c>
      <c r="D1052" s="20" t="s">
        <v>3087</v>
      </c>
      <c r="E1052" s="2" t="s">
        <v>3097</v>
      </c>
      <c r="F1052" s="15" t="s">
        <v>3886</v>
      </c>
      <c r="G1052" s="17">
        <v>10827</v>
      </c>
      <c r="H1052" s="96" t="s">
        <v>830</v>
      </c>
      <c r="I1052" s="2" t="s">
        <v>2842</v>
      </c>
      <c r="J1052" s="2"/>
      <c r="K1052" s="18">
        <v>45099</v>
      </c>
      <c r="L1052" s="18">
        <v>45099</v>
      </c>
      <c r="M1052" s="18">
        <v>45291</v>
      </c>
      <c r="N1052" s="1"/>
      <c r="O1052" s="19">
        <v>1500</v>
      </c>
      <c r="P1052" s="18">
        <v>45291</v>
      </c>
      <c r="Q1052" s="19"/>
      <c r="R1052" s="772"/>
      <c r="S1052" s="18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 spans="1:38" ht="12.75" customHeight="1">
      <c r="A1053" s="15">
        <v>1053</v>
      </c>
      <c r="B1053" s="736" t="s">
        <v>1555</v>
      </c>
      <c r="C1053" s="16" t="s">
        <v>2180</v>
      </c>
      <c r="D1053" s="20" t="s">
        <v>3087</v>
      </c>
      <c r="E1053" s="2" t="s">
        <v>3097</v>
      </c>
      <c r="F1053" s="15" t="s">
        <v>3887</v>
      </c>
      <c r="G1053" s="17">
        <v>10705</v>
      </c>
      <c r="H1053" s="96" t="s">
        <v>830</v>
      </c>
      <c r="I1053" s="2" t="s">
        <v>2181</v>
      </c>
      <c r="J1053" s="2"/>
      <c r="K1053" s="18">
        <v>44732</v>
      </c>
      <c r="L1053" s="18">
        <v>44732</v>
      </c>
      <c r="M1053" s="18">
        <v>44834</v>
      </c>
      <c r="N1053" s="1"/>
      <c r="O1053" s="19">
        <v>1750</v>
      </c>
      <c r="P1053" s="18">
        <v>44834</v>
      </c>
      <c r="Q1053" s="19"/>
      <c r="R1053" s="772"/>
      <c r="S1053" s="18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 spans="1:38" ht="12.75" customHeight="1">
      <c r="A1054" s="15">
        <v>1054</v>
      </c>
      <c r="B1054" s="736" t="s">
        <v>1555</v>
      </c>
      <c r="C1054" s="16" t="s">
        <v>971</v>
      </c>
      <c r="D1054" s="20" t="s">
        <v>3087</v>
      </c>
      <c r="E1054" s="2" t="s">
        <v>3097</v>
      </c>
      <c r="F1054" s="2" t="s">
        <v>3888</v>
      </c>
      <c r="G1054" s="17">
        <v>9980</v>
      </c>
      <c r="H1054" s="96" t="s">
        <v>830</v>
      </c>
      <c r="I1054" s="2" t="s">
        <v>972</v>
      </c>
      <c r="J1054" s="2"/>
      <c r="K1054" s="18">
        <v>45328</v>
      </c>
      <c r="L1054" s="18">
        <v>45328</v>
      </c>
      <c r="M1054" s="18">
        <v>45338</v>
      </c>
      <c r="N1054" s="1">
        <v>7</v>
      </c>
      <c r="O1054" s="19">
        <v>1500</v>
      </c>
      <c r="P1054" s="18">
        <v>45338</v>
      </c>
      <c r="Q1054" s="19"/>
      <c r="R1054" s="772"/>
      <c r="S1054" s="18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 spans="1:38" ht="12.75" customHeight="1">
      <c r="A1055" s="15">
        <v>1055</v>
      </c>
      <c r="B1055" s="736" t="s">
        <v>1555</v>
      </c>
      <c r="C1055" s="16" t="s">
        <v>965</v>
      </c>
      <c r="D1055" s="20" t="s">
        <v>3087</v>
      </c>
      <c r="E1055" s="2" t="s">
        <v>3097</v>
      </c>
      <c r="F1055" s="2" t="s">
        <v>3888</v>
      </c>
      <c r="G1055" s="17">
        <v>9979</v>
      </c>
      <c r="H1055" s="96" t="s">
        <v>830</v>
      </c>
      <c r="I1055" s="2" t="s">
        <v>966</v>
      </c>
      <c r="J1055" s="2"/>
      <c r="K1055" s="18">
        <v>45334</v>
      </c>
      <c r="L1055" s="18">
        <v>45334</v>
      </c>
      <c r="M1055" s="18">
        <v>45473</v>
      </c>
      <c r="N1055" s="1">
        <v>7</v>
      </c>
      <c r="O1055" s="19">
        <v>2000</v>
      </c>
      <c r="P1055" s="18">
        <v>45473</v>
      </c>
      <c r="Q1055" s="19"/>
      <c r="R1055" s="772"/>
      <c r="S1055" s="18"/>
      <c r="T1055" s="2"/>
      <c r="U1055" s="2"/>
      <c r="V1055" s="2" t="s">
        <v>4625</v>
      </c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 spans="1:38" ht="12.75" customHeight="1">
      <c r="A1056" s="15">
        <v>1056</v>
      </c>
      <c r="B1056" s="736" t="s">
        <v>1555</v>
      </c>
      <c r="C1056" s="16" t="s">
        <v>963</v>
      </c>
      <c r="D1056" s="20" t="s">
        <v>3087</v>
      </c>
      <c r="E1056" s="2" t="s">
        <v>3097</v>
      </c>
      <c r="F1056" s="2" t="s">
        <v>3888</v>
      </c>
      <c r="G1056" s="17">
        <v>9978</v>
      </c>
      <c r="H1056" s="96" t="s">
        <v>830</v>
      </c>
      <c r="I1056" s="2" t="s">
        <v>964</v>
      </c>
      <c r="J1056" s="2"/>
      <c r="K1056" s="18">
        <v>45334</v>
      </c>
      <c r="L1056" s="18">
        <v>45352</v>
      </c>
      <c r="M1056" s="18">
        <v>45473</v>
      </c>
      <c r="N1056" s="1">
        <v>7</v>
      </c>
      <c r="O1056" s="19">
        <v>4200</v>
      </c>
      <c r="P1056" s="18">
        <v>45473</v>
      </c>
      <c r="Q1056" s="19"/>
      <c r="R1056" s="772"/>
      <c r="S1056" s="18"/>
      <c r="T1056" s="2"/>
      <c r="U1056" s="2"/>
      <c r="V1056" s="2" t="s">
        <v>3091</v>
      </c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 spans="1:38" ht="12.75" customHeight="1">
      <c r="A1057" s="15">
        <v>1057</v>
      </c>
      <c r="B1057" s="736" t="s">
        <v>1555</v>
      </c>
      <c r="C1057" s="16" t="s">
        <v>916</v>
      </c>
      <c r="D1057" s="20" t="s">
        <v>3087</v>
      </c>
      <c r="E1057" s="3" t="s">
        <v>3162</v>
      </c>
      <c r="F1057" s="2" t="s">
        <v>3888</v>
      </c>
      <c r="G1057" s="17">
        <v>9882</v>
      </c>
      <c r="H1057" s="96" t="s">
        <v>830</v>
      </c>
      <c r="I1057" s="2" t="s">
        <v>917</v>
      </c>
      <c r="J1057" s="2"/>
      <c r="K1057" s="18">
        <v>45302</v>
      </c>
      <c r="L1057" s="18">
        <v>45321</v>
      </c>
      <c r="M1057" s="18">
        <v>45346</v>
      </c>
      <c r="N1057" s="1">
        <v>7</v>
      </c>
      <c r="O1057" s="19">
        <v>1500</v>
      </c>
      <c r="P1057" s="18">
        <v>45346</v>
      </c>
      <c r="Q1057" s="19"/>
      <c r="R1057" s="772"/>
      <c r="S1057" s="18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 spans="1:38" ht="12.75" customHeight="1">
      <c r="A1058" s="15">
        <v>1058</v>
      </c>
      <c r="B1058" s="736" t="s">
        <v>1555</v>
      </c>
      <c r="C1058" s="16" t="s">
        <v>3057</v>
      </c>
      <c r="D1058" s="20" t="s">
        <v>3087</v>
      </c>
      <c r="E1058" s="2" t="s">
        <v>3097</v>
      </c>
      <c r="F1058" s="2" t="s">
        <v>3888</v>
      </c>
      <c r="G1058" s="17">
        <v>9838</v>
      </c>
      <c r="H1058" s="96" t="s">
        <v>830</v>
      </c>
      <c r="I1058" s="2" t="s">
        <v>3058</v>
      </c>
      <c r="J1058" s="2"/>
      <c r="K1058" s="18">
        <v>45281</v>
      </c>
      <c r="L1058" s="18">
        <v>45292</v>
      </c>
      <c r="M1058" s="18">
        <v>45322</v>
      </c>
      <c r="N1058" s="1"/>
      <c r="O1058" s="19">
        <v>2000</v>
      </c>
      <c r="P1058" s="18">
        <v>45322</v>
      </c>
      <c r="Q1058" s="19"/>
      <c r="R1058" s="772"/>
      <c r="S1058" s="18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 spans="1:38" ht="12.75" customHeight="1">
      <c r="A1059" s="15">
        <v>1059</v>
      </c>
      <c r="B1059" s="736" t="s">
        <v>1555</v>
      </c>
      <c r="C1059" s="16" t="s">
        <v>3045</v>
      </c>
      <c r="D1059" s="20" t="s">
        <v>3087</v>
      </c>
      <c r="E1059" s="2" t="s">
        <v>3097</v>
      </c>
      <c r="F1059" s="2" t="s">
        <v>3888</v>
      </c>
      <c r="G1059" s="17">
        <v>9827</v>
      </c>
      <c r="H1059" s="96" t="s">
        <v>830</v>
      </c>
      <c r="I1059" s="2" t="s">
        <v>3046</v>
      </c>
      <c r="J1059" s="2"/>
      <c r="K1059" s="18">
        <v>45273</v>
      </c>
      <c r="L1059" s="18">
        <v>45273</v>
      </c>
      <c r="M1059" s="18">
        <v>45291</v>
      </c>
      <c r="N1059" s="1"/>
      <c r="O1059" s="19">
        <v>4000</v>
      </c>
      <c r="P1059" s="18">
        <v>45291</v>
      </c>
      <c r="Q1059" s="19"/>
      <c r="R1059" s="772"/>
      <c r="S1059" s="18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 spans="1:38" ht="12.75" customHeight="1">
      <c r="A1060" s="15">
        <v>1060</v>
      </c>
      <c r="B1060" s="736" t="s">
        <v>1555</v>
      </c>
      <c r="C1060" s="16" t="s">
        <v>3039</v>
      </c>
      <c r="D1060" s="20" t="s">
        <v>3087</v>
      </c>
      <c r="E1060" s="2" t="s">
        <v>3162</v>
      </c>
      <c r="F1060" s="2" t="s">
        <v>3888</v>
      </c>
      <c r="G1060" s="17">
        <v>9810</v>
      </c>
      <c r="H1060" s="96" t="s">
        <v>830</v>
      </c>
      <c r="I1060" s="2" t="s">
        <v>3040</v>
      </c>
      <c r="J1060" s="2"/>
      <c r="K1060" s="18">
        <v>45265</v>
      </c>
      <c r="L1060" s="18">
        <v>45265</v>
      </c>
      <c r="M1060" s="18">
        <v>45291</v>
      </c>
      <c r="N1060" s="1"/>
      <c r="O1060" s="19">
        <v>3500</v>
      </c>
      <c r="P1060" s="18">
        <v>45291</v>
      </c>
      <c r="Q1060" s="19"/>
      <c r="R1060" s="772"/>
      <c r="S1060" s="18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 spans="1:38" ht="12.75" customHeight="1">
      <c r="A1061" s="15">
        <v>1061</v>
      </c>
      <c r="B1061" s="736" t="s">
        <v>1555</v>
      </c>
      <c r="C1061" s="16" t="s">
        <v>3035</v>
      </c>
      <c r="D1061" s="20" t="s">
        <v>3087</v>
      </c>
      <c r="E1061" s="2" t="s">
        <v>3162</v>
      </c>
      <c r="F1061" s="2" t="s">
        <v>3888</v>
      </c>
      <c r="G1061" s="17">
        <v>9769</v>
      </c>
      <c r="H1061" s="96" t="s">
        <v>830</v>
      </c>
      <c r="I1061" s="2" t="s">
        <v>3036</v>
      </c>
      <c r="J1061" s="2"/>
      <c r="K1061" s="18">
        <v>45253</v>
      </c>
      <c r="L1061" s="18">
        <v>45253</v>
      </c>
      <c r="M1061" s="18">
        <v>45291</v>
      </c>
      <c r="N1061" s="1"/>
      <c r="O1061" s="19">
        <v>1500</v>
      </c>
      <c r="P1061" s="18">
        <v>45291</v>
      </c>
      <c r="Q1061" s="19"/>
      <c r="R1061" s="772"/>
      <c r="S1061" s="18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 spans="1:38" ht="12.75" customHeight="1">
      <c r="A1062" s="15">
        <v>1062</v>
      </c>
      <c r="B1062" s="736" t="s">
        <v>1555</v>
      </c>
      <c r="C1062" s="16" t="s">
        <v>3037</v>
      </c>
      <c r="D1062" s="20" t="s">
        <v>3087</v>
      </c>
      <c r="E1062" s="2" t="s">
        <v>3162</v>
      </c>
      <c r="F1062" s="2" t="s">
        <v>3888</v>
      </c>
      <c r="G1062" s="17">
        <v>9769</v>
      </c>
      <c r="H1062" s="96" t="s">
        <v>830</v>
      </c>
      <c r="I1062" s="2" t="s">
        <v>3038</v>
      </c>
      <c r="J1062" s="2"/>
      <c r="K1062" s="18">
        <v>45253</v>
      </c>
      <c r="L1062" s="18">
        <v>45253</v>
      </c>
      <c r="M1062" s="18">
        <v>45291</v>
      </c>
      <c r="N1062" s="1"/>
      <c r="O1062" s="19">
        <v>500</v>
      </c>
      <c r="P1062" s="18">
        <v>45291</v>
      </c>
      <c r="Q1062" s="19"/>
      <c r="R1062" s="772"/>
      <c r="S1062" s="18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 spans="1:38" ht="12.75" customHeight="1">
      <c r="A1063" s="15">
        <v>1063</v>
      </c>
      <c r="B1063" s="736" t="s">
        <v>1555</v>
      </c>
      <c r="C1063" s="16" t="s">
        <v>844</v>
      </c>
      <c r="D1063" s="20" t="s">
        <v>3087</v>
      </c>
      <c r="E1063" s="2" t="s">
        <v>3162</v>
      </c>
      <c r="F1063" s="2" t="s">
        <v>3888</v>
      </c>
      <c r="G1063" s="17">
        <v>9717</v>
      </c>
      <c r="H1063" s="96" t="s">
        <v>830</v>
      </c>
      <c r="I1063" s="2" t="s">
        <v>845</v>
      </c>
      <c r="J1063" s="2"/>
      <c r="K1063" s="18">
        <v>45218</v>
      </c>
      <c r="L1063" s="18">
        <v>45261</v>
      </c>
      <c r="M1063" s="18">
        <v>45351</v>
      </c>
      <c r="N1063" s="1">
        <v>7</v>
      </c>
      <c r="O1063" s="19">
        <v>1500</v>
      </c>
      <c r="P1063" s="18">
        <v>45351</v>
      </c>
      <c r="Q1063" s="19"/>
      <c r="R1063" s="772"/>
      <c r="S1063" s="18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 spans="1:38" ht="12.75" customHeight="1">
      <c r="A1064" s="15">
        <v>1064</v>
      </c>
      <c r="B1064" s="736" t="s">
        <v>1555</v>
      </c>
      <c r="C1064" s="16" t="s">
        <v>846</v>
      </c>
      <c r="D1064" s="20" t="s">
        <v>3087</v>
      </c>
      <c r="E1064" s="2" t="s">
        <v>3162</v>
      </c>
      <c r="F1064" s="2" t="s">
        <v>3888</v>
      </c>
      <c r="G1064" s="17">
        <v>9717</v>
      </c>
      <c r="H1064" s="96" t="s">
        <v>830</v>
      </c>
      <c r="I1064" s="2" t="s">
        <v>847</v>
      </c>
      <c r="J1064" s="2"/>
      <c r="K1064" s="18">
        <v>45218</v>
      </c>
      <c r="L1064" s="18">
        <v>45231</v>
      </c>
      <c r="M1064" s="18">
        <v>45351</v>
      </c>
      <c r="N1064" s="1">
        <v>7</v>
      </c>
      <c r="O1064" s="19">
        <v>7000</v>
      </c>
      <c r="P1064" s="18">
        <v>45351</v>
      </c>
      <c r="Q1064" s="19"/>
      <c r="R1064" s="772"/>
      <c r="S1064" s="18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 spans="1:38" ht="12.75" customHeight="1">
      <c r="A1065" s="15">
        <v>1065</v>
      </c>
      <c r="B1065" s="736" t="s">
        <v>1555</v>
      </c>
      <c r="C1065" s="16" t="s">
        <v>831</v>
      </c>
      <c r="D1065" s="20" t="s">
        <v>3087</v>
      </c>
      <c r="E1065" s="2" t="s">
        <v>3162</v>
      </c>
      <c r="F1065" s="2" t="s">
        <v>3888</v>
      </c>
      <c r="G1065" s="17">
        <v>9706</v>
      </c>
      <c r="H1065" s="96" t="s">
        <v>830</v>
      </c>
      <c r="I1065" s="2" t="s">
        <v>832</v>
      </c>
      <c r="J1065" s="2"/>
      <c r="K1065" s="18">
        <v>45226</v>
      </c>
      <c r="L1065" s="18">
        <v>45226</v>
      </c>
      <c r="M1065" s="18">
        <v>45473</v>
      </c>
      <c r="N1065" s="1">
        <v>7</v>
      </c>
      <c r="O1065" s="19">
        <v>20000</v>
      </c>
      <c r="P1065" s="18">
        <v>45473</v>
      </c>
      <c r="Q1065" s="19"/>
      <c r="R1065" s="772"/>
      <c r="S1065" s="18"/>
      <c r="T1065" s="2"/>
      <c r="U1065" s="2"/>
      <c r="V1065" s="2" t="s">
        <v>3091</v>
      </c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 spans="1:38" ht="12.75" customHeight="1">
      <c r="A1066" s="15">
        <v>1066</v>
      </c>
      <c r="B1066" s="736" t="s">
        <v>1555</v>
      </c>
      <c r="C1066" s="16" t="s">
        <v>3009</v>
      </c>
      <c r="D1066" s="20" t="s">
        <v>3087</v>
      </c>
      <c r="E1066" s="2" t="s">
        <v>3097</v>
      </c>
      <c r="F1066" s="2" t="s">
        <v>3888</v>
      </c>
      <c r="G1066" s="17">
        <v>9696</v>
      </c>
      <c r="H1066" s="96" t="s">
        <v>830</v>
      </c>
      <c r="I1066" s="2" t="s">
        <v>3010</v>
      </c>
      <c r="J1066" s="2"/>
      <c r="K1066" s="18">
        <v>45230</v>
      </c>
      <c r="L1066" s="18">
        <v>45278</v>
      </c>
      <c r="M1066" s="18">
        <v>45289</v>
      </c>
      <c r="N1066" s="1"/>
      <c r="O1066" s="19">
        <v>4000</v>
      </c>
      <c r="P1066" s="18">
        <v>45289</v>
      </c>
      <c r="Q1066" s="19"/>
      <c r="R1066" s="772"/>
      <c r="S1066" s="18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 spans="1:38" ht="12.75" customHeight="1">
      <c r="A1067" s="15">
        <v>1067</v>
      </c>
      <c r="B1067" s="736" t="s">
        <v>1555</v>
      </c>
      <c r="C1067" s="16" t="s">
        <v>3007</v>
      </c>
      <c r="D1067" s="20" t="s">
        <v>3087</v>
      </c>
      <c r="E1067" s="2" t="s">
        <v>3097</v>
      </c>
      <c r="F1067" s="2" t="s">
        <v>3888</v>
      </c>
      <c r="G1067" s="17">
        <v>9693</v>
      </c>
      <c r="H1067" s="96" t="s">
        <v>830</v>
      </c>
      <c r="I1067" s="2" t="s">
        <v>3008</v>
      </c>
      <c r="J1067" s="2"/>
      <c r="K1067" s="18">
        <v>45226</v>
      </c>
      <c r="L1067" s="18">
        <v>45226</v>
      </c>
      <c r="M1067" s="18">
        <v>45291</v>
      </c>
      <c r="N1067" s="1"/>
      <c r="O1067" s="19">
        <v>5000</v>
      </c>
      <c r="P1067" s="18">
        <v>45291</v>
      </c>
      <c r="Q1067" s="19"/>
      <c r="R1067" s="772"/>
      <c r="S1067" s="18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 spans="1:38" ht="12.75" customHeight="1">
      <c r="A1068" s="15">
        <v>1068</v>
      </c>
      <c r="B1068" s="736" t="s">
        <v>1555</v>
      </c>
      <c r="C1068" s="16" t="s">
        <v>3005</v>
      </c>
      <c r="D1068" s="20" t="s">
        <v>3087</v>
      </c>
      <c r="E1068" s="2" t="s">
        <v>3097</v>
      </c>
      <c r="F1068" s="2" t="s">
        <v>3888</v>
      </c>
      <c r="G1068" s="17">
        <v>9689</v>
      </c>
      <c r="H1068" s="96" t="s">
        <v>830</v>
      </c>
      <c r="I1068" s="2" t="s">
        <v>3006</v>
      </c>
      <c r="J1068" s="2"/>
      <c r="K1068" s="18">
        <v>45225</v>
      </c>
      <c r="L1068" s="18">
        <v>45225</v>
      </c>
      <c r="M1068" s="18">
        <v>45291</v>
      </c>
      <c r="N1068" s="1"/>
      <c r="O1068" s="19">
        <v>5000</v>
      </c>
      <c r="P1068" s="18">
        <v>45291</v>
      </c>
      <c r="Q1068" s="19"/>
      <c r="R1068" s="772"/>
      <c r="S1068" s="18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 spans="1:38" ht="12.75" customHeight="1">
      <c r="A1069" s="15">
        <v>1069</v>
      </c>
      <c r="B1069" s="736" t="s">
        <v>1555</v>
      </c>
      <c r="C1069" s="16" t="s">
        <v>807</v>
      </c>
      <c r="D1069" s="20" t="s">
        <v>3087</v>
      </c>
      <c r="E1069" s="2" t="s">
        <v>3097</v>
      </c>
      <c r="F1069" s="2" t="s">
        <v>3888</v>
      </c>
      <c r="G1069" s="17">
        <v>9686</v>
      </c>
      <c r="H1069" s="96" t="s">
        <v>830</v>
      </c>
      <c r="I1069" s="2" t="s">
        <v>808</v>
      </c>
      <c r="J1069" s="2"/>
      <c r="K1069" s="18">
        <v>45219</v>
      </c>
      <c r="L1069" s="18">
        <v>45292</v>
      </c>
      <c r="M1069" s="18">
        <v>45596</v>
      </c>
      <c r="N1069" s="1"/>
      <c r="O1069" s="19">
        <v>1500</v>
      </c>
      <c r="P1069" s="18">
        <v>45596</v>
      </c>
      <c r="Q1069" s="19"/>
      <c r="R1069" s="772"/>
      <c r="S1069" s="18"/>
      <c r="T1069" s="2"/>
      <c r="U1069" s="2"/>
      <c r="V1069" s="2" t="s">
        <v>4625</v>
      </c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 spans="1:38" ht="12.75" customHeight="1">
      <c r="A1070" s="15">
        <v>1070</v>
      </c>
      <c r="B1070" s="736" t="s">
        <v>1555</v>
      </c>
      <c r="C1070" s="16" t="s">
        <v>2999</v>
      </c>
      <c r="D1070" s="20" t="s">
        <v>3087</v>
      </c>
      <c r="E1070" s="2" t="s">
        <v>3097</v>
      </c>
      <c r="F1070" s="2" t="s">
        <v>3888</v>
      </c>
      <c r="G1070" s="17">
        <v>9679</v>
      </c>
      <c r="H1070" s="96" t="s">
        <v>830</v>
      </c>
      <c r="I1070" s="2" t="s">
        <v>3000</v>
      </c>
      <c r="J1070" s="2"/>
      <c r="K1070" s="18">
        <v>45209</v>
      </c>
      <c r="L1070" s="18">
        <v>45209</v>
      </c>
      <c r="M1070" s="18">
        <v>45291</v>
      </c>
      <c r="N1070" s="1"/>
      <c r="O1070" s="19">
        <v>0</v>
      </c>
      <c r="P1070" s="18">
        <v>45291</v>
      </c>
      <c r="Q1070" s="19"/>
      <c r="R1070" s="772"/>
      <c r="S1070" s="18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 spans="1:38" ht="12.75" customHeight="1">
      <c r="A1071" s="15">
        <v>1071</v>
      </c>
      <c r="B1071" s="736" t="s">
        <v>1555</v>
      </c>
      <c r="C1071" s="16" t="s">
        <v>2969</v>
      </c>
      <c r="D1071" s="20" t="s">
        <v>3087</v>
      </c>
      <c r="E1071" s="2" t="s">
        <v>3097</v>
      </c>
      <c r="F1071" s="2" t="s">
        <v>3888</v>
      </c>
      <c r="G1071" s="17">
        <v>9651</v>
      </c>
      <c r="H1071" s="96" t="s">
        <v>830</v>
      </c>
      <c r="I1071" s="2" t="s">
        <v>2970</v>
      </c>
      <c r="J1071" s="2"/>
      <c r="K1071" s="18">
        <v>45198</v>
      </c>
      <c r="L1071" s="18">
        <v>45198</v>
      </c>
      <c r="M1071" s="18">
        <v>45291</v>
      </c>
      <c r="N1071" s="1"/>
      <c r="O1071" s="19">
        <v>0</v>
      </c>
      <c r="P1071" s="18">
        <v>45291</v>
      </c>
      <c r="Q1071" s="19"/>
      <c r="R1071" s="772"/>
      <c r="S1071" s="18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 spans="1:38" ht="12.75" customHeight="1">
      <c r="A1072" s="15">
        <v>1072</v>
      </c>
      <c r="B1072" s="736" t="s">
        <v>1555</v>
      </c>
      <c r="C1072" s="16" t="s">
        <v>2959</v>
      </c>
      <c r="D1072" s="20" t="s">
        <v>3087</v>
      </c>
      <c r="E1072" s="2" t="s">
        <v>3097</v>
      </c>
      <c r="F1072" s="2" t="s">
        <v>3888</v>
      </c>
      <c r="G1072" s="17">
        <v>9611</v>
      </c>
      <c r="H1072" s="96" t="s">
        <v>830</v>
      </c>
      <c r="I1072" s="2" t="s">
        <v>2960</v>
      </c>
      <c r="J1072" s="2"/>
      <c r="K1072" s="18">
        <v>45169</v>
      </c>
      <c r="L1072" s="18">
        <v>45169</v>
      </c>
      <c r="M1072" s="18">
        <v>45260</v>
      </c>
      <c r="N1072" s="1"/>
      <c r="O1072" s="19">
        <v>3500</v>
      </c>
      <c r="P1072" s="18">
        <v>45260</v>
      </c>
      <c r="Q1072" s="19"/>
      <c r="R1072" s="772"/>
      <c r="S1072" s="18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 spans="1:38" ht="12.75" customHeight="1">
      <c r="A1073" s="15">
        <v>1073</v>
      </c>
      <c r="B1073" s="736" t="s">
        <v>1555</v>
      </c>
      <c r="C1073" s="16" t="s">
        <v>2939</v>
      </c>
      <c r="D1073" s="20" t="s">
        <v>3087</v>
      </c>
      <c r="E1073" s="2" t="s">
        <v>3097</v>
      </c>
      <c r="F1073" s="2" t="s">
        <v>3888</v>
      </c>
      <c r="G1073" s="17">
        <v>9582</v>
      </c>
      <c r="H1073" s="96" t="s">
        <v>830</v>
      </c>
      <c r="I1073" s="2" t="s">
        <v>2940</v>
      </c>
      <c r="J1073" s="2"/>
      <c r="K1073" s="18">
        <v>45079</v>
      </c>
      <c r="L1073" s="18">
        <v>45079</v>
      </c>
      <c r="M1073" s="18">
        <v>45169</v>
      </c>
      <c r="N1073" s="1"/>
      <c r="O1073" s="19">
        <v>4200</v>
      </c>
      <c r="P1073" s="18">
        <v>45169</v>
      </c>
      <c r="Q1073" s="19"/>
      <c r="R1073" s="772"/>
      <c r="S1073" s="18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 spans="1:38" ht="12.75" customHeight="1">
      <c r="A1074" s="15">
        <v>1074</v>
      </c>
      <c r="B1074" s="736" t="s">
        <v>1555</v>
      </c>
      <c r="C1074" s="16" t="s">
        <v>2933</v>
      </c>
      <c r="D1074" s="20" t="s">
        <v>3087</v>
      </c>
      <c r="E1074" s="2" t="s">
        <v>3097</v>
      </c>
      <c r="F1074" s="2" t="s">
        <v>3888</v>
      </c>
      <c r="G1074" s="17">
        <v>9579</v>
      </c>
      <c r="H1074" s="96" t="s">
        <v>830</v>
      </c>
      <c r="I1074" s="2" t="s">
        <v>2934</v>
      </c>
      <c r="J1074" s="2"/>
      <c r="K1074" s="18">
        <v>45166</v>
      </c>
      <c r="L1074" s="18">
        <v>45166</v>
      </c>
      <c r="M1074" s="18">
        <v>45230</v>
      </c>
      <c r="N1074" s="1"/>
      <c r="O1074" s="19">
        <v>1000</v>
      </c>
      <c r="P1074" s="18">
        <v>45230</v>
      </c>
      <c r="Q1074" s="19"/>
      <c r="R1074" s="772"/>
      <c r="S1074" s="18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 spans="1:38" ht="12.75" customHeight="1">
      <c r="A1075" s="15">
        <v>1075</v>
      </c>
      <c r="B1075" s="736" t="s">
        <v>1555</v>
      </c>
      <c r="C1075" s="16" t="s">
        <v>2935</v>
      </c>
      <c r="D1075" s="20" t="s">
        <v>3087</v>
      </c>
      <c r="E1075" s="2" t="s">
        <v>3097</v>
      </c>
      <c r="F1075" s="2" t="s">
        <v>3888</v>
      </c>
      <c r="G1075" s="17">
        <v>9579</v>
      </c>
      <c r="H1075" s="96" t="s">
        <v>830</v>
      </c>
      <c r="I1075" s="2" t="s">
        <v>2936</v>
      </c>
      <c r="J1075" s="2"/>
      <c r="K1075" s="18">
        <v>45166</v>
      </c>
      <c r="L1075" s="18">
        <v>45166</v>
      </c>
      <c r="M1075" s="18">
        <v>45260</v>
      </c>
      <c r="N1075" s="1"/>
      <c r="O1075" s="19">
        <v>3000</v>
      </c>
      <c r="P1075" s="18">
        <v>45260</v>
      </c>
      <c r="Q1075" s="19"/>
      <c r="R1075" s="772"/>
      <c r="S1075" s="18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 spans="1:38" ht="12.75" customHeight="1">
      <c r="A1076" s="15">
        <v>1076</v>
      </c>
      <c r="B1076" s="736" t="s">
        <v>1555</v>
      </c>
      <c r="C1076" s="16" t="s">
        <v>2928</v>
      </c>
      <c r="D1076" s="20" t="s">
        <v>3087</v>
      </c>
      <c r="E1076" s="2" t="s">
        <v>3097</v>
      </c>
      <c r="F1076" s="2" t="s">
        <v>3888</v>
      </c>
      <c r="G1076" s="17">
        <v>9578</v>
      </c>
      <c r="H1076" s="96" t="s">
        <v>830</v>
      </c>
      <c r="I1076" s="2" t="s">
        <v>2929</v>
      </c>
      <c r="J1076" s="2"/>
      <c r="K1076" s="18">
        <v>45169</v>
      </c>
      <c r="L1076" s="18">
        <v>45169</v>
      </c>
      <c r="M1076" s="18">
        <v>45260</v>
      </c>
      <c r="N1076" s="1"/>
      <c r="O1076" s="19">
        <v>1500</v>
      </c>
      <c r="P1076" s="18">
        <v>45260</v>
      </c>
      <c r="Q1076" s="19"/>
      <c r="R1076" s="772"/>
      <c r="S1076" s="18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 spans="1:38" ht="12.75" customHeight="1">
      <c r="A1077" s="15">
        <v>1077</v>
      </c>
      <c r="B1077" s="736" t="s">
        <v>1555</v>
      </c>
      <c r="C1077" s="16" t="s">
        <v>2930</v>
      </c>
      <c r="D1077" s="20" t="s">
        <v>3087</v>
      </c>
      <c r="E1077" s="2" t="s">
        <v>3097</v>
      </c>
      <c r="F1077" s="2" t="s">
        <v>3888</v>
      </c>
      <c r="G1077" s="17">
        <v>9578</v>
      </c>
      <c r="H1077" s="96" t="s">
        <v>830</v>
      </c>
      <c r="I1077" s="2" t="s">
        <v>2929</v>
      </c>
      <c r="J1077" s="2"/>
      <c r="K1077" s="18">
        <v>45169</v>
      </c>
      <c r="L1077" s="18">
        <v>45169</v>
      </c>
      <c r="M1077" s="18">
        <v>45260</v>
      </c>
      <c r="N1077" s="1"/>
      <c r="O1077" s="19">
        <v>3500</v>
      </c>
      <c r="P1077" s="18">
        <v>45260</v>
      </c>
      <c r="Q1077" s="19"/>
      <c r="R1077" s="772"/>
      <c r="S1077" s="18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 spans="1:38" ht="12.75" customHeight="1">
      <c r="A1078" s="15">
        <v>1078</v>
      </c>
      <c r="B1078" s="736" t="s">
        <v>1555</v>
      </c>
      <c r="C1078" s="16" t="s">
        <v>3041</v>
      </c>
      <c r="D1078" s="20" t="s">
        <v>3087</v>
      </c>
      <c r="E1078" s="2" t="s">
        <v>3162</v>
      </c>
      <c r="F1078" s="2" t="s">
        <v>3888</v>
      </c>
      <c r="G1078" s="17">
        <v>9578</v>
      </c>
      <c r="H1078" s="96" t="s">
        <v>830</v>
      </c>
      <c r="I1078" s="2" t="s">
        <v>3042</v>
      </c>
      <c r="J1078" s="2"/>
      <c r="K1078" s="18">
        <v>45258</v>
      </c>
      <c r="L1078" s="18">
        <v>45292</v>
      </c>
      <c r="M1078" s="18">
        <v>45322</v>
      </c>
      <c r="N1078" s="1"/>
      <c r="O1078" s="19">
        <v>3500</v>
      </c>
      <c r="P1078" s="18">
        <v>45322</v>
      </c>
      <c r="Q1078" s="19"/>
      <c r="R1078" s="772"/>
      <c r="S1078" s="18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 spans="1:38" ht="12.75" customHeight="1">
      <c r="A1079" s="15">
        <v>1079</v>
      </c>
      <c r="B1079" s="736" t="s">
        <v>1555</v>
      </c>
      <c r="C1079" s="16" t="s">
        <v>2920</v>
      </c>
      <c r="D1079" s="20" t="s">
        <v>3087</v>
      </c>
      <c r="E1079" s="2" t="s">
        <v>3097</v>
      </c>
      <c r="F1079" s="2" t="s">
        <v>3888</v>
      </c>
      <c r="G1079" s="17">
        <v>9574</v>
      </c>
      <c r="H1079" s="96" t="s">
        <v>830</v>
      </c>
      <c r="I1079" s="2" t="s">
        <v>2921</v>
      </c>
      <c r="J1079" s="2"/>
      <c r="K1079" s="18">
        <v>45175</v>
      </c>
      <c r="L1079" s="18">
        <v>45175</v>
      </c>
      <c r="M1079" s="18">
        <v>45230</v>
      </c>
      <c r="N1079" s="1"/>
      <c r="O1079" s="19">
        <v>4200</v>
      </c>
      <c r="P1079" s="18">
        <v>45230</v>
      </c>
      <c r="Q1079" s="19"/>
      <c r="R1079" s="772"/>
      <c r="S1079" s="18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 spans="1:38" ht="12.75" customHeight="1">
      <c r="A1080" s="15">
        <v>1080</v>
      </c>
      <c r="B1080" s="736" t="s">
        <v>1555</v>
      </c>
      <c r="C1080" s="16" t="s">
        <v>2909</v>
      </c>
      <c r="D1080" s="20" t="s">
        <v>3087</v>
      </c>
      <c r="E1080" s="2" t="s">
        <v>3097</v>
      </c>
      <c r="F1080" s="2" t="s">
        <v>3888</v>
      </c>
      <c r="G1080" s="17">
        <v>9532</v>
      </c>
      <c r="H1080" s="96" t="s">
        <v>830</v>
      </c>
      <c r="I1080" s="2" t="s">
        <v>2910</v>
      </c>
      <c r="J1080" s="2"/>
      <c r="K1080" s="18">
        <v>45139</v>
      </c>
      <c r="L1080" s="18">
        <v>45139</v>
      </c>
      <c r="M1080" s="18">
        <v>45322</v>
      </c>
      <c r="N1080" s="1"/>
      <c r="O1080" s="19"/>
      <c r="P1080" s="18">
        <v>45322</v>
      </c>
      <c r="Q1080" s="19"/>
      <c r="R1080" s="772"/>
      <c r="S1080" s="18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 spans="1:38" ht="12.75" customHeight="1">
      <c r="A1081" s="15">
        <v>1081</v>
      </c>
      <c r="B1081" s="736" t="s">
        <v>1555</v>
      </c>
      <c r="C1081" s="16" t="s">
        <v>2897</v>
      </c>
      <c r="D1081" s="20" t="s">
        <v>3087</v>
      </c>
      <c r="E1081" s="2" t="s">
        <v>3097</v>
      </c>
      <c r="F1081" s="2" t="s">
        <v>3888</v>
      </c>
      <c r="G1081" s="17">
        <v>9425</v>
      </c>
      <c r="H1081" s="96" t="s">
        <v>830</v>
      </c>
      <c r="I1081" s="2" t="s">
        <v>2898</v>
      </c>
      <c r="J1081" s="2"/>
      <c r="K1081" s="18">
        <v>45128</v>
      </c>
      <c r="L1081" s="18">
        <v>45128</v>
      </c>
      <c r="M1081" s="18">
        <v>45260</v>
      </c>
      <c r="N1081" s="1"/>
      <c r="O1081" s="19">
        <v>4200</v>
      </c>
      <c r="P1081" s="18">
        <v>45260</v>
      </c>
      <c r="Q1081" s="19"/>
      <c r="R1081" s="772"/>
      <c r="S1081" s="18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 spans="1:38" ht="12.75" customHeight="1">
      <c r="A1082" s="15">
        <v>1082</v>
      </c>
      <c r="B1082" s="736" t="s">
        <v>1555</v>
      </c>
      <c r="C1082" s="16" t="s">
        <v>2891</v>
      </c>
      <c r="D1082" s="20" t="s">
        <v>3087</v>
      </c>
      <c r="E1082" s="2" t="s">
        <v>3093</v>
      </c>
      <c r="F1082" s="2" t="s">
        <v>3888</v>
      </c>
      <c r="G1082" s="17">
        <v>9412</v>
      </c>
      <c r="H1082" s="96" t="s">
        <v>510</v>
      </c>
      <c r="I1082" s="2" t="s">
        <v>2892</v>
      </c>
      <c r="J1082" s="2"/>
      <c r="K1082" s="18">
        <v>45126</v>
      </c>
      <c r="L1082" s="18">
        <v>45126</v>
      </c>
      <c r="M1082" s="18">
        <v>45169</v>
      </c>
      <c r="N1082" s="1"/>
      <c r="O1082" s="19"/>
      <c r="P1082" s="18">
        <v>45169</v>
      </c>
      <c r="Q1082" s="19"/>
      <c r="R1082" s="772"/>
      <c r="S1082" s="18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 spans="1:38" ht="12.75" customHeight="1">
      <c r="A1083" s="15">
        <v>1083</v>
      </c>
      <c r="B1083" s="736" t="s">
        <v>1555</v>
      </c>
      <c r="C1083" s="16" t="s">
        <v>2879</v>
      </c>
      <c r="D1083" s="20" t="s">
        <v>3087</v>
      </c>
      <c r="E1083" s="2" t="s">
        <v>3097</v>
      </c>
      <c r="F1083" s="2" t="s">
        <v>3888</v>
      </c>
      <c r="G1083" s="17">
        <v>9401</v>
      </c>
      <c r="H1083" s="96" t="s">
        <v>830</v>
      </c>
      <c r="I1083" s="2" t="s">
        <v>2880</v>
      </c>
      <c r="J1083" s="2"/>
      <c r="K1083" s="18">
        <v>45096</v>
      </c>
      <c r="L1083" s="18">
        <v>45096</v>
      </c>
      <c r="M1083" s="18">
        <v>45322</v>
      </c>
      <c r="N1083" s="1"/>
      <c r="O1083" s="19"/>
      <c r="P1083" s="18">
        <v>45322</v>
      </c>
      <c r="Q1083" s="19"/>
      <c r="R1083" s="772"/>
      <c r="S1083" s="18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 spans="1:38" ht="12.75" customHeight="1">
      <c r="A1084" s="15">
        <v>1084</v>
      </c>
      <c r="B1084" s="736" t="s">
        <v>1555</v>
      </c>
      <c r="C1084" s="16" t="s">
        <v>2975</v>
      </c>
      <c r="D1084" s="20" t="s">
        <v>3087</v>
      </c>
      <c r="E1084" s="2" t="s">
        <v>3097</v>
      </c>
      <c r="F1084" s="2" t="s">
        <v>3888</v>
      </c>
      <c r="G1084" s="17">
        <v>9401</v>
      </c>
      <c r="H1084" s="96" t="s">
        <v>830</v>
      </c>
      <c r="I1084" s="2" t="s">
        <v>2976</v>
      </c>
      <c r="J1084" s="2"/>
      <c r="K1084" s="18">
        <v>45201</v>
      </c>
      <c r="L1084" s="18">
        <v>45201</v>
      </c>
      <c r="M1084" s="18">
        <v>45291</v>
      </c>
      <c r="N1084" s="1"/>
      <c r="O1084" s="19">
        <v>0</v>
      </c>
      <c r="P1084" s="18">
        <v>45291</v>
      </c>
      <c r="Q1084" s="19"/>
      <c r="R1084" s="772"/>
      <c r="S1084" s="18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 spans="1:38" ht="12.75" customHeight="1">
      <c r="A1085" s="15">
        <v>1085</v>
      </c>
      <c r="B1085" s="736" t="s">
        <v>1555</v>
      </c>
      <c r="C1085" s="16" t="s">
        <v>2875</v>
      </c>
      <c r="D1085" s="15" t="s">
        <v>3110</v>
      </c>
      <c r="E1085" s="2" t="s">
        <v>3197</v>
      </c>
      <c r="F1085" s="2" t="s">
        <v>3889</v>
      </c>
      <c r="G1085" s="17">
        <v>9398</v>
      </c>
      <c r="H1085" s="2" t="s">
        <v>546</v>
      </c>
      <c r="I1085" s="2" t="s">
        <v>2876</v>
      </c>
      <c r="J1085" s="2"/>
      <c r="K1085" s="18">
        <v>45132</v>
      </c>
      <c r="L1085" s="18">
        <v>45132</v>
      </c>
      <c r="M1085" s="18">
        <v>45194</v>
      </c>
      <c r="N1085" s="1"/>
      <c r="O1085" s="19">
        <v>58000</v>
      </c>
      <c r="P1085" s="18">
        <v>45194</v>
      </c>
      <c r="Q1085" s="19"/>
      <c r="R1085" s="772"/>
      <c r="S1085" s="18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 spans="1:38" ht="12.75" customHeight="1">
      <c r="A1086" s="15">
        <v>1086</v>
      </c>
      <c r="B1086" s="736" t="s">
        <v>1555</v>
      </c>
      <c r="C1086" s="16" t="s">
        <v>2857</v>
      </c>
      <c r="D1086" s="20" t="s">
        <v>3087</v>
      </c>
      <c r="E1086" s="2" t="s">
        <v>3097</v>
      </c>
      <c r="F1086" s="2" t="s">
        <v>3888</v>
      </c>
      <c r="G1086" s="17">
        <v>9386</v>
      </c>
      <c r="H1086" s="96" t="s">
        <v>830</v>
      </c>
      <c r="I1086" s="2" t="s">
        <v>2858</v>
      </c>
      <c r="J1086" s="2"/>
      <c r="K1086" s="18">
        <v>45104</v>
      </c>
      <c r="L1086" s="18">
        <v>45104</v>
      </c>
      <c r="M1086" s="18">
        <v>45260</v>
      </c>
      <c r="N1086" s="1"/>
      <c r="O1086" s="19">
        <v>7000</v>
      </c>
      <c r="P1086" s="18">
        <v>45260</v>
      </c>
      <c r="Q1086" s="19"/>
      <c r="R1086" s="772"/>
      <c r="S1086" s="18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 spans="1:38" ht="12.75" customHeight="1">
      <c r="A1087" s="15">
        <v>1087</v>
      </c>
      <c r="B1087" s="736" t="s">
        <v>1555</v>
      </c>
      <c r="C1087" s="16" t="s">
        <v>2823</v>
      </c>
      <c r="D1087" s="20" t="s">
        <v>3087</v>
      </c>
      <c r="E1087" s="2" t="s">
        <v>3097</v>
      </c>
      <c r="F1087" s="2" t="s">
        <v>3888</v>
      </c>
      <c r="G1087" s="17">
        <v>9332</v>
      </c>
      <c r="H1087" s="96" t="s">
        <v>830</v>
      </c>
      <c r="I1087" s="2" t="s">
        <v>2824</v>
      </c>
      <c r="J1087" s="2"/>
      <c r="K1087" s="18">
        <v>45083</v>
      </c>
      <c r="L1087" s="18">
        <v>45083</v>
      </c>
      <c r="M1087" s="18">
        <v>45138</v>
      </c>
      <c r="N1087" s="1"/>
      <c r="O1087" s="19">
        <v>4200</v>
      </c>
      <c r="P1087" s="18">
        <v>45138</v>
      </c>
      <c r="Q1087" s="19"/>
      <c r="R1087" s="772"/>
      <c r="S1087" s="18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 spans="1:38" ht="12.75" customHeight="1">
      <c r="A1088" s="15">
        <v>1088</v>
      </c>
      <c r="B1088" s="736" t="s">
        <v>1555</v>
      </c>
      <c r="C1088" s="16" t="s">
        <v>2819</v>
      </c>
      <c r="D1088" s="20" t="s">
        <v>3087</v>
      </c>
      <c r="E1088" s="2" t="s">
        <v>3097</v>
      </c>
      <c r="F1088" s="2" t="s">
        <v>3888</v>
      </c>
      <c r="G1088" s="17">
        <v>9330</v>
      </c>
      <c r="H1088" s="96" t="s">
        <v>830</v>
      </c>
      <c r="I1088" s="2" t="s">
        <v>2820</v>
      </c>
      <c r="J1088" s="2"/>
      <c r="K1088" s="18">
        <v>45089</v>
      </c>
      <c r="L1088" s="18">
        <v>45089</v>
      </c>
      <c r="M1088" s="18">
        <v>45138</v>
      </c>
      <c r="N1088" s="1"/>
      <c r="O1088" s="19"/>
      <c r="P1088" s="18">
        <v>45138</v>
      </c>
      <c r="Q1088" s="19"/>
      <c r="R1088" s="772"/>
      <c r="S1088" s="18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 spans="1:38" ht="12.75" customHeight="1">
      <c r="A1089" s="15">
        <v>1089</v>
      </c>
      <c r="B1089" s="736" t="s">
        <v>1555</v>
      </c>
      <c r="C1089" s="16" t="s">
        <v>2815</v>
      </c>
      <c r="D1089" s="20" t="s">
        <v>3087</v>
      </c>
      <c r="E1089" s="2" t="s">
        <v>3097</v>
      </c>
      <c r="F1089" s="2" t="s">
        <v>3888</v>
      </c>
      <c r="G1089" s="17">
        <v>9329</v>
      </c>
      <c r="H1089" s="96" t="s">
        <v>830</v>
      </c>
      <c r="I1089" s="2" t="s">
        <v>2816</v>
      </c>
      <c r="J1089" s="2"/>
      <c r="K1089" s="18">
        <v>45084</v>
      </c>
      <c r="L1089" s="18">
        <v>45084</v>
      </c>
      <c r="M1089" s="18">
        <v>45169</v>
      </c>
      <c r="N1089" s="1"/>
      <c r="O1089" s="19">
        <v>3500</v>
      </c>
      <c r="P1089" s="18">
        <v>45169</v>
      </c>
      <c r="Q1089" s="19"/>
      <c r="R1089" s="772"/>
      <c r="S1089" s="18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 spans="1:38" ht="12.75" customHeight="1">
      <c r="A1090" s="15">
        <v>1090</v>
      </c>
      <c r="B1090" s="736" t="s">
        <v>1555</v>
      </c>
      <c r="C1090" s="16" t="s">
        <v>2809</v>
      </c>
      <c r="D1090" s="20" t="s">
        <v>3087</v>
      </c>
      <c r="E1090" s="2" t="s">
        <v>3093</v>
      </c>
      <c r="F1090" s="2" t="s">
        <v>3888</v>
      </c>
      <c r="G1090" s="17">
        <v>9327</v>
      </c>
      <c r="H1090" s="96" t="s">
        <v>510</v>
      </c>
      <c r="I1090" s="2" t="s">
        <v>2810</v>
      </c>
      <c r="J1090" s="2"/>
      <c r="K1090" s="18">
        <v>45079</v>
      </c>
      <c r="L1090" s="18">
        <v>45079</v>
      </c>
      <c r="M1090" s="18">
        <v>45107</v>
      </c>
      <c r="N1090" s="1"/>
      <c r="O1090" s="19"/>
      <c r="P1090" s="18">
        <v>45107</v>
      </c>
      <c r="Q1090" s="19"/>
      <c r="R1090" s="772"/>
      <c r="S1090" s="18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 spans="1:38" ht="12.75" customHeight="1">
      <c r="A1091" s="15">
        <v>1091</v>
      </c>
      <c r="B1091" s="736" t="s">
        <v>1555</v>
      </c>
      <c r="C1091" s="16" t="s">
        <v>2796</v>
      </c>
      <c r="D1091" s="20" t="s">
        <v>3087</v>
      </c>
      <c r="E1091" s="2" t="s">
        <v>3097</v>
      </c>
      <c r="F1091" s="2" t="s">
        <v>3888</v>
      </c>
      <c r="G1091" s="17">
        <v>9270</v>
      </c>
      <c r="H1091" s="96" t="s">
        <v>830</v>
      </c>
      <c r="I1091" s="2" t="s">
        <v>2797</v>
      </c>
      <c r="J1091" s="2"/>
      <c r="K1091" s="18">
        <v>45079</v>
      </c>
      <c r="L1091" s="18">
        <v>45079</v>
      </c>
      <c r="M1091" s="18">
        <v>45169</v>
      </c>
      <c r="N1091" s="1"/>
      <c r="O1091" s="19"/>
      <c r="P1091" s="18">
        <v>45169</v>
      </c>
      <c r="Q1091" s="19"/>
      <c r="R1091" s="772"/>
      <c r="S1091" s="18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 spans="1:38" ht="12.75" customHeight="1">
      <c r="A1092" s="15">
        <v>1092</v>
      </c>
      <c r="B1092" s="736" t="s">
        <v>1555</v>
      </c>
      <c r="C1092" s="16" t="s">
        <v>2853</v>
      </c>
      <c r="D1092" s="20" t="s">
        <v>3087</v>
      </c>
      <c r="E1092" s="2" t="s">
        <v>3097</v>
      </c>
      <c r="F1092" s="2" t="s">
        <v>3888</v>
      </c>
      <c r="G1092" s="17">
        <v>9270</v>
      </c>
      <c r="H1092" s="96" t="s">
        <v>830</v>
      </c>
      <c r="I1092" s="2" t="s">
        <v>2854</v>
      </c>
      <c r="J1092" s="2"/>
      <c r="K1092" s="18">
        <v>45104</v>
      </c>
      <c r="L1092" s="18">
        <v>45104</v>
      </c>
      <c r="M1092" s="18">
        <v>45169</v>
      </c>
      <c r="N1092" s="1"/>
      <c r="O1092" s="19">
        <v>2500</v>
      </c>
      <c r="P1092" s="18">
        <v>45169</v>
      </c>
      <c r="Q1092" s="19"/>
      <c r="R1092" s="772"/>
      <c r="S1092" s="18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 spans="1:38" ht="12.75" customHeight="1">
      <c r="A1093" s="15">
        <v>1093</v>
      </c>
      <c r="B1093" s="736" t="s">
        <v>1555</v>
      </c>
      <c r="C1093" s="16" t="s">
        <v>2771</v>
      </c>
      <c r="D1093" s="20" t="s">
        <v>3087</v>
      </c>
      <c r="E1093" s="2" t="s">
        <v>3097</v>
      </c>
      <c r="F1093" s="2" t="s">
        <v>3888</v>
      </c>
      <c r="G1093" s="17">
        <v>9193</v>
      </c>
      <c r="H1093" s="96" t="s">
        <v>830</v>
      </c>
      <c r="I1093" s="2" t="s">
        <v>2772</v>
      </c>
      <c r="J1093" s="2"/>
      <c r="K1093" s="18">
        <v>45068</v>
      </c>
      <c r="L1093" s="18">
        <v>45068</v>
      </c>
      <c r="M1093" s="18">
        <v>45169</v>
      </c>
      <c r="N1093" s="1"/>
      <c r="O1093" s="19">
        <v>1500</v>
      </c>
      <c r="P1093" s="18">
        <v>45169</v>
      </c>
      <c r="Q1093" s="19"/>
      <c r="R1093" s="772"/>
      <c r="S1093" s="18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 spans="1:38" ht="12.75" customHeight="1">
      <c r="A1094" s="15">
        <v>1094</v>
      </c>
      <c r="B1094" s="736" t="s">
        <v>1555</v>
      </c>
      <c r="C1094" s="16" t="s">
        <v>2769</v>
      </c>
      <c r="D1094" s="20" t="s">
        <v>3087</v>
      </c>
      <c r="E1094" s="2" t="s">
        <v>3097</v>
      </c>
      <c r="F1094" s="2" t="s">
        <v>3888</v>
      </c>
      <c r="G1094" s="17">
        <v>9192</v>
      </c>
      <c r="H1094" s="96" t="s">
        <v>830</v>
      </c>
      <c r="I1094" s="2" t="s">
        <v>2770</v>
      </c>
      <c r="J1094" s="2"/>
      <c r="K1094" s="18">
        <v>45068</v>
      </c>
      <c r="L1094" s="18">
        <v>45068</v>
      </c>
      <c r="M1094" s="18">
        <v>45169</v>
      </c>
      <c r="N1094" s="1"/>
      <c r="O1094" s="19">
        <v>1500</v>
      </c>
      <c r="P1094" s="18">
        <v>45169</v>
      </c>
      <c r="Q1094" s="19"/>
      <c r="R1094" s="772"/>
      <c r="S1094" s="18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 spans="1:38" ht="12.75" customHeight="1">
      <c r="A1095" s="15">
        <v>1095</v>
      </c>
      <c r="B1095" s="736" t="s">
        <v>1555</v>
      </c>
      <c r="C1095" s="16" t="s">
        <v>2753</v>
      </c>
      <c r="D1095" s="20" t="s">
        <v>3087</v>
      </c>
      <c r="E1095" s="2" t="s">
        <v>3097</v>
      </c>
      <c r="F1095" s="2" t="s">
        <v>3888</v>
      </c>
      <c r="G1095" s="17">
        <v>9139</v>
      </c>
      <c r="H1095" s="96" t="s">
        <v>830</v>
      </c>
      <c r="I1095" s="2" t="s">
        <v>2754</v>
      </c>
      <c r="J1095" s="2"/>
      <c r="K1095" s="18">
        <v>45041</v>
      </c>
      <c r="L1095" s="18">
        <v>45041</v>
      </c>
      <c r="M1095" s="18">
        <v>45169</v>
      </c>
      <c r="N1095" s="1"/>
      <c r="O1095" s="19"/>
      <c r="P1095" s="18">
        <v>45169</v>
      </c>
      <c r="Q1095" s="19"/>
      <c r="R1095" s="772"/>
      <c r="S1095" s="18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 spans="1:38" ht="12.75" customHeight="1">
      <c r="A1096" s="15">
        <v>1096</v>
      </c>
      <c r="B1096" s="736" t="s">
        <v>1555</v>
      </c>
      <c r="C1096" s="16" t="s">
        <v>840</v>
      </c>
      <c r="D1096" s="20" t="s">
        <v>3087</v>
      </c>
      <c r="E1096" s="2" t="s">
        <v>3162</v>
      </c>
      <c r="F1096" s="2" t="s">
        <v>3888</v>
      </c>
      <c r="G1096" s="17">
        <v>9098</v>
      </c>
      <c r="H1096" s="96" t="s">
        <v>830</v>
      </c>
      <c r="I1096" s="2" t="s">
        <v>841</v>
      </c>
      <c r="J1096" s="2"/>
      <c r="K1096" s="18">
        <v>45239</v>
      </c>
      <c r="L1096" s="18">
        <v>45239</v>
      </c>
      <c r="M1096" s="18">
        <v>45473</v>
      </c>
      <c r="N1096" s="1"/>
      <c r="O1096" s="19">
        <v>0</v>
      </c>
      <c r="P1096" s="18">
        <v>45473</v>
      </c>
      <c r="Q1096" s="19"/>
      <c r="R1096" s="772"/>
      <c r="S1096" s="18"/>
      <c r="T1096" s="2"/>
      <c r="U1096" s="2"/>
      <c r="V1096" s="2" t="s">
        <v>3091</v>
      </c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 spans="1:38" ht="12.75" customHeight="1">
      <c r="A1097" s="15">
        <v>1097</v>
      </c>
      <c r="B1097" s="736" t="s">
        <v>1555</v>
      </c>
      <c r="C1097" s="16" t="s">
        <v>842</v>
      </c>
      <c r="D1097" s="20" t="s">
        <v>3087</v>
      </c>
      <c r="E1097" s="2" t="s">
        <v>3162</v>
      </c>
      <c r="F1097" s="2" t="s">
        <v>3888</v>
      </c>
      <c r="G1097" s="17">
        <v>9098</v>
      </c>
      <c r="H1097" s="96" t="s">
        <v>830</v>
      </c>
      <c r="I1097" s="2" t="s">
        <v>843</v>
      </c>
      <c r="J1097" s="2"/>
      <c r="K1097" s="18">
        <v>45239</v>
      </c>
      <c r="L1097" s="18">
        <v>45239</v>
      </c>
      <c r="M1097" s="18">
        <v>45473</v>
      </c>
      <c r="N1097" s="1"/>
      <c r="O1097" s="19">
        <v>0</v>
      </c>
      <c r="P1097" s="18">
        <v>45473</v>
      </c>
      <c r="Q1097" s="19"/>
      <c r="R1097" s="772"/>
      <c r="S1097" s="18"/>
      <c r="T1097" s="2"/>
      <c r="U1097" s="2"/>
      <c r="V1097" s="2" t="s">
        <v>3091</v>
      </c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 spans="1:38" ht="12.75" customHeight="1">
      <c r="A1098" s="15">
        <v>1098</v>
      </c>
      <c r="B1098" s="736" t="s">
        <v>1555</v>
      </c>
      <c r="C1098" s="16" t="s">
        <v>2747</v>
      </c>
      <c r="D1098" s="20" t="s">
        <v>3087</v>
      </c>
      <c r="E1098" s="2" t="s">
        <v>3097</v>
      </c>
      <c r="F1098" s="2" t="s">
        <v>3888</v>
      </c>
      <c r="G1098" s="17">
        <v>9098</v>
      </c>
      <c r="H1098" s="96" t="s">
        <v>830</v>
      </c>
      <c r="I1098" s="2" t="s">
        <v>2748</v>
      </c>
      <c r="J1098" s="2"/>
      <c r="K1098" s="18">
        <v>45050</v>
      </c>
      <c r="L1098" s="18">
        <v>45050</v>
      </c>
      <c r="M1098" s="18">
        <v>45138</v>
      </c>
      <c r="N1098" s="1"/>
      <c r="O1098" s="19"/>
      <c r="P1098" s="18">
        <v>45138</v>
      </c>
      <c r="Q1098" s="19"/>
      <c r="R1098" s="772"/>
      <c r="S1098" s="18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 spans="1:38" ht="12.75" customHeight="1">
      <c r="A1099" s="15">
        <v>1099</v>
      </c>
      <c r="B1099" s="736" t="s">
        <v>1555</v>
      </c>
      <c r="C1099" s="16" t="s">
        <v>2739</v>
      </c>
      <c r="D1099" s="20" t="s">
        <v>3087</v>
      </c>
      <c r="E1099" s="2" t="s">
        <v>3097</v>
      </c>
      <c r="F1099" s="2" t="s">
        <v>3888</v>
      </c>
      <c r="G1099" s="17">
        <v>9079</v>
      </c>
      <c r="H1099" s="96" t="s">
        <v>830</v>
      </c>
      <c r="I1099" s="2" t="s">
        <v>2740</v>
      </c>
      <c r="J1099" s="2"/>
      <c r="K1099" s="18">
        <v>45049</v>
      </c>
      <c r="L1099" s="18">
        <v>45049</v>
      </c>
      <c r="M1099" s="18">
        <v>45107</v>
      </c>
      <c r="N1099" s="1"/>
      <c r="O1099" s="19"/>
      <c r="P1099" s="18">
        <v>45107</v>
      </c>
      <c r="Q1099" s="19"/>
      <c r="R1099" s="772"/>
      <c r="S1099" s="18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 spans="1:38" ht="12.75" customHeight="1">
      <c r="A1100" s="15">
        <v>1100</v>
      </c>
      <c r="B1100" s="736" t="s">
        <v>1555</v>
      </c>
      <c r="C1100" s="16" t="s">
        <v>2723</v>
      </c>
      <c r="D1100" s="20" t="s">
        <v>3087</v>
      </c>
      <c r="E1100" s="2" t="s">
        <v>3097</v>
      </c>
      <c r="F1100" s="2" t="s">
        <v>3888</v>
      </c>
      <c r="G1100" s="17">
        <v>9020</v>
      </c>
      <c r="H1100" s="96" t="s">
        <v>830</v>
      </c>
      <c r="I1100" s="2" t="s">
        <v>2724</v>
      </c>
      <c r="J1100" s="2"/>
      <c r="K1100" s="18">
        <v>45033</v>
      </c>
      <c r="L1100" s="18">
        <v>45033</v>
      </c>
      <c r="M1100" s="18">
        <v>45138</v>
      </c>
      <c r="N1100" s="1"/>
      <c r="O1100" s="19">
        <v>3500</v>
      </c>
      <c r="P1100" s="18">
        <v>45138</v>
      </c>
      <c r="Q1100" s="19"/>
      <c r="R1100" s="772"/>
      <c r="S1100" s="18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 spans="1:38" ht="12.75" customHeight="1">
      <c r="A1101" s="15">
        <v>1101</v>
      </c>
      <c r="B1101" s="736" t="s">
        <v>1555</v>
      </c>
      <c r="C1101" s="16" t="s">
        <v>967</v>
      </c>
      <c r="D1101" s="20" t="s">
        <v>3087</v>
      </c>
      <c r="E1101" s="2" t="s">
        <v>3097</v>
      </c>
      <c r="F1101" s="2" t="s">
        <v>3888</v>
      </c>
      <c r="G1101" s="17">
        <v>9004</v>
      </c>
      <c r="H1101" s="96" t="s">
        <v>830</v>
      </c>
      <c r="I1101" s="2" t="s">
        <v>968</v>
      </c>
      <c r="J1101" s="2"/>
      <c r="K1101" s="18">
        <v>45327</v>
      </c>
      <c r="L1101" s="18">
        <v>45397</v>
      </c>
      <c r="M1101" s="18">
        <v>45429</v>
      </c>
      <c r="N1101" s="1">
        <v>7</v>
      </c>
      <c r="O1101" s="19">
        <v>4500</v>
      </c>
      <c r="P1101" s="18">
        <v>45429</v>
      </c>
      <c r="Q1101" s="19"/>
      <c r="R1101" s="772"/>
      <c r="S1101" s="18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 spans="1:38" ht="12.75" customHeight="1">
      <c r="A1102" s="15">
        <v>1102</v>
      </c>
      <c r="B1102" s="736" t="s">
        <v>1555</v>
      </c>
      <c r="C1102" s="16" t="s">
        <v>2709</v>
      </c>
      <c r="D1102" s="20" t="s">
        <v>3087</v>
      </c>
      <c r="E1102" s="2" t="s">
        <v>3097</v>
      </c>
      <c r="F1102" s="2" t="s">
        <v>3888</v>
      </c>
      <c r="G1102" s="17">
        <v>9004</v>
      </c>
      <c r="H1102" s="96" t="s">
        <v>830</v>
      </c>
      <c r="I1102" s="2" t="s">
        <v>2710</v>
      </c>
      <c r="J1102" s="2"/>
      <c r="K1102" s="18">
        <v>45015</v>
      </c>
      <c r="L1102" s="18">
        <v>45015</v>
      </c>
      <c r="M1102" s="18">
        <v>45107</v>
      </c>
      <c r="N1102" s="1"/>
      <c r="O1102" s="19">
        <v>3500</v>
      </c>
      <c r="P1102" s="18">
        <v>45107</v>
      </c>
      <c r="Q1102" s="19"/>
      <c r="R1102" s="772"/>
      <c r="S1102" s="18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 spans="1:38" ht="12.75" customHeight="1">
      <c r="A1103" s="15">
        <v>1103</v>
      </c>
      <c r="B1103" s="736" t="s">
        <v>1555</v>
      </c>
      <c r="C1103" s="16" t="s">
        <v>2695</v>
      </c>
      <c r="D1103" s="20" t="s">
        <v>3087</v>
      </c>
      <c r="E1103" s="2" t="s">
        <v>3097</v>
      </c>
      <c r="F1103" s="2" t="s">
        <v>3888</v>
      </c>
      <c r="G1103" s="17">
        <v>8858</v>
      </c>
      <c r="H1103" s="96" t="s">
        <v>830</v>
      </c>
      <c r="I1103" s="2" t="s">
        <v>2696</v>
      </c>
      <c r="J1103" s="2"/>
      <c r="K1103" s="18">
        <v>45015</v>
      </c>
      <c r="L1103" s="18">
        <v>45015</v>
      </c>
      <c r="M1103" s="18">
        <v>45169</v>
      </c>
      <c r="N1103" s="1"/>
      <c r="O1103" s="19"/>
      <c r="P1103" s="18">
        <v>45169</v>
      </c>
      <c r="Q1103" s="19"/>
      <c r="R1103" s="772"/>
      <c r="S1103" s="18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 spans="1:38" ht="12.75" customHeight="1">
      <c r="A1104" s="15">
        <v>1104</v>
      </c>
      <c r="B1104" s="736" t="s">
        <v>1555</v>
      </c>
      <c r="C1104" s="16" t="s">
        <v>2693</v>
      </c>
      <c r="D1104" s="20" t="s">
        <v>3087</v>
      </c>
      <c r="E1104" s="2" t="s">
        <v>3097</v>
      </c>
      <c r="F1104" s="2" t="s">
        <v>3888</v>
      </c>
      <c r="G1104" s="17">
        <v>8857</v>
      </c>
      <c r="H1104" s="96" t="s">
        <v>830</v>
      </c>
      <c r="I1104" s="2" t="s">
        <v>2694</v>
      </c>
      <c r="J1104" s="2"/>
      <c r="K1104" s="18">
        <v>45005</v>
      </c>
      <c r="L1104" s="18">
        <v>45005</v>
      </c>
      <c r="M1104" s="18">
        <v>45138</v>
      </c>
      <c r="N1104" s="1"/>
      <c r="O1104" s="19"/>
      <c r="P1104" s="18">
        <v>45138</v>
      </c>
      <c r="Q1104" s="19"/>
      <c r="R1104" s="772"/>
      <c r="S1104" s="18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 spans="1:38" ht="12.75" customHeight="1">
      <c r="A1105" s="15">
        <v>1105</v>
      </c>
      <c r="B1105" s="736" t="s">
        <v>1555</v>
      </c>
      <c r="C1105" s="16" t="s">
        <v>2697</v>
      </c>
      <c r="D1105" s="20" t="s">
        <v>3087</v>
      </c>
      <c r="E1105" s="2" t="s">
        <v>3097</v>
      </c>
      <c r="F1105" s="2" t="s">
        <v>3888</v>
      </c>
      <c r="G1105" s="17">
        <v>8857</v>
      </c>
      <c r="H1105" s="96" t="s">
        <v>830</v>
      </c>
      <c r="I1105" s="2" t="s">
        <v>2698</v>
      </c>
      <c r="J1105" s="2"/>
      <c r="K1105" s="18">
        <v>45005</v>
      </c>
      <c r="L1105" s="18">
        <v>45005</v>
      </c>
      <c r="M1105" s="18">
        <v>45169</v>
      </c>
      <c r="N1105" s="1"/>
      <c r="O1105" s="19">
        <v>2500</v>
      </c>
      <c r="P1105" s="18">
        <v>45169</v>
      </c>
      <c r="Q1105" s="19"/>
      <c r="R1105" s="772"/>
      <c r="S1105" s="18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 spans="1:38" ht="12.75" customHeight="1">
      <c r="A1106" s="15">
        <v>1106</v>
      </c>
      <c r="B1106" s="736" t="s">
        <v>1555</v>
      </c>
      <c r="C1106" s="16" t="s">
        <v>2691</v>
      </c>
      <c r="D1106" s="20" t="s">
        <v>3087</v>
      </c>
      <c r="E1106" s="2" t="s">
        <v>3097</v>
      </c>
      <c r="F1106" s="2" t="s">
        <v>3888</v>
      </c>
      <c r="G1106" s="17">
        <v>8856</v>
      </c>
      <c r="H1106" s="96" t="s">
        <v>830</v>
      </c>
      <c r="I1106" s="2" t="s">
        <v>2692</v>
      </c>
      <c r="J1106" s="2"/>
      <c r="K1106" s="18">
        <v>45005</v>
      </c>
      <c r="L1106" s="18">
        <v>45005</v>
      </c>
      <c r="M1106" s="18">
        <v>45107</v>
      </c>
      <c r="N1106" s="1"/>
      <c r="O1106" s="19"/>
      <c r="P1106" s="18">
        <v>45107</v>
      </c>
      <c r="Q1106" s="19"/>
      <c r="R1106" s="772"/>
      <c r="S1106" s="18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 spans="1:38" ht="12.75" customHeight="1">
      <c r="A1107" s="15">
        <v>1107</v>
      </c>
      <c r="B1107" s="736" t="s">
        <v>1555</v>
      </c>
      <c r="C1107" s="16" t="s">
        <v>2685</v>
      </c>
      <c r="D1107" s="20" t="s">
        <v>3087</v>
      </c>
      <c r="E1107" s="2" t="s">
        <v>3097</v>
      </c>
      <c r="F1107" s="2" t="s">
        <v>3888</v>
      </c>
      <c r="G1107" s="17">
        <v>8850</v>
      </c>
      <c r="H1107" s="96" t="s">
        <v>830</v>
      </c>
      <c r="I1107" s="2" t="s">
        <v>2686</v>
      </c>
      <c r="J1107" s="2"/>
      <c r="K1107" s="18">
        <v>45012</v>
      </c>
      <c r="L1107" s="18">
        <v>45012</v>
      </c>
      <c r="M1107" s="18">
        <v>45107</v>
      </c>
      <c r="N1107" s="1"/>
      <c r="O1107" s="19">
        <v>1000</v>
      </c>
      <c r="P1107" s="18">
        <v>45107</v>
      </c>
      <c r="Q1107" s="19"/>
      <c r="R1107" s="772"/>
      <c r="S1107" s="18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 spans="1:38" ht="12.75" customHeight="1">
      <c r="A1108" s="15">
        <v>1108</v>
      </c>
      <c r="B1108" s="736" t="s">
        <v>1555</v>
      </c>
      <c r="C1108" s="16" t="s">
        <v>3011</v>
      </c>
      <c r="D1108" s="20" t="s">
        <v>3087</v>
      </c>
      <c r="E1108" s="2" t="s">
        <v>3097</v>
      </c>
      <c r="F1108" s="2" t="s">
        <v>3888</v>
      </c>
      <c r="G1108" s="17">
        <v>8850</v>
      </c>
      <c r="H1108" s="96" t="s">
        <v>830</v>
      </c>
      <c r="I1108" s="2" t="s">
        <v>3012</v>
      </c>
      <c r="J1108" s="2"/>
      <c r="K1108" s="18">
        <v>45222</v>
      </c>
      <c r="L1108" s="18">
        <v>45234</v>
      </c>
      <c r="M1108" s="18">
        <v>45255</v>
      </c>
      <c r="N1108" s="1"/>
      <c r="O1108" s="19">
        <v>1500</v>
      </c>
      <c r="P1108" s="18">
        <v>45255</v>
      </c>
      <c r="Q1108" s="19"/>
      <c r="R1108" s="772"/>
      <c r="S1108" s="18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 spans="1:38" ht="12.75" customHeight="1">
      <c r="A1109" s="15">
        <v>1109</v>
      </c>
      <c r="B1109" s="736" t="s">
        <v>1555</v>
      </c>
      <c r="C1109" s="16" t="s">
        <v>2683</v>
      </c>
      <c r="D1109" s="20" t="s">
        <v>3087</v>
      </c>
      <c r="E1109" s="2" t="s">
        <v>3097</v>
      </c>
      <c r="F1109" s="2" t="s">
        <v>3888</v>
      </c>
      <c r="G1109" s="17">
        <v>8848</v>
      </c>
      <c r="H1109" s="96" t="s">
        <v>830</v>
      </c>
      <c r="I1109" s="2" t="s">
        <v>2684</v>
      </c>
      <c r="J1109" s="2"/>
      <c r="K1109" s="18">
        <v>45012</v>
      </c>
      <c r="L1109" s="18">
        <v>45012</v>
      </c>
      <c r="M1109" s="18">
        <v>45046</v>
      </c>
      <c r="N1109" s="1"/>
      <c r="O1109" s="19">
        <v>500</v>
      </c>
      <c r="P1109" s="18">
        <v>45046</v>
      </c>
      <c r="Q1109" s="19"/>
      <c r="R1109" s="772"/>
      <c r="S1109" s="18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 spans="1:38" ht="12.75" customHeight="1">
      <c r="A1110" s="15">
        <v>1110</v>
      </c>
      <c r="B1110" s="736" t="s">
        <v>1555</v>
      </c>
      <c r="C1110" s="16" t="s">
        <v>2671</v>
      </c>
      <c r="D1110" s="20" t="s">
        <v>3087</v>
      </c>
      <c r="E1110" s="2" t="s">
        <v>3097</v>
      </c>
      <c r="F1110" s="2" t="s">
        <v>3888</v>
      </c>
      <c r="G1110" s="17">
        <v>8820</v>
      </c>
      <c r="H1110" s="96" t="s">
        <v>830</v>
      </c>
      <c r="I1110" s="2" t="s">
        <v>2672</v>
      </c>
      <c r="J1110" s="2"/>
      <c r="K1110" s="18">
        <v>45000</v>
      </c>
      <c r="L1110" s="18">
        <v>45000</v>
      </c>
      <c r="M1110" s="18">
        <v>45169</v>
      </c>
      <c r="N1110" s="1"/>
      <c r="O1110" s="19"/>
      <c r="P1110" s="18">
        <v>45169</v>
      </c>
      <c r="Q1110" s="19"/>
      <c r="R1110" s="772"/>
      <c r="S1110" s="18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 spans="1:38" ht="12.75" customHeight="1">
      <c r="A1111" s="15">
        <v>1111</v>
      </c>
      <c r="B1111" s="736" t="s">
        <v>1555</v>
      </c>
      <c r="C1111" s="16" t="s">
        <v>2669</v>
      </c>
      <c r="D1111" s="20" t="s">
        <v>3087</v>
      </c>
      <c r="E1111" s="2" t="s">
        <v>3097</v>
      </c>
      <c r="F1111" s="2" t="s">
        <v>3888</v>
      </c>
      <c r="G1111" s="17">
        <v>8819</v>
      </c>
      <c r="H1111" s="96" t="s">
        <v>830</v>
      </c>
      <c r="I1111" s="2" t="s">
        <v>2670</v>
      </c>
      <c r="J1111" s="2"/>
      <c r="K1111" s="18">
        <v>45000</v>
      </c>
      <c r="L1111" s="18">
        <v>45000</v>
      </c>
      <c r="M1111" s="18">
        <v>45169</v>
      </c>
      <c r="N1111" s="1"/>
      <c r="O1111" s="19"/>
      <c r="P1111" s="18">
        <v>45169</v>
      </c>
      <c r="Q1111" s="19"/>
      <c r="R1111" s="772"/>
      <c r="S1111" s="18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 spans="1:38" ht="12.75" customHeight="1">
      <c r="A1112" s="15">
        <v>1112</v>
      </c>
      <c r="B1112" s="736" t="s">
        <v>1555</v>
      </c>
      <c r="C1112" s="16" t="s">
        <v>2667</v>
      </c>
      <c r="D1112" s="20" t="s">
        <v>3087</v>
      </c>
      <c r="E1112" s="2" t="s">
        <v>3097</v>
      </c>
      <c r="F1112" s="2" t="s">
        <v>3888</v>
      </c>
      <c r="G1112" s="17">
        <v>8817</v>
      </c>
      <c r="H1112" s="96" t="s">
        <v>830</v>
      </c>
      <c r="I1112" s="2" t="s">
        <v>2668</v>
      </c>
      <c r="J1112" s="2"/>
      <c r="K1112" s="18">
        <v>44999</v>
      </c>
      <c r="L1112" s="18">
        <v>44999</v>
      </c>
      <c r="M1112" s="18">
        <v>45107</v>
      </c>
      <c r="N1112" s="1"/>
      <c r="O1112" s="19"/>
      <c r="P1112" s="18">
        <v>45107</v>
      </c>
      <c r="Q1112" s="19"/>
      <c r="R1112" s="772"/>
      <c r="S1112" s="18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 spans="1:38" ht="12.75" customHeight="1">
      <c r="A1113" s="15">
        <v>1113</v>
      </c>
      <c r="B1113" s="736" t="s">
        <v>1555</v>
      </c>
      <c r="C1113" s="16" t="s">
        <v>2665</v>
      </c>
      <c r="D1113" s="20" t="s">
        <v>3087</v>
      </c>
      <c r="E1113" s="2" t="s">
        <v>3097</v>
      </c>
      <c r="F1113" s="2" t="s">
        <v>3888</v>
      </c>
      <c r="G1113" s="17">
        <v>8816</v>
      </c>
      <c r="H1113" s="96" t="s">
        <v>830</v>
      </c>
      <c r="I1113" s="2" t="s">
        <v>2666</v>
      </c>
      <c r="J1113" s="2"/>
      <c r="K1113" s="18">
        <v>44998</v>
      </c>
      <c r="L1113" s="18">
        <v>44998</v>
      </c>
      <c r="M1113" s="18">
        <v>45107</v>
      </c>
      <c r="N1113" s="1"/>
      <c r="O1113" s="19"/>
      <c r="P1113" s="18">
        <v>45107</v>
      </c>
      <c r="Q1113" s="19"/>
      <c r="R1113" s="772"/>
      <c r="S1113" s="18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 spans="1:38" ht="12.75" customHeight="1">
      <c r="A1114" s="15">
        <v>1114</v>
      </c>
      <c r="B1114" s="736" t="s">
        <v>1555</v>
      </c>
      <c r="C1114" s="16" t="s">
        <v>2663</v>
      </c>
      <c r="D1114" s="20" t="s">
        <v>3087</v>
      </c>
      <c r="E1114" s="2" t="s">
        <v>3097</v>
      </c>
      <c r="F1114" s="2" t="s">
        <v>3888</v>
      </c>
      <c r="G1114" s="17">
        <v>8815</v>
      </c>
      <c r="H1114" s="96" t="s">
        <v>830</v>
      </c>
      <c r="I1114" s="2" t="s">
        <v>2664</v>
      </c>
      <c r="J1114" s="2"/>
      <c r="K1114" s="18">
        <v>44998</v>
      </c>
      <c r="L1114" s="18">
        <v>44998</v>
      </c>
      <c r="M1114" s="18">
        <v>45138</v>
      </c>
      <c r="N1114" s="1"/>
      <c r="O1114" s="19"/>
      <c r="P1114" s="18">
        <v>45138</v>
      </c>
      <c r="Q1114" s="19"/>
      <c r="R1114" s="772"/>
      <c r="S1114" s="18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 spans="1:38" ht="12.75" customHeight="1">
      <c r="A1115" s="15">
        <v>1115</v>
      </c>
      <c r="B1115" s="736" t="s">
        <v>1555</v>
      </c>
      <c r="C1115" s="16" t="s">
        <v>2659</v>
      </c>
      <c r="D1115" s="20" t="s">
        <v>3087</v>
      </c>
      <c r="E1115" s="2" t="s">
        <v>3097</v>
      </c>
      <c r="F1115" s="2" t="s">
        <v>3888</v>
      </c>
      <c r="G1115" s="17">
        <v>8814</v>
      </c>
      <c r="H1115" s="96" t="s">
        <v>830</v>
      </c>
      <c r="I1115" s="2" t="s">
        <v>2660</v>
      </c>
      <c r="J1115" s="2"/>
      <c r="K1115" s="18">
        <v>44998</v>
      </c>
      <c r="L1115" s="18">
        <v>44998</v>
      </c>
      <c r="M1115" s="18">
        <v>45169</v>
      </c>
      <c r="N1115" s="1"/>
      <c r="O1115" s="19"/>
      <c r="P1115" s="18">
        <v>45169</v>
      </c>
      <c r="Q1115" s="19"/>
      <c r="R1115" s="772"/>
      <c r="S1115" s="18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 spans="1:38" ht="12.75" customHeight="1">
      <c r="A1116" s="15">
        <v>1116</v>
      </c>
      <c r="B1116" s="736" t="s">
        <v>1555</v>
      </c>
      <c r="C1116" s="16" t="s">
        <v>2657</v>
      </c>
      <c r="D1116" s="20" t="s">
        <v>3087</v>
      </c>
      <c r="E1116" s="2" t="s">
        <v>3097</v>
      </c>
      <c r="F1116" s="2" t="s">
        <v>3888</v>
      </c>
      <c r="G1116" s="17">
        <v>8813</v>
      </c>
      <c r="H1116" s="96" t="s">
        <v>830</v>
      </c>
      <c r="I1116" s="2" t="s">
        <v>2658</v>
      </c>
      <c r="J1116" s="2"/>
      <c r="K1116" s="18">
        <v>44998</v>
      </c>
      <c r="L1116" s="18">
        <v>44998</v>
      </c>
      <c r="M1116" s="18">
        <v>45138</v>
      </c>
      <c r="N1116" s="1"/>
      <c r="O1116" s="19"/>
      <c r="P1116" s="18">
        <v>45138</v>
      </c>
      <c r="Q1116" s="19"/>
      <c r="R1116" s="772"/>
      <c r="S1116" s="18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 spans="1:38" ht="12.75" customHeight="1">
      <c r="A1117" s="15">
        <v>1117</v>
      </c>
      <c r="B1117" s="736" t="s">
        <v>1555</v>
      </c>
      <c r="C1117" s="16" t="s">
        <v>2869</v>
      </c>
      <c r="D1117" s="20" t="s">
        <v>3087</v>
      </c>
      <c r="E1117" s="2" t="s">
        <v>3097</v>
      </c>
      <c r="F1117" s="2" t="s">
        <v>3888</v>
      </c>
      <c r="G1117" s="17">
        <v>8813</v>
      </c>
      <c r="H1117" s="96" t="s">
        <v>830</v>
      </c>
      <c r="I1117" s="2" t="s">
        <v>2870</v>
      </c>
      <c r="J1117" s="2"/>
      <c r="K1117" s="18">
        <v>45117</v>
      </c>
      <c r="L1117" s="18">
        <v>45117</v>
      </c>
      <c r="M1117" s="18">
        <v>45199</v>
      </c>
      <c r="N1117" s="1"/>
      <c r="O1117" s="19">
        <v>2500</v>
      </c>
      <c r="P1117" s="18">
        <v>45199</v>
      </c>
      <c r="Q1117" s="19"/>
      <c r="R1117" s="772"/>
      <c r="S1117" s="18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 spans="1:38" ht="12.75" customHeight="1">
      <c r="A1118" s="15">
        <v>1118</v>
      </c>
      <c r="B1118" s="736" t="s">
        <v>1555</v>
      </c>
      <c r="C1118" s="16" t="s">
        <v>2655</v>
      </c>
      <c r="D1118" s="20" t="s">
        <v>3087</v>
      </c>
      <c r="E1118" s="2" t="s">
        <v>3097</v>
      </c>
      <c r="F1118" s="2" t="s">
        <v>3888</v>
      </c>
      <c r="G1118" s="17">
        <v>8811</v>
      </c>
      <c r="H1118" s="96" t="s">
        <v>830</v>
      </c>
      <c r="I1118" s="2" t="s">
        <v>2656</v>
      </c>
      <c r="J1118" s="2"/>
      <c r="K1118" s="18">
        <v>44995</v>
      </c>
      <c r="L1118" s="18">
        <v>44995</v>
      </c>
      <c r="M1118" s="18">
        <v>45199</v>
      </c>
      <c r="N1118" s="1"/>
      <c r="O1118" s="19"/>
      <c r="P1118" s="18">
        <v>45199</v>
      </c>
      <c r="Q1118" s="19"/>
      <c r="R1118" s="772"/>
      <c r="S1118" s="18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 spans="1:38" ht="12.75" customHeight="1">
      <c r="A1119" s="15">
        <v>1119</v>
      </c>
      <c r="B1119" s="736" t="s">
        <v>1555</v>
      </c>
      <c r="C1119" s="16" t="s">
        <v>2649</v>
      </c>
      <c r="D1119" s="20" t="s">
        <v>3087</v>
      </c>
      <c r="E1119" s="2" t="s">
        <v>3097</v>
      </c>
      <c r="F1119" s="2" t="s">
        <v>3888</v>
      </c>
      <c r="G1119" s="17">
        <v>8807</v>
      </c>
      <c r="H1119" s="96" t="s">
        <v>830</v>
      </c>
      <c r="I1119" s="2" t="s">
        <v>2650</v>
      </c>
      <c r="J1119" s="2"/>
      <c r="K1119" s="18">
        <v>44992</v>
      </c>
      <c r="L1119" s="18">
        <v>44992</v>
      </c>
      <c r="M1119" s="18">
        <v>45138</v>
      </c>
      <c r="N1119" s="1"/>
      <c r="O1119" s="19">
        <v>2500</v>
      </c>
      <c r="P1119" s="18">
        <v>45138</v>
      </c>
      <c r="Q1119" s="19"/>
      <c r="R1119" s="772"/>
      <c r="S1119" s="18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 spans="1:38" ht="12.75" customHeight="1">
      <c r="A1120" s="15">
        <v>1120</v>
      </c>
      <c r="B1120" s="736" t="s">
        <v>1555</v>
      </c>
      <c r="C1120" s="16" t="s">
        <v>2651</v>
      </c>
      <c r="D1120" s="20" t="s">
        <v>3087</v>
      </c>
      <c r="E1120" s="2" t="s">
        <v>3097</v>
      </c>
      <c r="F1120" s="2" t="s">
        <v>3888</v>
      </c>
      <c r="G1120" s="17">
        <v>8807</v>
      </c>
      <c r="H1120" s="96" t="s">
        <v>830</v>
      </c>
      <c r="I1120" s="2" t="s">
        <v>2652</v>
      </c>
      <c r="J1120" s="2"/>
      <c r="K1120" s="18">
        <v>44992</v>
      </c>
      <c r="L1120" s="18">
        <v>44992</v>
      </c>
      <c r="M1120" s="18">
        <v>45107</v>
      </c>
      <c r="N1120" s="1"/>
      <c r="O1120" s="19"/>
      <c r="P1120" s="18">
        <v>45107</v>
      </c>
      <c r="Q1120" s="19"/>
      <c r="R1120" s="772"/>
      <c r="S1120" s="18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 spans="1:38" ht="12.75" customHeight="1">
      <c r="A1121" s="15">
        <v>1121</v>
      </c>
      <c r="B1121" s="736" t="s">
        <v>1555</v>
      </c>
      <c r="C1121" s="16" t="s">
        <v>2647</v>
      </c>
      <c r="D1121" s="20" t="s">
        <v>3087</v>
      </c>
      <c r="E1121" s="2" t="s">
        <v>3097</v>
      </c>
      <c r="F1121" s="2" t="s">
        <v>3888</v>
      </c>
      <c r="G1121" s="17">
        <v>8806</v>
      </c>
      <c r="H1121" s="96" t="s">
        <v>830</v>
      </c>
      <c r="I1121" s="2" t="s">
        <v>2648</v>
      </c>
      <c r="J1121" s="2"/>
      <c r="K1121" s="18">
        <v>44992</v>
      </c>
      <c r="L1121" s="18">
        <v>44992</v>
      </c>
      <c r="M1121" s="18">
        <v>45107</v>
      </c>
      <c r="N1121" s="1"/>
      <c r="O1121" s="19"/>
      <c r="P1121" s="18">
        <v>45107</v>
      </c>
      <c r="Q1121" s="19"/>
      <c r="R1121" s="772"/>
      <c r="S1121" s="18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 spans="1:38" ht="12.75" customHeight="1">
      <c r="A1122" s="15">
        <v>1122</v>
      </c>
      <c r="B1122" s="736" t="s">
        <v>1555</v>
      </c>
      <c r="C1122" s="16" t="s">
        <v>2645</v>
      </c>
      <c r="D1122" s="20" t="s">
        <v>3087</v>
      </c>
      <c r="E1122" s="2" t="s">
        <v>3097</v>
      </c>
      <c r="F1122" s="2" t="s">
        <v>3888</v>
      </c>
      <c r="G1122" s="17">
        <v>8805</v>
      </c>
      <c r="H1122" s="96" t="s">
        <v>830</v>
      </c>
      <c r="I1122" s="2" t="s">
        <v>2646</v>
      </c>
      <c r="J1122" s="2"/>
      <c r="K1122" s="18">
        <v>44991</v>
      </c>
      <c r="L1122" s="18">
        <v>44991</v>
      </c>
      <c r="M1122" s="18">
        <v>45107</v>
      </c>
      <c r="N1122" s="1"/>
      <c r="O1122" s="19"/>
      <c r="P1122" s="18">
        <v>45107</v>
      </c>
      <c r="Q1122" s="19"/>
      <c r="R1122" s="772"/>
      <c r="S1122" s="18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 spans="1:38" ht="12.75" customHeight="1">
      <c r="A1123" s="15">
        <v>1123</v>
      </c>
      <c r="B1123" s="736" t="s">
        <v>1555</v>
      </c>
      <c r="C1123" s="16" t="s">
        <v>2653</v>
      </c>
      <c r="D1123" s="20" t="s">
        <v>3087</v>
      </c>
      <c r="E1123" s="2" t="s">
        <v>3097</v>
      </c>
      <c r="F1123" s="2" t="s">
        <v>3888</v>
      </c>
      <c r="G1123" s="17">
        <v>8805</v>
      </c>
      <c r="H1123" s="96" t="s">
        <v>830</v>
      </c>
      <c r="I1123" s="2" t="s">
        <v>2654</v>
      </c>
      <c r="J1123" s="2"/>
      <c r="K1123" s="18">
        <v>44991</v>
      </c>
      <c r="L1123" s="18">
        <v>44991</v>
      </c>
      <c r="M1123" s="18">
        <v>45138</v>
      </c>
      <c r="N1123" s="1"/>
      <c r="O1123" s="19">
        <v>2500</v>
      </c>
      <c r="P1123" s="18">
        <v>45138</v>
      </c>
      <c r="Q1123" s="19"/>
      <c r="R1123" s="772"/>
      <c r="S1123" s="18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 spans="1:38" ht="12.75" customHeight="1">
      <c r="A1124" s="15">
        <v>1124</v>
      </c>
      <c r="B1124" s="736" t="s">
        <v>1555</v>
      </c>
      <c r="C1124" s="16" t="s">
        <v>2641</v>
      </c>
      <c r="D1124" s="20" t="s">
        <v>3087</v>
      </c>
      <c r="E1124" s="2" t="s">
        <v>3097</v>
      </c>
      <c r="F1124" s="2" t="s">
        <v>3888</v>
      </c>
      <c r="G1124" s="17">
        <v>8804</v>
      </c>
      <c r="H1124" s="96" t="s">
        <v>830</v>
      </c>
      <c r="I1124" s="2" t="s">
        <v>2642</v>
      </c>
      <c r="J1124" s="2"/>
      <c r="K1124" s="18">
        <v>44991</v>
      </c>
      <c r="L1124" s="18">
        <v>44991</v>
      </c>
      <c r="M1124" s="18">
        <v>45138</v>
      </c>
      <c r="N1124" s="1"/>
      <c r="O1124" s="19">
        <v>2500</v>
      </c>
      <c r="P1124" s="18">
        <v>45138</v>
      </c>
      <c r="Q1124" s="19"/>
      <c r="R1124" s="772"/>
      <c r="S1124" s="18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 spans="1:38" ht="12.75" customHeight="1">
      <c r="A1125" s="15">
        <v>1125</v>
      </c>
      <c r="B1125" s="736" t="s">
        <v>1555</v>
      </c>
      <c r="C1125" s="16" t="s">
        <v>2643</v>
      </c>
      <c r="D1125" s="20" t="s">
        <v>3087</v>
      </c>
      <c r="E1125" s="2" t="s">
        <v>3097</v>
      </c>
      <c r="F1125" s="2" t="s">
        <v>3888</v>
      </c>
      <c r="G1125" s="17">
        <v>8804</v>
      </c>
      <c r="H1125" s="96" t="s">
        <v>830</v>
      </c>
      <c r="I1125" s="2" t="s">
        <v>2644</v>
      </c>
      <c r="J1125" s="2"/>
      <c r="K1125" s="18">
        <v>44991</v>
      </c>
      <c r="L1125" s="18">
        <v>44991</v>
      </c>
      <c r="M1125" s="18">
        <v>45107</v>
      </c>
      <c r="N1125" s="1"/>
      <c r="O1125" s="19"/>
      <c r="P1125" s="18">
        <v>45107</v>
      </c>
      <c r="Q1125" s="19"/>
      <c r="R1125" s="772"/>
      <c r="S1125" s="18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 spans="1:38" ht="12.75" customHeight="1">
      <c r="A1126" s="15">
        <v>1126</v>
      </c>
      <c r="B1126" s="736" t="s">
        <v>1555</v>
      </c>
      <c r="C1126" s="16" t="s">
        <v>2639</v>
      </c>
      <c r="D1126" s="20" t="s">
        <v>3087</v>
      </c>
      <c r="E1126" s="2" t="s">
        <v>3097</v>
      </c>
      <c r="F1126" s="2" t="s">
        <v>3888</v>
      </c>
      <c r="G1126" s="17">
        <v>8803</v>
      </c>
      <c r="H1126" s="96" t="s">
        <v>830</v>
      </c>
      <c r="I1126" s="2" t="s">
        <v>2640</v>
      </c>
      <c r="J1126" s="2"/>
      <c r="K1126" s="18">
        <v>44987</v>
      </c>
      <c r="L1126" s="18">
        <v>44987</v>
      </c>
      <c r="M1126" s="18">
        <v>45107</v>
      </c>
      <c r="N1126" s="1"/>
      <c r="O1126" s="19"/>
      <c r="P1126" s="18">
        <v>45107</v>
      </c>
      <c r="Q1126" s="19"/>
      <c r="R1126" s="772"/>
      <c r="S1126" s="18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 spans="1:38" ht="12.75" customHeight="1">
      <c r="A1127" s="15">
        <v>1127</v>
      </c>
      <c r="B1127" s="736" t="s">
        <v>1555</v>
      </c>
      <c r="C1127" s="16" t="s">
        <v>2637</v>
      </c>
      <c r="D1127" s="20" t="s">
        <v>3087</v>
      </c>
      <c r="E1127" s="2" t="s">
        <v>3097</v>
      </c>
      <c r="F1127" s="2" t="s">
        <v>3888</v>
      </c>
      <c r="G1127" s="17">
        <v>8802</v>
      </c>
      <c r="H1127" s="96" t="s">
        <v>830</v>
      </c>
      <c r="I1127" s="2" t="s">
        <v>2638</v>
      </c>
      <c r="J1127" s="2"/>
      <c r="K1127" s="18">
        <v>44987</v>
      </c>
      <c r="L1127" s="18">
        <v>44987</v>
      </c>
      <c r="M1127" s="18">
        <v>45107</v>
      </c>
      <c r="N1127" s="1"/>
      <c r="O1127" s="19"/>
      <c r="P1127" s="18">
        <v>45107</v>
      </c>
      <c r="Q1127" s="19"/>
      <c r="R1127" s="772"/>
      <c r="S1127" s="18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 spans="1:38" ht="12.75" customHeight="1">
      <c r="A1128" s="15">
        <v>1128</v>
      </c>
      <c r="B1128" s="736" t="s">
        <v>1555</v>
      </c>
      <c r="C1128" s="16" t="s">
        <v>2661</v>
      </c>
      <c r="D1128" s="20" t="s">
        <v>3087</v>
      </c>
      <c r="E1128" s="2" t="s">
        <v>3097</v>
      </c>
      <c r="F1128" s="2" t="s">
        <v>3888</v>
      </c>
      <c r="G1128" s="17">
        <v>8802</v>
      </c>
      <c r="H1128" s="96" t="s">
        <v>830</v>
      </c>
      <c r="I1128" s="2" t="s">
        <v>2662</v>
      </c>
      <c r="J1128" s="2"/>
      <c r="K1128" s="18">
        <v>44995</v>
      </c>
      <c r="L1128" s="18">
        <v>44995</v>
      </c>
      <c r="M1128" s="18">
        <v>45169</v>
      </c>
      <c r="N1128" s="1"/>
      <c r="O1128" s="19">
        <v>2500</v>
      </c>
      <c r="P1128" s="18">
        <v>45169</v>
      </c>
      <c r="Q1128" s="19"/>
      <c r="R1128" s="772"/>
      <c r="S1128" s="18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 spans="1:38" ht="12.75" customHeight="1">
      <c r="A1129" s="15">
        <v>1129</v>
      </c>
      <c r="B1129" s="736" t="s">
        <v>1555</v>
      </c>
      <c r="C1129" s="16" t="s">
        <v>2635</v>
      </c>
      <c r="D1129" s="20" t="s">
        <v>3087</v>
      </c>
      <c r="E1129" s="2" t="s">
        <v>3097</v>
      </c>
      <c r="F1129" s="2" t="s">
        <v>3888</v>
      </c>
      <c r="G1129" s="17">
        <v>8801</v>
      </c>
      <c r="H1129" s="96" t="s">
        <v>830</v>
      </c>
      <c r="I1129" s="2" t="s">
        <v>2636</v>
      </c>
      <c r="J1129" s="2"/>
      <c r="K1129" s="18">
        <v>44987</v>
      </c>
      <c r="L1129" s="18">
        <v>44959</v>
      </c>
      <c r="M1129" s="18">
        <v>45138</v>
      </c>
      <c r="N1129" s="1"/>
      <c r="O1129" s="19"/>
      <c r="P1129" s="18">
        <v>45138</v>
      </c>
      <c r="Q1129" s="19"/>
      <c r="R1129" s="772"/>
      <c r="S1129" s="18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 spans="1:38" ht="12.75" customHeight="1">
      <c r="A1130" s="15">
        <v>1130</v>
      </c>
      <c r="B1130" s="736" t="s">
        <v>1555</v>
      </c>
      <c r="C1130" s="16" t="s">
        <v>2633</v>
      </c>
      <c r="D1130" s="20" t="s">
        <v>3087</v>
      </c>
      <c r="E1130" s="2" t="s">
        <v>3097</v>
      </c>
      <c r="F1130" s="2" t="s">
        <v>3888</v>
      </c>
      <c r="G1130" s="17">
        <v>8800</v>
      </c>
      <c r="H1130" s="96" t="s">
        <v>830</v>
      </c>
      <c r="I1130" s="2" t="s">
        <v>2634</v>
      </c>
      <c r="J1130" s="2"/>
      <c r="K1130" s="18">
        <v>44987</v>
      </c>
      <c r="L1130" s="18">
        <v>44987</v>
      </c>
      <c r="M1130" s="18">
        <v>45107</v>
      </c>
      <c r="N1130" s="1"/>
      <c r="O1130" s="19"/>
      <c r="P1130" s="18">
        <v>45107</v>
      </c>
      <c r="Q1130" s="19"/>
      <c r="R1130" s="772"/>
      <c r="S1130" s="18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 spans="1:38" ht="12.75" customHeight="1">
      <c r="A1131" s="15">
        <v>1131</v>
      </c>
      <c r="B1131" s="736" t="s">
        <v>1555</v>
      </c>
      <c r="C1131" s="16" t="s">
        <v>2631</v>
      </c>
      <c r="D1131" s="20" t="s">
        <v>3087</v>
      </c>
      <c r="E1131" s="2" t="s">
        <v>3097</v>
      </c>
      <c r="F1131" s="2" t="s">
        <v>3888</v>
      </c>
      <c r="G1131" s="17">
        <v>8799</v>
      </c>
      <c r="H1131" s="96" t="s">
        <v>830</v>
      </c>
      <c r="I1131" s="2" t="s">
        <v>2632</v>
      </c>
      <c r="J1131" s="2"/>
      <c r="K1131" s="18">
        <v>44987</v>
      </c>
      <c r="L1131" s="18">
        <v>44987</v>
      </c>
      <c r="M1131" s="18">
        <v>45169</v>
      </c>
      <c r="N1131" s="1"/>
      <c r="O1131" s="19"/>
      <c r="P1131" s="18">
        <v>45169</v>
      </c>
      <c r="Q1131" s="19"/>
      <c r="R1131" s="772"/>
      <c r="S1131" s="18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 spans="1:38" ht="12.75" customHeight="1">
      <c r="A1132" s="15">
        <v>1132</v>
      </c>
      <c r="B1132" s="736" t="s">
        <v>1555</v>
      </c>
      <c r="C1132" s="16" t="s">
        <v>2627</v>
      </c>
      <c r="D1132" s="20" t="s">
        <v>3087</v>
      </c>
      <c r="E1132" s="2" t="s">
        <v>3097</v>
      </c>
      <c r="F1132" s="2" t="s">
        <v>3888</v>
      </c>
      <c r="G1132" s="17">
        <v>8797</v>
      </c>
      <c r="H1132" s="96" t="s">
        <v>830</v>
      </c>
      <c r="I1132" s="2" t="s">
        <v>2628</v>
      </c>
      <c r="J1132" s="2"/>
      <c r="K1132" s="18">
        <v>44984</v>
      </c>
      <c r="L1132" s="18">
        <v>44984</v>
      </c>
      <c r="M1132" s="18">
        <v>45107</v>
      </c>
      <c r="N1132" s="1"/>
      <c r="O1132" s="19"/>
      <c r="P1132" s="18">
        <v>45107</v>
      </c>
      <c r="Q1132" s="19"/>
      <c r="R1132" s="772"/>
      <c r="S1132" s="18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 spans="1:38" ht="12.75" customHeight="1">
      <c r="A1133" s="15">
        <v>1133</v>
      </c>
      <c r="B1133" s="736" t="s">
        <v>1555</v>
      </c>
      <c r="C1133" s="16" t="s">
        <v>2617</v>
      </c>
      <c r="D1133" s="20" t="s">
        <v>3087</v>
      </c>
      <c r="E1133" s="2" t="s">
        <v>3097</v>
      </c>
      <c r="F1133" s="2" t="s">
        <v>3888</v>
      </c>
      <c r="G1133" s="17">
        <v>8787</v>
      </c>
      <c r="H1133" s="96" t="s">
        <v>830</v>
      </c>
      <c r="I1133" s="2" t="s">
        <v>2618</v>
      </c>
      <c r="J1133" s="2"/>
      <c r="K1133" s="18">
        <v>44973</v>
      </c>
      <c r="L1133" s="18">
        <v>44973</v>
      </c>
      <c r="M1133" s="18">
        <v>45046</v>
      </c>
      <c r="N1133" s="1"/>
      <c r="O1133" s="19"/>
      <c r="P1133" s="18">
        <v>45046</v>
      </c>
      <c r="Q1133" s="19"/>
      <c r="R1133" s="772"/>
      <c r="S1133" s="18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 spans="1:38" ht="12.75" customHeight="1">
      <c r="A1134" s="15">
        <v>1134</v>
      </c>
      <c r="B1134" s="736" t="s">
        <v>1555</v>
      </c>
      <c r="C1134" s="16" t="s">
        <v>2629</v>
      </c>
      <c r="D1134" s="20" t="s">
        <v>3087</v>
      </c>
      <c r="E1134" s="2" t="s">
        <v>3097</v>
      </c>
      <c r="F1134" s="2" t="s">
        <v>3888</v>
      </c>
      <c r="G1134" s="17">
        <v>8787</v>
      </c>
      <c r="H1134" s="96" t="s">
        <v>830</v>
      </c>
      <c r="I1134" s="2" t="s">
        <v>2630</v>
      </c>
      <c r="J1134" s="2"/>
      <c r="K1134" s="18">
        <v>44986</v>
      </c>
      <c r="L1134" s="18">
        <v>44986</v>
      </c>
      <c r="M1134" s="18">
        <v>45138</v>
      </c>
      <c r="N1134" s="1"/>
      <c r="O1134" s="19"/>
      <c r="P1134" s="18">
        <v>45138</v>
      </c>
      <c r="Q1134" s="19"/>
      <c r="R1134" s="772"/>
      <c r="S1134" s="18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 spans="1:38" ht="12.75" customHeight="1">
      <c r="A1135" s="15">
        <v>1135</v>
      </c>
      <c r="B1135" s="736" t="s">
        <v>1555</v>
      </c>
      <c r="C1135" s="16" t="s">
        <v>2605</v>
      </c>
      <c r="D1135" s="20" t="s">
        <v>3087</v>
      </c>
      <c r="E1135" s="2" t="s">
        <v>3097</v>
      </c>
      <c r="F1135" s="2" t="s">
        <v>3888</v>
      </c>
      <c r="G1135" s="17">
        <v>8785</v>
      </c>
      <c r="H1135" s="96" t="s">
        <v>830</v>
      </c>
      <c r="I1135" s="2" t="s">
        <v>2606</v>
      </c>
      <c r="J1135" s="2"/>
      <c r="K1135" s="18">
        <v>44956</v>
      </c>
      <c r="L1135" s="18">
        <v>44956</v>
      </c>
      <c r="M1135" s="18">
        <v>45289</v>
      </c>
      <c r="N1135" s="1"/>
      <c r="O1135" s="19"/>
      <c r="P1135" s="18">
        <v>45289</v>
      </c>
      <c r="Q1135" s="19"/>
      <c r="R1135" s="772"/>
      <c r="S1135" s="18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 spans="1:38" ht="12.75" customHeight="1">
      <c r="A1136" s="15">
        <v>1136</v>
      </c>
      <c r="B1136" s="736" t="s">
        <v>1555</v>
      </c>
      <c r="C1136" s="16" t="s">
        <v>969</v>
      </c>
      <c r="D1136" s="20" t="s">
        <v>3087</v>
      </c>
      <c r="E1136" s="2" t="s">
        <v>3097</v>
      </c>
      <c r="F1136" s="2" t="s">
        <v>3888</v>
      </c>
      <c r="G1136" s="17">
        <v>8780</v>
      </c>
      <c r="H1136" s="96" t="s">
        <v>830</v>
      </c>
      <c r="I1136" s="2" t="s">
        <v>970</v>
      </c>
      <c r="J1136" s="2"/>
      <c r="K1136" s="18">
        <v>45294</v>
      </c>
      <c r="L1136" s="18">
        <v>45294</v>
      </c>
      <c r="M1136" s="18">
        <v>45657</v>
      </c>
      <c r="N1136" s="1">
        <v>7</v>
      </c>
      <c r="O1136" s="19"/>
      <c r="P1136" s="18">
        <v>45657</v>
      </c>
      <c r="Q1136" s="19"/>
      <c r="R1136" s="772"/>
      <c r="S1136" s="18"/>
      <c r="T1136" s="2"/>
      <c r="U1136" s="2"/>
      <c r="V1136" s="2" t="s">
        <v>4625</v>
      </c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 spans="1:38" ht="12.75" customHeight="1">
      <c r="A1137" s="15">
        <v>1137</v>
      </c>
      <c r="B1137" s="736" t="s">
        <v>1555</v>
      </c>
      <c r="C1137" s="16" t="s">
        <v>2598</v>
      </c>
      <c r="D1137" s="20" t="s">
        <v>3087</v>
      </c>
      <c r="E1137" s="2" t="s">
        <v>3097</v>
      </c>
      <c r="F1137" s="2" t="s">
        <v>3888</v>
      </c>
      <c r="G1137" s="17">
        <v>8780</v>
      </c>
      <c r="H1137" s="96" t="s">
        <v>830</v>
      </c>
      <c r="I1137" s="2" t="s">
        <v>2599</v>
      </c>
      <c r="J1137" s="2"/>
      <c r="K1137" s="18">
        <v>44952</v>
      </c>
      <c r="L1137" s="18">
        <v>44952</v>
      </c>
      <c r="M1137" s="18">
        <v>45289</v>
      </c>
      <c r="N1137" s="1"/>
      <c r="O1137" s="19"/>
      <c r="P1137" s="18">
        <v>45289</v>
      </c>
      <c r="Q1137" s="19"/>
      <c r="R1137" s="772"/>
      <c r="S1137" s="18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 spans="1:38" ht="12.75" customHeight="1">
      <c r="A1138" s="15">
        <v>1138</v>
      </c>
      <c r="B1138" s="736" t="s">
        <v>1555</v>
      </c>
      <c r="C1138" s="16" t="s">
        <v>2574</v>
      </c>
      <c r="D1138" s="20" t="s">
        <v>3087</v>
      </c>
      <c r="E1138" s="2" t="s">
        <v>3097</v>
      </c>
      <c r="F1138" s="2" t="s">
        <v>3888</v>
      </c>
      <c r="G1138" s="17">
        <v>8773</v>
      </c>
      <c r="H1138" s="96" t="s">
        <v>830</v>
      </c>
      <c r="I1138" s="2" t="s">
        <v>2575</v>
      </c>
      <c r="J1138" s="2"/>
      <c r="K1138" s="18">
        <v>44949</v>
      </c>
      <c r="L1138" s="18">
        <v>44949</v>
      </c>
      <c r="M1138" s="18">
        <v>45138</v>
      </c>
      <c r="N1138" s="1"/>
      <c r="O1138" s="19">
        <v>1750</v>
      </c>
      <c r="P1138" s="18">
        <v>45138</v>
      </c>
      <c r="Q1138" s="19"/>
      <c r="R1138" s="772"/>
      <c r="S1138" s="18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 spans="1:38" ht="12.75" customHeight="1">
      <c r="A1139" s="15">
        <v>1139</v>
      </c>
      <c r="B1139" s="736" t="s">
        <v>1555</v>
      </c>
      <c r="C1139" s="16" t="s">
        <v>2570</v>
      </c>
      <c r="D1139" s="20" t="s">
        <v>3087</v>
      </c>
      <c r="E1139" s="2" t="s">
        <v>3097</v>
      </c>
      <c r="F1139" s="2" t="s">
        <v>3888</v>
      </c>
      <c r="G1139" s="17">
        <v>8767</v>
      </c>
      <c r="H1139" s="96" t="s">
        <v>830</v>
      </c>
      <c r="I1139" s="2" t="s">
        <v>2571</v>
      </c>
      <c r="J1139" s="2"/>
      <c r="K1139" s="18">
        <v>44942</v>
      </c>
      <c r="L1139" s="18">
        <v>44942</v>
      </c>
      <c r="M1139" s="18">
        <v>45107</v>
      </c>
      <c r="N1139" s="1"/>
      <c r="O1139" s="19"/>
      <c r="P1139" s="18">
        <v>45107</v>
      </c>
      <c r="Q1139" s="19"/>
      <c r="R1139" s="772"/>
      <c r="S1139" s="18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 spans="1:38" ht="12.75" customHeight="1">
      <c r="A1140" s="15">
        <v>1140</v>
      </c>
      <c r="B1140" s="736" t="s">
        <v>1555</v>
      </c>
      <c r="C1140" s="16" t="s">
        <v>2566</v>
      </c>
      <c r="D1140" s="20" t="s">
        <v>3087</v>
      </c>
      <c r="E1140" s="2" t="s">
        <v>3097</v>
      </c>
      <c r="F1140" s="2" t="s">
        <v>3888</v>
      </c>
      <c r="G1140" s="17">
        <v>8766</v>
      </c>
      <c r="H1140" s="96" t="s">
        <v>830</v>
      </c>
      <c r="I1140" s="2" t="s">
        <v>2567</v>
      </c>
      <c r="J1140" s="2"/>
      <c r="K1140" s="18">
        <v>44937</v>
      </c>
      <c r="L1140" s="18">
        <v>44937</v>
      </c>
      <c r="M1140" s="18">
        <v>45107</v>
      </c>
      <c r="N1140" s="1"/>
      <c r="O1140" s="19"/>
      <c r="P1140" s="18">
        <v>45107</v>
      </c>
      <c r="Q1140" s="19"/>
      <c r="R1140" s="772"/>
      <c r="S1140" s="18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 spans="1:38" ht="12.75" customHeight="1">
      <c r="A1141" s="15">
        <v>1141</v>
      </c>
      <c r="B1141" s="736" t="s">
        <v>1555</v>
      </c>
      <c r="C1141" s="16" t="s">
        <v>926</v>
      </c>
      <c r="D1141" s="21" t="s">
        <v>3087</v>
      </c>
      <c r="E1141" s="3" t="s">
        <v>3162</v>
      </c>
      <c r="F1141" s="2" t="s">
        <v>3888</v>
      </c>
      <c r="G1141" s="17">
        <v>8764</v>
      </c>
      <c r="H1141" s="96" t="s">
        <v>830</v>
      </c>
      <c r="I1141" s="2" t="s">
        <v>927</v>
      </c>
      <c r="J1141" s="2"/>
      <c r="K1141" s="18">
        <v>45306</v>
      </c>
      <c r="L1141" s="18">
        <v>45306</v>
      </c>
      <c r="M1141" s="18">
        <v>45473</v>
      </c>
      <c r="N1141" s="1">
        <v>1</v>
      </c>
      <c r="O1141" s="19">
        <v>13500</v>
      </c>
      <c r="P1141" s="18">
        <v>45473</v>
      </c>
      <c r="Q1141" s="19"/>
      <c r="R1141" s="772"/>
      <c r="S1141" s="18"/>
      <c r="T1141" s="2"/>
      <c r="U1141" s="2"/>
      <c r="V1141" s="2" t="s">
        <v>4625</v>
      </c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 spans="1:38" ht="12.75" customHeight="1">
      <c r="A1142" s="15">
        <v>1142</v>
      </c>
      <c r="B1142" s="736" t="s">
        <v>1555</v>
      </c>
      <c r="C1142" s="16" t="s">
        <v>2564</v>
      </c>
      <c r="D1142" s="20" t="s">
        <v>3087</v>
      </c>
      <c r="E1142" s="2" t="s">
        <v>3097</v>
      </c>
      <c r="F1142" s="2" t="s">
        <v>3888</v>
      </c>
      <c r="G1142" s="17">
        <v>8764</v>
      </c>
      <c r="H1142" s="96" t="s">
        <v>830</v>
      </c>
      <c r="I1142" s="2" t="s">
        <v>2565</v>
      </c>
      <c r="J1142" s="2"/>
      <c r="K1142" s="18">
        <v>44942</v>
      </c>
      <c r="L1142" s="18">
        <v>44942</v>
      </c>
      <c r="M1142" s="18">
        <v>45230</v>
      </c>
      <c r="N1142" s="1"/>
      <c r="O1142" s="19">
        <v>12250</v>
      </c>
      <c r="P1142" s="18">
        <v>45230</v>
      </c>
      <c r="Q1142" s="19"/>
      <c r="R1142" s="772"/>
      <c r="S1142" s="18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 spans="1:38" ht="12.75" customHeight="1">
      <c r="A1143" s="15">
        <v>1143</v>
      </c>
      <c r="B1143" s="736" t="s">
        <v>1555</v>
      </c>
      <c r="C1143" s="16" t="s">
        <v>2924</v>
      </c>
      <c r="D1143" s="20" t="s">
        <v>3087</v>
      </c>
      <c r="E1143" s="2" t="s">
        <v>3097</v>
      </c>
      <c r="F1143" s="2" t="s">
        <v>3888</v>
      </c>
      <c r="G1143" s="17">
        <v>8764</v>
      </c>
      <c r="H1143" s="96" t="s">
        <v>830</v>
      </c>
      <c r="I1143" s="2" t="s">
        <v>2925</v>
      </c>
      <c r="J1143" s="2"/>
      <c r="K1143" s="18">
        <v>45174</v>
      </c>
      <c r="L1143" s="18">
        <v>45174</v>
      </c>
      <c r="M1143" s="18">
        <v>45322</v>
      </c>
      <c r="N1143" s="1"/>
      <c r="O1143" s="19">
        <v>5000</v>
      </c>
      <c r="P1143" s="18">
        <v>45322</v>
      </c>
      <c r="Q1143" s="19"/>
      <c r="R1143" s="772"/>
      <c r="S1143" s="18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 spans="1:38" ht="12.75" customHeight="1">
      <c r="A1144" s="15">
        <v>1144</v>
      </c>
      <c r="B1144" s="736" t="s">
        <v>1555</v>
      </c>
      <c r="C1144" s="16" t="s">
        <v>2572</v>
      </c>
      <c r="D1144" s="20" t="s">
        <v>3087</v>
      </c>
      <c r="E1144" s="2" t="s">
        <v>3097</v>
      </c>
      <c r="F1144" s="2" t="s">
        <v>3888</v>
      </c>
      <c r="G1144" s="17">
        <v>8761</v>
      </c>
      <c r="H1144" s="96" t="s">
        <v>830</v>
      </c>
      <c r="I1144" s="2" t="s">
        <v>2573</v>
      </c>
      <c r="J1144" s="2"/>
      <c r="K1144" s="18">
        <v>44937</v>
      </c>
      <c r="L1144" s="18">
        <v>44937</v>
      </c>
      <c r="M1144" s="18">
        <v>45046</v>
      </c>
      <c r="N1144" s="1"/>
      <c r="O1144" s="19"/>
      <c r="P1144" s="18">
        <v>45046</v>
      </c>
      <c r="Q1144" s="19"/>
      <c r="R1144" s="772"/>
      <c r="S1144" s="18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 spans="1:38" ht="12.75" customHeight="1">
      <c r="A1145" s="15">
        <v>1145</v>
      </c>
      <c r="B1145" s="736" t="s">
        <v>1555</v>
      </c>
      <c r="C1145" s="16" t="s">
        <v>2550</v>
      </c>
      <c r="D1145" s="20" t="s">
        <v>3087</v>
      </c>
      <c r="E1145" s="2" t="s">
        <v>3097</v>
      </c>
      <c r="F1145" s="2" t="s">
        <v>3888</v>
      </c>
      <c r="G1145" s="17">
        <v>8751</v>
      </c>
      <c r="H1145" s="96" t="s">
        <v>830</v>
      </c>
      <c r="I1145" s="2" t="s">
        <v>2551</v>
      </c>
      <c r="J1145" s="2"/>
      <c r="K1145" s="18">
        <v>44932</v>
      </c>
      <c r="L1145" s="18">
        <v>44932</v>
      </c>
      <c r="M1145" s="18">
        <v>45138</v>
      </c>
      <c r="N1145" s="1"/>
      <c r="O1145" s="19"/>
      <c r="P1145" s="18">
        <v>45138</v>
      </c>
      <c r="Q1145" s="19"/>
      <c r="R1145" s="772"/>
      <c r="S1145" s="18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 spans="1:38" ht="12.75" customHeight="1">
      <c r="A1146" s="15">
        <v>1146</v>
      </c>
      <c r="B1146" s="736" t="s">
        <v>1555</v>
      </c>
      <c r="C1146" s="16" t="s">
        <v>2544</v>
      </c>
      <c r="D1146" s="20" t="s">
        <v>3087</v>
      </c>
      <c r="E1146" s="2" t="s">
        <v>3097</v>
      </c>
      <c r="F1146" s="2" t="s">
        <v>3888</v>
      </c>
      <c r="G1146" s="17">
        <v>8749</v>
      </c>
      <c r="H1146" s="96" t="s">
        <v>830</v>
      </c>
      <c r="I1146" s="2" t="s">
        <v>2545</v>
      </c>
      <c r="J1146" s="2"/>
      <c r="K1146" s="18">
        <v>44917</v>
      </c>
      <c r="L1146" s="18">
        <v>44917</v>
      </c>
      <c r="M1146" s="18">
        <v>45016</v>
      </c>
      <c r="N1146" s="1"/>
      <c r="O1146" s="19">
        <v>1750</v>
      </c>
      <c r="P1146" s="18">
        <v>45016</v>
      </c>
      <c r="Q1146" s="19"/>
      <c r="R1146" s="772"/>
      <c r="S1146" s="18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 spans="1:38" ht="12.75" customHeight="1">
      <c r="A1147" s="15">
        <v>1147</v>
      </c>
      <c r="B1147" s="736" t="s">
        <v>1555</v>
      </c>
      <c r="C1147" s="16" t="s">
        <v>2701</v>
      </c>
      <c r="D1147" s="20" t="s">
        <v>3087</v>
      </c>
      <c r="E1147" s="2" t="s">
        <v>3097</v>
      </c>
      <c r="F1147" s="2" t="s">
        <v>3888</v>
      </c>
      <c r="G1147" s="17">
        <v>8749</v>
      </c>
      <c r="H1147" s="96" t="s">
        <v>830</v>
      </c>
      <c r="I1147" s="2" t="s">
        <v>2702</v>
      </c>
      <c r="J1147" s="2"/>
      <c r="K1147" s="18">
        <v>45019</v>
      </c>
      <c r="L1147" s="18">
        <v>45019</v>
      </c>
      <c r="M1147" s="18">
        <v>45076</v>
      </c>
      <c r="N1147" s="1"/>
      <c r="O1147" s="19">
        <v>2500</v>
      </c>
      <c r="P1147" s="18">
        <v>45076</v>
      </c>
      <c r="Q1147" s="19"/>
      <c r="R1147" s="772"/>
      <c r="S1147" s="18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 spans="1:38" ht="12.75" customHeight="1">
      <c r="A1148" s="15">
        <v>1148</v>
      </c>
      <c r="B1148" s="736" t="s">
        <v>1555</v>
      </c>
      <c r="C1148" s="16" t="s">
        <v>2538</v>
      </c>
      <c r="D1148" s="20" t="s">
        <v>3087</v>
      </c>
      <c r="E1148" s="2" t="s">
        <v>3097</v>
      </c>
      <c r="F1148" s="2" t="s">
        <v>3888</v>
      </c>
      <c r="G1148" s="17">
        <v>8744</v>
      </c>
      <c r="H1148" s="96" t="s">
        <v>830</v>
      </c>
      <c r="I1148" s="2" t="s">
        <v>2539</v>
      </c>
      <c r="J1148" s="2"/>
      <c r="K1148" s="18">
        <v>44915</v>
      </c>
      <c r="L1148" s="18">
        <v>44915</v>
      </c>
      <c r="M1148" s="18">
        <v>45016</v>
      </c>
      <c r="N1148" s="1"/>
      <c r="O1148" s="19"/>
      <c r="P1148" s="18">
        <v>45016</v>
      </c>
      <c r="Q1148" s="19"/>
      <c r="R1148" s="772"/>
      <c r="S1148" s="18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 spans="1:38" ht="12.75" customHeight="1">
      <c r="A1149" s="15">
        <v>1149</v>
      </c>
      <c r="B1149" s="736" t="s">
        <v>1555</v>
      </c>
      <c r="C1149" s="16" t="s">
        <v>2534</v>
      </c>
      <c r="D1149" s="20" t="s">
        <v>3087</v>
      </c>
      <c r="E1149" s="2" t="s">
        <v>3097</v>
      </c>
      <c r="F1149" s="2" t="s">
        <v>3888</v>
      </c>
      <c r="G1149" s="17">
        <v>8738</v>
      </c>
      <c r="H1149" s="96" t="s">
        <v>830</v>
      </c>
      <c r="I1149" s="2" t="s">
        <v>2535</v>
      </c>
      <c r="J1149" s="2"/>
      <c r="K1149" s="18">
        <v>44910</v>
      </c>
      <c r="L1149" s="18">
        <v>44910</v>
      </c>
      <c r="M1149" s="18">
        <v>45046</v>
      </c>
      <c r="N1149" s="1"/>
      <c r="O1149" s="19">
        <v>2450</v>
      </c>
      <c r="P1149" s="18">
        <v>45046</v>
      </c>
      <c r="Q1149" s="19"/>
      <c r="R1149" s="772"/>
      <c r="S1149" s="18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 spans="1:38" ht="12.75" customHeight="1">
      <c r="A1150" s="15">
        <v>1150</v>
      </c>
      <c r="B1150" s="736" t="s">
        <v>1555</v>
      </c>
      <c r="C1150" s="16" t="s">
        <v>2532</v>
      </c>
      <c r="D1150" s="20" t="s">
        <v>3087</v>
      </c>
      <c r="E1150" s="2" t="s">
        <v>3097</v>
      </c>
      <c r="F1150" s="2" t="s">
        <v>3888</v>
      </c>
      <c r="G1150" s="17">
        <v>8736</v>
      </c>
      <c r="H1150" s="96" t="s">
        <v>830</v>
      </c>
      <c r="I1150" s="2" t="s">
        <v>2533</v>
      </c>
      <c r="J1150" s="2"/>
      <c r="K1150" s="18">
        <v>44915</v>
      </c>
      <c r="L1150" s="18">
        <v>44915</v>
      </c>
      <c r="M1150" s="18">
        <v>45107</v>
      </c>
      <c r="N1150" s="1"/>
      <c r="O1150" s="19">
        <v>1050</v>
      </c>
      <c r="P1150" s="18">
        <v>45107</v>
      </c>
      <c r="Q1150" s="19"/>
      <c r="R1150" s="772"/>
      <c r="S1150" s="18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 spans="1:38" ht="12.75" customHeight="1">
      <c r="A1151" s="15">
        <v>1151</v>
      </c>
      <c r="B1151" s="736" t="s">
        <v>1555</v>
      </c>
      <c r="C1151" s="16" t="s">
        <v>2521</v>
      </c>
      <c r="D1151" s="20" t="s">
        <v>3087</v>
      </c>
      <c r="E1151" s="2" t="s">
        <v>3097</v>
      </c>
      <c r="F1151" s="2" t="s">
        <v>3888</v>
      </c>
      <c r="G1151" s="17">
        <v>8730</v>
      </c>
      <c r="H1151" s="96" t="s">
        <v>830</v>
      </c>
      <c r="I1151" s="2" t="s">
        <v>2522</v>
      </c>
      <c r="J1151" s="2"/>
      <c r="K1151" s="18">
        <v>44909</v>
      </c>
      <c r="L1151" s="18">
        <v>44909</v>
      </c>
      <c r="M1151" s="18">
        <v>44963</v>
      </c>
      <c r="N1151" s="1"/>
      <c r="O1151" s="19">
        <v>1750</v>
      </c>
      <c r="P1151" s="18">
        <v>44963</v>
      </c>
      <c r="Q1151" s="19"/>
      <c r="R1151" s="772"/>
      <c r="S1151" s="18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 spans="1:38" ht="12.75" customHeight="1">
      <c r="A1152" s="15">
        <v>1152</v>
      </c>
      <c r="B1152" s="736" t="s">
        <v>1555</v>
      </c>
      <c r="C1152" s="16" t="s">
        <v>2509</v>
      </c>
      <c r="D1152" s="20" t="s">
        <v>3087</v>
      </c>
      <c r="E1152" s="2" t="s">
        <v>3097</v>
      </c>
      <c r="F1152" s="2" t="s">
        <v>3888</v>
      </c>
      <c r="G1152" s="17">
        <v>8725</v>
      </c>
      <c r="H1152" s="96" t="s">
        <v>830</v>
      </c>
      <c r="I1152" s="2" t="s">
        <v>2510</v>
      </c>
      <c r="J1152" s="2"/>
      <c r="K1152" s="18">
        <v>44872</v>
      </c>
      <c r="L1152" s="18">
        <v>44872</v>
      </c>
      <c r="M1152" s="18">
        <v>44963</v>
      </c>
      <c r="N1152" s="1"/>
      <c r="O1152" s="19">
        <v>1050</v>
      </c>
      <c r="P1152" s="18">
        <v>44963</v>
      </c>
      <c r="Q1152" s="19"/>
      <c r="R1152" s="772"/>
      <c r="S1152" s="18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 spans="1:38" ht="12.75" customHeight="1">
      <c r="A1153" s="15">
        <v>1153</v>
      </c>
      <c r="B1153" s="736" t="s">
        <v>1555</v>
      </c>
      <c r="C1153" s="16" t="s">
        <v>2496</v>
      </c>
      <c r="D1153" s="20" t="s">
        <v>3087</v>
      </c>
      <c r="E1153" s="2" t="s">
        <v>3097</v>
      </c>
      <c r="F1153" s="2" t="s">
        <v>3888</v>
      </c>
      <c r="G1153" s="17">
        <v>8716</v>
      </c>
      <c r="H1153" s="96" t="s">
        <v>830</v>
      </c>
      <c r="I1153" s="2" t="s">
        <v>2497</v>
      </c>
      <c r="J1153" s="2"/>
      <c r="K1153" s="18">
        <v>44896</v>
      </c>
      <c r="L1153" s="18">
        <v>44896</v>
      </c>
      <c r="M1153" s="18">
        <v>45077</v>
      </c>
      <c r="N1153" s="1"/>
      <c r="O1153" s="19"/>
      <c r="P1153" s="18">
        <v>45077</v>
      </c>
      <c r="Q1153" s="19"/>
      <c r="R1153" s="772"/>
      <c r="S1153" s="18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 spans="1:38" ht="12.75" customHeight="1">
      <c r="A1154" s="15">
        <v>1154</v>
      </c>
      <c r="B1154" s="736" t="s">
        <v>1555</v>
      </c>
      <c r="C1154" s="16" t="s">
        <v>2494</v>
      </c>
      <c r="D1154" s="20" t="s">
        <v>3087</v>
      </c>
      <c r="E1154" s="2" t="s">
        <v>3097</v>
      </c>
      <c r="F1154" s="2" t="s">
        <v>3888</v>
      </c>
      <c r="G1154" s="17">
        <v>8715</v>
      </c>
      <c r="H1154" s="96" t="s">
        <v>830</v>
      </c>
      <c r="I1154" s="2" t="s">
        <v>2495</v>
      </c>
      <c r="J1154" s="2"/>
      <c r="K1154" s="18">
        <v>44894</v>
      </c>
      <c r="L1154" s="18">
        <v>44894</v>
      </c>
      <c r="M1154" s="18">
        <v>44963</v>
      </c>
      <c r="N1154" s="1"/>
      <c r="O1154" s="19">
        <v>2100</v>
      </c>
      <c r="P1154" s="18">
        <v>44963</v>
      </c>
      <c r="Q1154" s="19"/>
      <c r="R1154" s="772"/>
      <c r="S1154" s="18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 spans="1:38" ht="12.75" customHeight="1">
      <c r="A1155" s="15">
        <v>1155</v>
      </c>
      <c r="B1155" s="736" t="s">
        <v>1555</v>
      </c>
      <c r="C1155" s="16" t="s">
        <v>2476</v>
      </c>
      <c r="D1155" s="20" t="s">
        <v>3087</v>
      </c>
      <c r="E1155" s="2" t="s">
        <v>3097</v>
      </c>
      <c r="F1155" s="2" t="s">
        <v>3888</v>
      </c>
      <c r="G1155" s="17">
        <v>8710</v>
      </c>
      <c r="H1155" s="96" t="s">
        <v>830</v>
      </c>
      <c r="I1155" s="2" t="s">
        <v>2477</v>
      </c>
      <c r="J1155" s="2"/>
      <c r="K1155" s="18">
        <v>44890</v>
      </c>
      <c r="L1155" s="18">
        <v>44890</v>
      </c>
      <c r="M1155" s="18">
        <v>45107</v>
      </c>
      <c r="N1155" s="1"/>
      <c r="O1155" s="19">
        <v>4550</v>
      </c>
      <c r="P1155" s="18">
        <v>45107</v>
      </c>
      <c r="Q1155" s="19"/>
      <c r="R1155" s="772"/>
      <c r="S1155" s="18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 spans="1:38" ht="12.75" customHeight="1">
      <c r="A1156" s="15">
        <v>1156</v>
      </c>
      <c r="B1156" s="736" t="s">
        <v>1555</v>
      </c>
      <c r="C1156" s="16" t="s">
        <v>2798</v>
      </c>
      <c r="D1156" s="20" t="s">
        <v>3087</v>
      </c>
      <c r="E1156" s="2" t="s">
        <v>3097</v>
      </c>
      <c r="F1156" s="2" t="s">
        <v>3888</v>
      </c>
      <c r="G1156" s="17">
        <v>8709</v>
      </c>
      <c r="H1156" s="96" t="s">
        <v>830</v>
      </c>
      <c r="I1156" s="2" t="s">
        <v>2799</v>
      </c>
      <c r="J1156" s="2"/>
      <c r="K1156" s="18">
        <v>45078</v>
      </c>
      <c r="L1156" s="18">
        <v>45078</v>
      </c>
      <c r="M1156" s="18">
        <v>45169</v>
      </c>
      <c r="N1156" s="1"/>
      <c r="O1156" s="19">
        <v>3500</v>
      </c>
      <c r="P1156" s="18">
        <v>45169</v>
      </c>
      <c r="Q1156" s="19"/>
      <c r="R1156" s="772"/>
      <c r="S1156" s="18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 spans="1:38" ht="12.75" customHeight="1">
      <c r="A1157" s="15">
        <v>1157</v>
      </c>
      <c r="B1157" s="736" t="s">
        <v>1555</v>
      </c>
      <c r="C1157" s="16" t="s">
        <v>2800</v>
      </c>
      <c r="D1157" s="20" t="s">
        <v>3087</v>
      </c>
      <c r="E1157" s="2" t="s">
        <v>3097</v>
      </c>
      <c r="F1157" s="2" t="s">
        <v>3888</v>
      </c>
      <c r="G1157" s="17">
        <v>8709</v>
      </c>
      <c r="H1157" s="96" t="s">
        <v>830</v>
      </c>
      <c r="I1157" s="2" t="s">
        <v>2799</v>
      </c>
      <c r="J1157" s="2"/>
      <c r="K1157" s="18">
        <v>45078</v>
      </c>
      <c r="L1157" s="18">
        <v>45078</v>
      </c>
      <c r="M1157" s="18">
        <v>45169</v>
      </c>
      <c r="N1157" s="1"/>
      <c r="O1157" s="19">
        <v>1500</v>
      </c>
      <c r="P1157" s="18">
        <v>45169</v>
      </c>
      <c r="Q1157" s="19"/>
      <c r="R1157" s="772"/>
      <c r="S1157" s="18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 spans="1:38" ht="12.75" customHeight="1">
      <c r="A1158" s="15">
        <v>1158</v>
      </c>
      <c r="B1158" s="736" t="s">
        <v>1555</v>
      </c>
      <c r="C1158" s="16" t="s">
        <v>2472</v>
      </c>
      <c r="D1158" s="20" t="s">
        <v>3087</v>
      </c>
      <c r="E1158" s="2" t="s">
        <v>3097</v>
      </c>
      <c r="F1158" s="2" t="s">
        <v>3888</v>
      </c>
      <c r="G1158" s="17">
        <v>8709</v>
      </c>
      <c r="H1158" s="96" t="s">
        <v>830</v>
      </c>
      <c r="I1158" s="2" t="s">
        <v>2473</v>
      </c>
      <c r="J1158" s="2"/>
      <c r="K1158" s="18">
        <v>44889</v>
      </c>
      <c r="L1158" s="18">
        <v>44889</v>
      </c>
      <c r="M1158" s="18">
        <v>44963</v>
      </c>
      <c r="N1158" s="1"/>
      <c r="O1158" s="19">
        <v>2450</v>
      </c>
      <c r="P1158" s="18">
        <v>44963</v>
      </c>
      <c r="Q1158" s="19"/>
      <c r="R1158" s="772"/>
      <c r="S1158" s="18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 spans="1:38" ht="12.75" customHeight="1">
      <c r="A1159" s="15">
        <v>1159</v>
      </c>
      <c r="B1159" s="736" t="s">
        <v>1555</v>
      </c>
      <c r="C1159" s="16" t="s">
        <v>2470</v>
      </c>
      <c r="D1159" s="20" t="s">
        <v>3087</v>
      </c>
      <c r="E1159" s="2" t="s">
        <v>3097</v>
      </c>
      <c r="F1159" s="2" t="s">
        <v>3888</v>
      </c>
      <c r="G1159" s="17">
        <v>8708</v>
      </c>
      <c r="H1159" s="96" t="s">
        <v>830</v>
      </c>
      <c r="I1159" s="2" t="s">
        <v>2471</v>
      </c>
      <c r="J1159" s="2"/>
      <c r="K1159" s="18">
        <v>44890</v>
      </c>
      <c r="L1159" s="18">
        <v>44890</v>
      </c>
      <c r="M1159" s="18">
        <v>45138</v>
      </c>
      <c r="N1159" s="1"/>
      <c r="O1159" s="19"/>
      <c r="P1159" s="18">
        <v>45138</v>
      </c>
      <c r="Q1159" s="19"/>
      <c r="R1159" s="772"/>
      <c r="S1159" s="18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 spans="1:38" ht="12.75" customHeight="1">
      <c r="A1160" s="15">
        <v>1160</v>
      </c>
      <c r="B1160" s="736" t="s">
        <v>1555</v>
      </c>
      <c r="C1160" s="16" t="s">
        <v>2586</v>
      </c>
      <c r="D1160" s="20" t="s">
        <v>3087</v>
      </c>
      <c r="E1160" s="2" t="s">
        <v>3097</v>
      </c>
      <c r="F1160" s="2" t="s">
        <v>3888</v>
      </c>
      <c r="G1160" s="17">
        <v>8707</v>
      </c>
      <c r="H1160" s="96" t="s">
        <v>830</v>
      </c>
      <c r="I1160" s="2" t="s">
        <v>2587</v>
      </c>
      <c r="J1160" s="2"/>
      <c r="K1160" s="18">
        <v>44949</v>
      </c>
      <c r="L1160" s="18">
        <v>44949</v>
      </c>
      <c r="M1160" s="18">
        <v>45107</v>
      </c>
      <c r="N1160" s="1"/>
      <c r="O1160" s="19">
        <v>1400</v>
      </c>
      <c r="P1160" s="18">
        <v>45107</v>
      </c>
      <c r="Q1160" s="19"/>
      <c r="R1160" s="772"/>
      <c r="S1160" s="18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 spans="1:38" ht="12.75" customHeight="1">
      <c r="A1161" s="15">
        <v>1161</v>
      </c>
      <c r="B1161" s="736" t="s">
        <v>1555</v>
      </c>
      <c r="C1161" s="16" t="s">
        <v>2468</v>
      </c>
      <c r="D1161" s="20" t="s">
        <v>3087</v>
      </c>
      <c r="E1161" s="2" t="s">
        <v>3097</v>
      </c>
      <c r="F1161" s="2" t="s">
        <v>3888</v>
      </c>
      <c r="G1161" s="17">
        <v>8707</v>
      </c>
      <c r="H1161" s="96" t="s">
        <v>830</v>
      </c>
      <c r="I1161" s="2" t="s">
        <v>2469</v>
      </c>
      <c r="J1161" s="2"/>
      <c r="K1161" s="18">
        <v>44887</v>
      </c>
      <c r="L1161" s="18">
        <v>44887</v>
      </c>
      <c r="M1161" s="18">
        <v>44963</v>
      </c>
      <c r="N1161" s="1"/>
      <c r="O1161" s="19">
        <v>1050</v>
      </c>
      <c r="P1161" s="18">
        <v>44963</v>
      </c>
      <c r="Q1161" s="19"/>
      <c r="R1161" s="772"/>
      <c r="S1161" s="18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 spans="1:38" ht="12.75" customHeight="1">
      <c r="A1162" s="15">
        <v>1162</v>
      </c>
      <c r="B1162" s="736" t="s">
        <v>1555</v>
      </c>
      <c r="C1162" s="16" t="s">
        <v>2474</v>
      </c>
      <c r="D1162" s="20" t="s">
        <v>3087</v>
      </c>
      <c r="E1162" s="2" t="s">
        <v>3097</v>
      </c>
      <c r="F1162" s="2" t="s">
        <v>3888</v>
      </c>
      <c r="G1162" s="17">
        <v>8707</v>
      </c>
      <c r="H1162" s="96" t="s">
        <v>830</v>
      </c>
      <c r="I1162" s="2" t="s">
        <v>2475</v>
      </c>
      <c r="J1162" s="2"/>
      <c r="K1162" s="18">
        <v>44887</v>
      </c>
      <c r="L1162" s="18">
        <v>44887</v>
      </c>
      <c r="M1162" s="18">
        <v>45016</v>
      </c>
      <c r="N1162" s="1"/>
      <c r="O1162" s="19">
        <v>1400</v>
      </c>
      <c r="P1162" s="18">
        <v>45016</v>
      </c>
      <c r="Q1162" s="19"/>
      <c r="R1162" s="772"/>
      <c r="S1162" s="18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 spans="1:38" ht="12.75" customHeight="1">
      <c r="A1163" s="15">
        <v>1163</v>
      </c>
      <c r="B1163" s="736" t="s">
        <v>1555</v>
      </c>
      <c r="C1163" s="16" t="s">
        <v>2448</v>
      </c>
      <c r="D1163" s="21" t="s">
        <v>3168</v>
      </c>
      <c r="E1163" s="2" t="s">
        <v>3083</v>
      </c>
      <c r="F1163" s="2" t="s">
        <v>3888</v>
      </c>
      <c r="G1163" s="17">
        <v>8684</v>
      </c>
      <c r="H1163" s="2" t="s">
        <v>2447</v>
      </c>
      <c r="I1163" s="2" t="s">
        <v>2449</v>
      </c>
      <c r="J1163" s="2"/>
      <c r="K1163" s="18">
        <v>44872</v>
      </c>
      <c r="L1163" s="18">
        <v>44872</v>
      </c>
      <c r="M1163" s="18">
        <v>44956</v>
      </c>
      <c r="N1163" s="1"/>
      <c r="O1163" s="19">
        <v>3000</v>
      </c>
      <c r="P1163" s="18">
        <v>44956</v>
      </c>
      <c r="Q1163" s="19"/>
      <c r="R1163" s="772"/>
      <c r="S1163" s="18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 spans="1:38" ht="12.75" customHeight="1">
      <c r="A1164" s="15">
        <v>1164</v>
      </c>
      <c r="B1164" s="736" t="s">
        <v>1555</v>
      </c>
      <c r="C1164" s="16" t="s">
        <v>2440</v>
      </c>
      <c r="D1164" s="20" t="s">
        <v>3087</v>
      </c>
      <c r="E1164" s="2" t="s">
        <v>3097</v>
      </c>
      <c r="F1164" s="2" t="s">
        <v>3888</v>
      </c>
      <c r="G1164" s="17">
        <v>8681</v>
      </c>
      <c r="H1164" s="96" t="s">
        <v>830</v>
      </c>
      <c r="I1164" s="2" t="s">
        <v>2441</v>
      </c>
      <c r="J1164" s="2"/>
      <c r="K1164" s="18">
        <v>44865</v>
      </c>
      <c r="L1164" s="18">
        <v>44865</v>
      </c>
      <c r="M1164" s="18">
        <v>44957</v>
      </c>
      <c r="N1164" s="1"/>
      <c r="O1164" s="19">
        <v>1750</v>
      </c>
      <c r="P1164" s="18">
        <v>44957</v>
      </c>
      <c r="Q1164" s="19"/>
      <c r="R1164" s="772"/>
      <c r="S1164" s="18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 spans="1:38" ht="12.75" customHeight="1">
      <c r="A1165" s="15">
        <v>1165</v>
      </c>
      <c r="B1165" s="736" t="s">
        <v>1555</v>
      </c>
      <c r="C1165" s="16" t="s">
        <v>2438</v>
      </c>
      <c r="D1165" s="20" t="s">
        <v>3087</v>
      </c>
      <c r="E1165" s="2" t="s">
        <v>3097</v>
      </c>
      <c r="F1165" s="2" t="s">
        <v>3888</v>
      </c>
      <c r="G1165" s="17">
        <v>8678</v>
      </c>
      <c r="H1165" s="96" t="s">
        <v>830</v>
      </c>
      <c r="I1165" s="2" t="s">
        <v>2439</v>
      </c>
      <c r="J1165" s="2"/>
      <c r="K1165" s="18">
        <v>44860</v>
      </c>
      <c r="L1165" s="18">
        <v>44860</v>
      </c>
      <c r="M1165" s="18">
        <v>44957</v>
      </c>
      <c r="N1165" s="1"/>
      <c r="O1165" s="19">
        <v>2450</v>
      </c>
      <c r="P1165" s="18">
        <v>44957</v>
      </c>
      <c r="Q1165" s="19"/>
      <c r="R1165" s="772"/>
      <c r="S1165" s="18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 spans="1:38" ht="12.75" customHeight="1">
      <c r="A1166" s="15">
        <v>1166</v>
      </c>
      <c r="B1166" s="736" t="s">
        <v>1555</v>
      </c>
      <c r="C1166" s="16" t="s">
        <v>2422</v>
      </c>
      <c r="D1166" s="20" t="s">
        <v>3087</v>
      </c>
      <c r="E1166" s="2" t="s">
        <v>3097</v>
      </c>
      <c r="F1166" s="2" t="s">
        <v>3888</v>
      </c>
      <c r="G1166" s="17">
        <v>8668</v>
      </c>
      <c r="H1166" s="96" t="s">
        <v>830</v>
      </c>
      <c r="I1166" s="2" t="s">
        <v>2423</v>
      </c>
      <c r="J1166" s="2"/>
      <c r="K1166" s="18">
        <v>44853</v>
      </c>
      <c r="L1166" s="18">
        <v>44853</v>
      </c>
      <c r="M1166" s="18">
        <v>44963</v>
      </c>
      <c r="N1166" s="1"/>
      <c r="O1166" s="19">
        <v>1750</v>
      </c>
      <c r="P1166" s="18">
        <v>44963</v>
      </c>
      <c r="Q1166" s="19"/>
      <c r="R1166" s="772"/>
      <c r="S1166" s="18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 spans="1:38" ht="12.75" customHeight="1">
      <c r="A1167" s="15">
        <v>1167</v>
      </c>
      <c r="B1167" s="736" t="s">
        <v>1555</v>
      </c>
      <c r="C1167" s="16" t="s">
        <v>2418</v>
      </c>
      <c r="D1167" s="20" t="s">
        <v>3087</v>
      </c>
      <c r="E1167" s="2" t="s">
        <v>3097</v>
      </c>
      <c r="F1167" s="2" t="s">
        <v>3888</v>
      </c>
      <c r="G1167" s="17">
        <v>8667</v>
      </c>
      <c r="H1167" s="96" t="s">
        <v>830</v>
      </c>
      <c r="I1167" s="2" t="s">
        <v>2419</v>
      </c>
      <c r="J1167" s="2"/>
      <c r="K1167" s="18">
        <v>44845</v>
      </c>
      <c r="L1167" s="18">
        <v>44845</v>
      </c>
      <c r="M1167" s="18">
        <v>44957</v>
      </c>
      <c r="N1167" s="1"/>
      <c r="O1167" s="19">
        <v>1750</v>
      </c>
      <c r="P1167" s="18">
        <v>44957</v>
      </c>
      <c r="Q1167" s="19"/>
      <c r="R1167" s="772"/>
      <c r="S1167" s="18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 spans="1:38" ht="12.75" customHeight="1">
      <c r="A1168" s="15">
        <v>1168</v>
      </c>
      <c r="B1168" s="736" t="s">
        <v>1555</v>
      </c>
      <c r="C1168" s="16" t="s">
        <v>2364</v>
      </c>
      <c r="D1168" s="21" t="s">
        <v>3168</v>
      </c>
      <c r="E1168" s="2" t="s">
        <v>3083</v>
      </c>
      <c r="F1168" s="2" t="s">
        <v>3888</v>
      </c>
      <c r="G1168" s="17">
        <v>8642</v>
      </c>
      <c r="H1168" s="2" t="s">
        <v>2363</v>
      </c>
      <c r="I1168" s="2" t="s">
        <v>2365</v>
      </c>
      <c r="J1168" s="2"/>
      <c r="K1168" s="18">
        <v>44830</v>
      </c>
      <c r="L1168" s="18">
        <v>44830</v>
      </c>
      <c r="M1168" s="18">
        <v>44926</v>
      </c>
      <c r="N1168" s="1"/>
      <c r="O1168" s="19">
        <v>3000</v>
      </c>
      <c r="P1168" s="18">
        <v>44926</v>
      </c>
      <c r="Q1168" s="19"/>
      <c r="R1168" s="772"/>
      <c r="S1168" s="18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 spans="1:38" ht="12.75" customHeight="1">
      <c r="A1169" s="15">
        <v>1169</v>
      </c>
      <c r="B1169" s="736" t="s">
        <v>1555</v>
      </c>
      <c r="C1169" s="16" t="s">
        <v>2345</v>
      </c>
      <c r="D1169" s="20" t="s">
        <v>3087</v>
      </c>
      <c r="E1169" s="2" t="s">
        <v>3097</v>
      </c>
      <c r="F1169" s="2" t="s">
        <v>3888</v>
      </c>
      <c r="G1169" s="17">
        <v>8638</v>
      </c>
      <c r="H1169" s="96" t="s">
        <v>830</v>
      </c>
      <c r="I1169" s="2" t="s">
        <v>2346</v>
      </c>
      <c r="J1169" s="2"/>
      <c r="K1169" s="18">
        <v>44811</v>
      </c>
      <c r="L1169" s="18">
        <v>44811</v>
      </c>
      <c r="M1169" s="18">
        <v>44957</v>
      </c>
      <c r="N1169" s="1"/>
      <c r="O1169" s="19">
        <v>2450</v>
      </c>
      <c r="P1169" s="18">
        <v>44957</v>
      </c>
      <c r="Q1169" s="19"/>
      <c r="R1169" s="772"/>
      <c r="S1169" s="18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 spans="1:38" ht="12.75" customHeight="1">
      <c r="A1170" s="15">
        <v>1170</v>
      </c>
      <c r="B1170" s="736" t="s">
        <v>1555</v>
      </c>
      <c r="C1170" s="16" t="s">
        <v>2325</v>
      </c>
      <c r="D1170" s="20" t="s">
        <v>3087</v>
      </c>
      <c r="E1170" s="2" t="s">
        <v>3097</v>
      </c>
      <c r="F1170" s="2" t="s">
        <v>3888</v>
      </c>
      <c r="G1170" s="17">
        <v>8634</v>
      </c>
      <c r="H1170" s="96" t="s">
        <v>830</v>
      </c>
      <c r="I1170" s="2" t="s">
        <v>2326</v>
      </c>
      <c r="J1170" s="2"/>
      <c r="K1170" s="18">
        <v>44816</v>
      </c>
      <c r="L1170" s="18">
        <v>44816</v>
      </c>
      <c r="M1170" s="18">
        <v>44957</v>
      </c>
      <c r="N1170" s="1"/>
      <c r="O1170" s="19">
        <v>1750</v>
      </c>
      <c r="P1170" s="18">
        <v>44957</v>
      </c>
      <c r="Q1170" s="19"/>
      <c r="R1170" s="772"/>
      <c r="S1170" s="18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 spans="1:38" ht="12.75" customHeight="1">
      <c r="A1171" s="15">
        <v>1171</v>
      </c>
      <c r="B1171" s="736" t="s">
        <v>1555</v>
      </c>
      <c r="C1171" s="16" t="s">
        <v>2323</v>
      </c>
      <c r="D1171" s="20" t="s">
        <v>3087</v>
      </c>
      <c r="E1171" s="2" t="s">
        <v>3097</v>
      </c>
      <c r="F1171" s="2" t="s">
        <v>3888</v>
      </c>
      <c r="G1171" s="17">
        <v>8631</v>
      </c>
      <c r="H1171" s="96" t="s">
        <v>830</v>
      </c>
      <c r="I1171" s="2" t="s">
        <v>2324</v>
      </c>
      <c r="J1171" s="2"/>
      <c r="K1171" s="18">
        <v>44816</v>
      </c>
      <c r="L1171" s="18">
        <v>44816</v>
      </c>
      <c r="M1171" s="18">
        <v>44957</v>
      </c>
      <c r="N1171" s="1"/>
      <c r="O1171" s="19">
        <v>1750</v>
      </c>
      <c r="P1171" s="18">
        <v>44957</v>
      </c>
      <c r="Q1171" s="19"/>
      <c r="R1171" s="772"/>
      <c r="S1171" s="18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 spans="1:38" ht="12.75" customHeight="1">
      <c r="A1172" s="15">
        <v>1172</v>
      </c>
      <c r="B1172" s="736" t="s">
        <v>1555</v>
      </c>
      <c r="C1172" s="16" t="s">
        <v>2312</v>
      </c>
      <c r="D1172" s="20" t="s">
        <v>3087</v>
      </c>
      <c r="E1172" s="2" t="s">
        <v>3097</v>
      </c>
      <c r="F1172" s="2" t="s">
        <v>3888</v>
      </c>
      <c r="G1172" s="17">
        <v>8626</v>
      </c>
      <c r="H1172" s="96" t="s">
        <v>830</v>
      </c>
      <c r="I1172" s="2" t="s">
        <v>2313</v>
      </c>
      <c r="J1172" s="2"/>
      <c r="K1172" s="18">
        <v>44805</v>
      </c>
      <c r="L1172" s="18">
        <v>44805</v>
      </c>
      <c r="M1172" s="18">
        <v>45016</v>
      </c>
      <c r="N1172" s="1"/>
      <c r="O1172" s="19">
        <v>7000</v>
      </c>
      <c r="P1172" s="18">
        <v>45016</v>
      </c>
      <c r="Q1172" s="19"/>
      <c r="R1172" s="772"/>
      <c r="S1172" s="18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 spans="1:38" ht="12.75" customHeight="1">
      <c r="A1173" s="15">
        <v>1173</v>
      </c>
      <c r="B1173" s="736" t="s">
        <v>1555</v>
      </c>
      <c r="C1173" s="16" t="s">
        <v>2304</v>
      </c>
      <c r="D1173" s="20" t="s">
        <v>3087</v>
      </c>
      <c r="E1173" s="2" t="s">
        <v>3097</v>
      </c>
      <c r="F1173" s="2" t="s">
        <v>3888</v>
      </c>
      <c r="G1173" s="17">
        <v>8621</v>
      </c>
      <c r="H1173" s="96" t="s">
        <v>830</v>
      </c>
      <c r="I1173" s="2" t="s">
        <v>2305</v>
      </c>
      <c r="J1173" s="2"/>
      <c r="K1173" s="18">
        <v>44798</v>
      </c>
      <c r="L1173" s="18">
        <v>44798</v>
      </c>
      <c r="M1173" s="18">
        <v>44963</v>
      </c>
      <c r="N1173" s="1"/>
      <c r="O1173" s="19">
        <v>5600</v>
      </c>
      <c r="P1173" s="18">
        <v>44963</v>
      </c>
      <c r="Q1173" s="19"/>
      <c r="R1173" s="772"/>
      <c r="S1173" s="18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 spans="1:38" ht="12.75" customHeight="1">
      <c r="A1174" s="15">
        <v>1174</v>
      </c>
      <c r="B1174" s="736" t="s">
        <v>1555</v>
      </c>
      <c r="C1174" s="16" t="s">
        <v>2276</v>
      </c>
      <c r="D1174" s="20" t="s">
        <v>3087</v>
      </c>
      <c r="E1174" s="2" t="s">
        <v>3097</v>
      </c>
      <c r="F1174" s="2" t="s">
        <v>3888</v>
      </c>
      <c r="G1174" s="17">
        <v>8606</v>
      </c>
      <c r="H1174" s="96" t="s">
        <v>830</v>
      </c>
      <c r="I1174" s="2" t="s">
        <v>2277</v>
      </c>
      <c r="J1174" s="2"/>
      <c r="K1174" s="18">
        <v>44791</v>
      </c>
      <c r="L1174" s="18">
        <v>44791</v>
      </c>
      <c r="M1174" s="18">
        <v>44895</v>
      </c>
      <c r="N1174" s="1"/>
      <c r="O1174" s="19">
        <v>1750</v>
      </c>
      <c r="P1174" s="18">
        <v>44895</v>
      </c>
      <c r="Q1174" s="19"/>
      <c r="R1174" s="772"/>
      <c r="S1174" s="18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 spans="1:38" ht="12.75" customHeight="1">
      <c r="A1175" s="15">
        <v>1175</v>
      </c>
      <c r="B1175" s="736" t="s">
        <v>1555</v>
      </c>
      <c r="C1175" s="16" t="s">
        <v>2266</v>
      </c>
      <c r="D1175" s="20" t="s">
        <v>3087</v>
      </c>
      <c r="E1175" s="2" t="s">
        <v>3097</v>
      </c>
      <c r="F1175" s="2" t="s">
        <v>3888</v>
      </c>
      <c r="G1175" s="17">
        <v>8605</v>
      </c>
      <c r="H1175" s="96" t="s">
        <v>830</v>
      </c>
      <c r="I1175" s="2" t="s">
        <v>2267</v>
      </c>
      <c r="J1175" s="2"/>
      <c r="K1175" s="18">
        <v>44788</v>
      </c>
      <c r="L1175" s="18">
        <v>44788</v>
      </c>
      <c r="M1175" s="18">
        <v>44865</v>
      </c>
      <c r="N1175" s="1"/>
      <c r="O1175" s="19">
        <v>700</v>
      </c>
      <c r="P1175" s="18">
        <v>44865</v>
      </c>
      <c r="Q1175" s="19"/>
      <c r="R1175" s="772"/>
      <c r="S1175" s="18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 spans="1:38" ht="12.75" customHeight="1">
      <c r="A1176" s="15">
        <v>1176</v>
      </c>
      <c r="B1176" s="736" t="s">
        <v>1555</v>
      </c>
      <c r="C1176" s="16" t="s">
        <v>2262</v>
      </c>
      <c r="D1176" s="20" t="s">
        <v>3110</v>
      </c>
      <c r="E1176" s="2" t="s">
        <v>3123</v>
      </c>
      <c r="F1176" s="2" t="s">
        <v>3888</v>
      </c>
      <c r="G1176" s="17">
        <v>8604</v>
      </c>
      <c r="H1176" s="2" t="s">
        <v>2261</v>
      </c>
      <c r="I1176" s="2" t="s">
        <v>2263</v>
      </c>
      <c r="J1176" s="2"/>
      <c r="K1176" s="18">
        <v>44788</v>
      </c>
      <c r="L1176" s="18">
        <v>44788</v>
      </c>
      <c r="M1176" s="18">
        <v>45036</v>
      </c>
      <c r="N1176" s="1"/>
      <c r="O1176" s="19">
        <v>15730</v>
      </c>
      <c r="P1176" s="18">
        <v>45036</v>
      </c>
      <c r="Q1176" s="19"/>
      <c r="R1176" s="772"/>
      <c r="S1176" s="18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 spans="1:38" ht="12.75" customHeight="1">
      <c r="A1177" s="15">
        <v>1177</v>
      </c>
      <c r="B1177" s="736" t="s">
        <v>1555</v>
      </c>
      <c r="C1177" s="16" t="s">
        <v>2253</v>
      </c>
      <c r="D1177" s="20" t="s">
        <v>3087</v>
      </c>
      <c r="E1177" s="2" t="s">
        <v>3097</v>
      </c>
      <c r="F1177" s="2" t="s">
        <v>3888</v>
      </c>
      <c r="G1177" s="17">
        <v>8601</v>
      </c>
      <c r="H1177" s="96" t="s">
        <v>830</v>
      </c>
      <c r="I1177" s="2" t="s">
        <v>2254</v>
      </c>
      <c r="J1177" s="2"/>
      <c r="K1177" s="18">
        <v>44783</v>
      </c>
      <c r="L1177" s="18">
        <v>44783</v>
      </c>
      <c r="M1177" s="18">
        <v>44895</v>
      </c>
      <c r="N1177" s="1"/>
      <c r="O1177" s="19">
        <v>2800</v>
      </c>
      <c r="P1177" s="18">
        <v>44895</v>
      </c>
      <c r="Q1177" s="19"/>
      <c r="R1177" s="772"/>
      <c r="S1177" s="18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 spans="1:38" ht="12.75" customHeight="1">
      <c r="A1178" s="15">
        <v>1178</v>
      </c>
      <c r="B1178" s="736" t="s">
        <v>1555</v>
      </c>
      <c r="C1178" s="16" t="s">
        <v>2881</v>
      </c>
      <c r="D1178" s="20" t="s">
        <v>3087</v>
      </c>
      <c r="E1178" s="2" t="s">
        <v>3097</v>
      </c>
      <c r="F1178" s="2" t="s">
        <v>3888</v>
      </c>
      <c r="G1178" s="17">
        <v>8601</v>
      </c>
      <c r="H1178" s="96" t="s">
        <v>830</v>
      </c>
      <c r="I1178" s="2" t="s">
        <v>2882</v>
      </c>
      <c r="J1178" s="2"/>
      <c r="K1178" s="18">
        <v>45117</v>
      </c>
      <c r="L1178" s="18">
        <v>45117</v>
      </c>
      <c r="M1178" s="18">
        <v>45260</v>
      </c>
      <c r="N1178" s="1"/>
      <c r="O1178" s="19">
        <v>6000</v>
      </c>
      <c r="P1178" s="18">
        <v>45260</v>
      </c>
      <c r="Q1178" s="19"/>
      <c r="R1178" s="772"/>
      <c r="S1178" s="18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 spans="1:38" ht="12.75" customHeight="1">
      <c r="A1179" s="15">
        <v>1179</v>
      </c>
      <c r="B1179" s="736" t="s">
        <v>3086</v>
      </c>
      <c r="C1179" s="16" t="s">
        <v>486</v>
      </c>
      <c r="D1179" s="21" t="s">
        <v>3110</v>
      </c>
      <c r="E1179" s="2" t="s">
        <v>3123</v>
      </c>
      <c r="F1179" s="2" t="s">
        <v>3888</v>
      </c>
      <c r="G1179" s="17">
        <v>8590</v>
      </c>
      <c r="H1179" s="2" t="s">
        <v>250</v>
      </c>
      <c r="I1179" s="2" t="s">
        <v>487</v>
      </c>
      <c r="J1179" s="2"/>
      <c r="K1179" s="18">
        <v>44788</v>
      </c>
      <c r="L1179" s="18">
        <v>44788</v>
      </c>
      <c r="M1179" s="18">
        <v>2958465</v>
      </c>
      <c r="N1179" s="1">
        <v>1</v>
      </c>
      <c r="O1179" s="19">
        <v>203280</v>
      </c>
      <c r="P1179" s="18">
        <v>2958465</v>
      </c>
      <c r="Q1179" s="19">
        <v>203280</v>
      </c>
      <c r="R1179" s="772" t="s">
        <v>488</v>
      </c>
      <c r="S1179" s="18">
        <v>44788</v>
      </c>
      <c r="T1179" s="2"/>
      <c r="U1179" s="2"/>
      <c r="V1179" s="2" t="s">
        <v>4940</v>
      </c>
      <c r="W1179" t="s">
        <v>4625</v>
      </c>
      <c r="X1179" s="2"/>
      <c r="Y1179" s="25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 spans="1:38" ht="12.75" customHeight="1">
      <c r="A1180" s="15">
        <v>1180</v>
      </c>
      <c r="B1180" s="736" t="s">
        <v>1555</v>
      </c>
      <c r="C1180" s="16" t="s">
        <v>2230</v>
      </c>
      <c r="D1180" s="20" t="s">
        <v>3087</v>
      </c>
      <c r="E1180" s="2" t="s">
        <v>3097</v>
      </c>
      <c r="F1180" s="2" t="s">
        <v>3888</v>
      </c>
      <c r="G1180" s="17">
        <v>8585</v>
      </c>
      <c r="H1180" s="96" t="s">
        <v>830</v>
      </c>
      <c r="I1180" s="2" t="s">
        <v>2231</v>
      </c>
      <c r="J1180" s="2"/>
      <c r="K1180" s="18">
        <v>44763</v>
      </c>
      <c r="L1180" s="18">
        <v>44763</v>
      </c>
      <c r="M1180" s="18">
        <v>45230</v>
      </c>
      <c r="N1180" s="1"/>
      <c r="O1180" s="19"/>
      <c r="P1180" s="18">
        <v>45230</v>
      </c>
      <c r="Q1180" s="19"/>
      <c r="R1180" s="772"/>
      <c r="S1180" s="18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 spans="1:38" ht="12.75" customHeight="1">
      <c r="A1181" s="15">
        <v>1181</v>
      </c>
      <c r="B1181" s="736" t="s">
        <v>1555</v>
      </c>
      <c r="C1181" s="16" t="s">
        <v>2228</v>
      </c>
      <c r="D1181" s="20" t="s">
        <v>3087</v>
      </c>
      <c r="E1181" s="2" t="s">
        <v>3097</v>
      </c>
      <c r="F1181" s="2" t="s">
        <v>3888</v>
      </c>
      <c r="G1181" s="17">
        <v>8584</v>
      </c>
      <c r="H1181" s="96" t="s">
        <v>830</v>
      </c>
      <c r="I1181" s="2" t="s">
        <v>2229</v>
      </c>
      <c r="J1181" s="2"/>
      <c r="K1181" s="18">
        <v>44764</v>
      </c>
      <c r="L1181" s="18">
        <v>44764</v>
      </c>
      <c r="M1181" s="18">
        <v>44865</v>
      </c>
      <c r="N1181" s="1"/>
      <c r="O1181" s="19">
        <v>1750</v>
      </c>
      <c r="P1181" s="18">
        <v>44865</v>
      </c>
      <c r="Q1181" s="19"/>
      <c r="R1181" s="772"/>
      <c r="S1181" s="18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 spans="1:38" ht="12.75" customHeight="1">
      <c r="A1182" s="15">
        <v>1182</v>
      </c>
      <c r="B1182" s="736" t="s">
        <v>1555</v>
      </c>
      <c r="C1182" s="16" t="s">
        <v>2302</v>
      </c>
      <c r="D1182" s="20" t="s">
        <v>3087</v>
      </c>
      <c r="E1182" s="2" t="s">
        <v>3097</v>
      </c>
      <c r="F1182" s="2" t="s">
        <v>3888</v>
      </c>
      <c r="G1182" s="17">
        <v>8584</v>
      </c>
      <c r="H1182" s="96" t="s">
        <v>830</v>
      </c>
      <c r="I1182" s="2" t="s">
        <v>2303</v>
      </c>
      <c r="J1182" s="2"/>
      <c r="K1182" s="18">
        <v>44806</v>
      </c>
      <c r="L1182" s="18">
        <v>44806</v>
      </c>
      <c r="M1182" s="18">
        <v>44926</v>
      </c>
      <c r="N1182" s="1"/>
      <c r="O1182" s="19">
        <v>1750</v>
      </c>
      <c r="P1182" s="18">
        <v>44926</v>
      </c>
      <c r="Q1182" s="19"/>
      <c r="R1182" s="772"/>
      <c r="S1182" s="18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 spans="1:38" ht="12.75" customHeight="1">
      <c r="A1183" s="15">
        <v>1183</v>
      </c>
      <c r="B1183" s="736" t="s">
        <v>1555</v>
      </c>
      <c r="C1183" s="16" t="s">
        <v>2308</v>
      </c>
      <c r="D1183" s="20" t="s">
        <v>3087</v>
      </c>
      <c r="E1183" s="2" t="s">
        <v>3097</v>
      </c>
      <c r="F1183" s="2" t="s">
        <v>3888</v>
      </c>
      <c r="G1183" s="17">
        <v>8584</v>
      </c>
      <c r="H1183" s="96" t="s">
        <v>830</v>
      </c>
      <c r="I1183" s="2" t="s">
        <v>2309</v>
      </c>
      <c r="J1183" s="2"/>
      <c r="K1183" s="18">
        <v>44796</v>
      </c>
      <c r="L1183" s="18">
        <v>44796</v>
      </c>
      <c r="M1183" s="18">
        <v>44926</v>
      </c>
      <c r="N1183" s="1"/>
      <c r="O1183" s="19">
        <v>700</v>
      </c>
      <c r="P1183" s="18">
        <v>44926</v>
      </c>
      <c r="Q1183" s="19"/>
      <c r="R1183" s="772"/>
      <c r="S1183" s="18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 spans="1:38" ht="12.75" customHeight="1">
      <c r="A1184" s="15">
        <v>1184</v>
      </c>
      <c r="B1184" s="736" t="s">
        <v>1555</v>
      </c>
      <c r="C1184" s="16" t="s">
        <v>2226</v>
      </c>
      <c r="D1184" s="20" t="s">
        <v>3087</v>
      </c>
      <c r="E1184" s="2" t="s">
        <v>3097</v>
      </c>
      <c r="F1184" s="2" t="s">
        <v>3888</v>
      </c>
      <c r="G1184" s="17">
        <v>8583</v>
      </c>
      <c r="H1184" s="96" t="s">
        <v>830</v>
      </c>
      <c r="I1184" s="2" t="s">
        <v>2227</v>
      </c>
      <c r="J1184" s="2"/>
      <c r="K1184" s="18">
        <v>44762</v>
      </c>
      <c r="L1184" s="18">
        <v>44762</v>
      </c>
      <c r="M1184" s="18">
        <v>44865</v>
      </c>
      <c r="N1184" s="1"/>
      <c r="O1184" s="19">
        <v>5950</v>
      </c>
      <c r="P1184" s="18">
        <v>44865</v>
      </c>
      <c r="Q1184" s="19"/>
      <c r="R1184" s="772"/>
      <c r="S1184" s="18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 spans="1:38" ht="12.75" customHeight="1">
      <c r="A1185" s="15">
        <v>1185</v>
      </c>
      <c r="B1185" s="736" t="s">
        <v>1555</v>
      </c>
      <c r="C1185" s="16" t="s">
        <v>2212</v>
      </c>
      <c r="D1185" s="20" t="s">
        <v>3087</v>
      </c>
      <c r="E1185" s="2" t="s">
        <v>3097</v>
      </c>
      <c r="F1185" s="2" t="s">
        <v>3888</v>
      </c>
      <c r="G1185" s="17">
        <v>8580</v>
      </c>
      <c r="H1185" s="96" t="s">
        <v>830</v>
      </c>
      <c r="I1185" s="2" t="s">
        <v>2213</v>
      </c>
      <c r="J1185" s="2"/>
      <c r="K1185" s="18">
        <v>44760</v>
      </c>
      <c r="L1185" s="18">
        <v>44760</v>
      </c>
      <c r="M1185" s="18">
        <v>44895</v>
      </c>
      <c r="N1185" s="1"/>
      <c r="O1185" s="19">
        <v>2450</v>
      </c>
      <c r="P1185" s="18">
        <v>44895</v>
      </c>
      <c r="Q1185" s="19"/>
      <c r="R1185" s="772"/>
      <c r="S1185" s="18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 spans="1:38" ht="12.75" customHeight="1">
      <c r="A1186" s="15">
        <v>1186</v>
      </c>
      <c r="B1186" s="736" t="s">
        <v>1555</v>
      </c>
      <c r="C1186" s="16" t="s">
        <v>2568</v>
      </c>
      <c r="D1186" s="20" t="s">
        <v>3087</v>
      </c>
      <c r="E1186" s="2" t="s">
        <v>3097</v>
      </c>
      <c r="F1186" s="2" t="s">
        <v>3888</v>
      </c>
      <c r="G1186" s="17">
        <v>8579</v>
      </c>
      <c r="H1186" s="96" t="s">
        <v>830</v>
      </c>
      <c r="I1186" s="2" t="s">
        <v>2569</v>
      </c>
      <c r="J1186" s="2"/>
      <c r="K1186" s="18">
        <v>44928</v>
      </c>
      <c r="L1186" s="18">
        <v>44928</v>
      </c>
      <c r="M1186" s="18">
        <v>45016</v>
      </c>
      <c r="N1186" s="1"/>
      <c r="O1186" s="19">
        <v>1400</v>
      </c>
      <c r="P1186" s="18">
        <v>45016</v>
      </c>
      <c r="Q1186" s="19"/>
      <c r="R1186" s="772"/>
      <c r="S1186" s="18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 spans="1:38" ht="12.75" customHeight="1">
      <c r="A1187" s="15">
        <v>1187</v>
      </c>
      <c r="B1187" s="736" t="s">
        <v>1555</v>
      </c>
      <c r="C1187" s="16" t="s">
        <v>2210</v>
      </c>
      <c r="D1187" s="20" t="s">
        <v>3087</v>
      </c>
      <c r="E1187" s="2" t="s">
        <v>3097</v>
      </c>
      <c r="F1187" s="2" t="s">
        <v>3888</v>
      </c>
      <c r="G1187" s="17">
        <v>8579</v>
      </c>
      <c r="H1187" s="96" t="s">
        <v>830</v>
      </c>
      <c r="I1187" s="2" t="s">
        <v>2211</v>
      </c>
      <c r="J1187" s="2"/>
      <c r="K1187" s="18">
        <v>44760</v>
      </c>
      <c r="L1187" s="18">
        <v>44760</v>
      </c>
      <c r="M1187" s="18">
        <v>44895</v>
      </c>
      <c r="N1187" s="1"/>
      <c r="O1187" s="19">
        <v>2800</v>
      </c>
      <c r="P1187" s="18">
        <v>44895</v>
      </c>
      <c r="Q1187" s="19"/>
      <c r="R1187" s="772"/>
      <c r="S1187" s="18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 spans="1:38" ht="12.75" customHeight="1">
      <c r="A1188" s="15">
        <v>1188</v>
      </c>
      <c r="B1188" s="736" t="s">
        <v>1555</v>
      </c>
      <c r="C1188" s="16" t="s">
        <v>2306</v>
      </c>
      <c r="D1188" s="20" t="s">
        <v>3087</v>
      </c>
      <c r="E1188" s="2" t="s">
        <v>3097</v>
      </c>
      <c r="F1188" s="2" t="s">
        <v>3888</v>
      </c>
      <c r="G1188" s="17">
        <v>8579</v>
      </c>
      <c r="H1188" s="96" t="s">
        <v>830</v>
      </c>
      <c r="I1188" s="2" t="s">
        <v>2307</v>
      </c>
      <c r="J1188" s="2"/>
      <c r="K1188" s="18">
        <v>44803</v>
      </c>
      <c r="L1188" s="18">
        <v>44803</v>
      </c>
      <c r="M1188" s="18">
        <v>44963</v>
      </c>
      <c r="N1188" s="1"/>
      <c r="O1188" s="19">
        <v>2800</v>
      </c>
      <c r="P1188" s="18">
        <v>44963</v>
      </c>
      <c r="Q1188" s="19"/>
      <c r="R1188" s="772"/>
      <c r="S1188" s="18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 spans="1:38" ht="12.75" customHeight="1">
      <c r="A1189" s="15">
        <v>1189</v>
      </c>
      <c r="B1189" s="736" t="s">
        <v>1555</v>
      </c>
      <c r="C1189" s="16" t="s">
        <v>2208</v>
      </c>
      <c r="D1189" s="20" t="s">
        <v>3087</v>
      </c>
      <c r="E1189" s="2" t="s">
        <v>3097</v>
      </c>
      <c r="F1189" s="2" t="s">
        <v>3888</v>
      </c>
      <c r="G1189" s="17">
        <v>8578</v>
      </c>
      <c r="H1189" s="96" t="s">
        <v>830</v>
      </c>
      <c r="I1189" s="2" t="s">
        <v>2209</v>
      </c>
      <c r="J1189" s="2"/>
      <c r="K1189" s="18">
        <v>44760</v>
      </c>
      <c r="L1189" s="18">
        <v>44760</v>
      </c>
      <c r="M1189" s="18">
        <v>44895</v>
      </c>
      <c r="N1189" s="1"/>
      <c r="O1189" s="19">
        <v>2450</v>
      </c>
      <c r="P1189" s="18">
        <v>44895</v>
      </c>
      <c r="Q1189" s="19"/>
      <c r="R1189" s="772"/>
      <c r="S1189" s="18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 spans="1:38" ht="12.75" customHeight="1">
      <c r="A1190" s="15">
        <v>1190</v>
      </c>
      <c r="B1190" s="736" t="s">
        <v>1555</v>
      </c>
      <c r="C1190" s="16" t="s">
        <v>2733</v>
      </c>
      <c r="D1190" s="20" t="s">
        <v>3087</v>
      </c>
      <c r="E1190" s="2" t="s">
        <v>3097</v>
      </c>
      <c r="F1190" s="2" t="s">
        <v>3888</v>
      </c>
      <c r="G1190" s="17">
        <v>8576</v>
      </c>
      <c r="H1190" s="96" t="s">
        <v>830</v>
      </c>
      <c r="I1190" s="2" t="s">
        <v>2734</v>
      </c>
      <c r="J1190" s="2"/>
      <c r="K1190" s="18">
        <v>45037</v>
      </c>
      <c r="L1190" s="18">
        <v>45037</v>
      </c>
      <c r="M1190" s="18">
        <v>45107</v>
      </c>
      <c r="N1190" s="1"/>
      <c r="O1190" s="19">
        <v>2500</v>
      </c>
      <c r="P1190" s="18">
        <v>45107</v>
      </c>
      <c r="Q1190" s="19"/>
      <c r="R1190" s="772"/>
      <c r="S1190" s="18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 spans="1:38" ht="12.75" customHeight="1">
      <c r="A1191" s="15">
        <v>1191</v>
      </c>
      <c r="B1191" s="736" t="s">
        <v>1555</v>
      </c>
      <c r="C1191" s="16" t="s">
        <v>2206</v>
      </c>
      <c r="D1191" s="20" t="s">
        <v>3087</v>
      </c>
      <c r="E1191" s="2" t="s">
        <v>3097</v>
      </c>
      <c r="F1191" s="2" t="s">
        <v>3888</v>
      </c>
      <c r="G1191" s="17">
        <v>8576</v>
      </c>
      <c r="H1191" s="96" t="s">
        <v>830</v>
      </c>
      <c r="I1191" s="2" t="s">
        <v>2207</v>
      </c>
      <c r="J1191" s="2"/>
      <c r="K1191" s="18">
        <v>44761</v>
      </c>
      <c r="L1191" s="18">
        <v>44761</v>
      </c>
      <c r="M1191" s="18">
        <v>44895</v>
      </c>
      <c r="N1191" s="1"/>
      <c r="O1191" s="19">
        <v>1050</v>
      </c>
      <c r="P1191" s="18">
        <v>44895</v>
      </c>
      <c r="Q1191" s="19"/>
      <c r="R1191" s="772"/>
      <c r="S1191" s="18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 spans="1:38" ht="12.75" customHeight="1">
      <c r="A1192" s="15">
        <v>1192</v>
      </c>
      <c r="B1192" s="736" t="s">
        <v>1555</v>
      </c>
      <c r="C1192" s="16" t="s">
        <v>778</v>
      </c>
      <c r="D1192" s="20" t="s">
        <v>3087</v>
      </c>
      <c r="E1192" s="2" t="s">
        <v>3097</v>
      </c>
      <c r="F1192" s="2" t="s">
        <v>3888</v>
      </c>
      <c r="G1192" s="17">
        <v>8562</v>
      </c>
      <c r="H1192" s="96" t="s">
        <v>830</v>
      </c>
      <c r="I1192" s="2" t="s">
        <v>779</v>
      </c>
      <c r="J1192" s="2"/>
      <c r="K1192" s="18">
        <v>45180</v>
      </c>
      <c r="L1192" s="18">
        <v>45180</v>
      </c>
      <c r="M1192" s="18">
        <v>45473</v>
      </c>
      <c r="N1192" s="1"/>
      <c r="O1192" s="19"/>
      <c r="P1192" s="18">
        <v>45473</v>
      </c>
      <c r="Q1192" s="19"/>
      <c r="R1192" s="772"/>
      <c r="S1192" s="18"/>
      <c r="T1192" s="2"/>
      <c r="U1192" s="2"/>
      <c r="V1192" s="2" t="s">
        <v>3091</v>
      </c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 spans="1:38" ht="12.75" customHeight="1">
      <c r="A1193" s="15">
        <v>1193</v>
      </c>
      <c r="B1193" s="736" t="s">
        <v>1555</v>
      </c>
      <c r="C1193" s="16" t="s">
        <v>2562</v>
      </c>
      <c r="D1193" s="20" t="s">
        <v>3087</v>
      </c>
      <c r="E1193" s="2" t="s">
        <v>3097</v>
      </c>
      <c r="F1193" s="2" t="s">
        <v>3888</v>
      </c>
      <c r="G1193" s="17">
        <v>8562</v>
      </c>
      <c r="H1193" s="96" t="s">
        <v>830</v>
      </c>
      <c r="I1193" s="2" t="s">
        <v>2563</v>
      </c>
      <c r="J1193" s="2"/>
      <c r="K1193" s="18">
        <v>44939</v>
      </c>
      <c r="L1193" s="18">
        <v>44939</v>
      </c>
      <c r="M1193" s="18">
        <v>45169</v>
      </c>
      <c r="N1193" s="1"/>
      <c r="O1193" s="19">
        <v>1050</v>
      </c>
      <c r="P1193" s="18">
        <v>45169</v>
      </c>
      <c r="Q1193" s="19"/>
      <c r="R1193" s="772"/>
      <c r="S1193" s="18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 spans="1:38" ht="12.75" customHeight="1">
      <c r="A1194" s="15">
        <v>1194</v>
      </c>
      <c r="B1194" s="736" t="s">
        <v>1555</v>
      </c>
      <c r="C1194" s="16" t="s">
        <v>2188</v>
      </c>
      <c r="D1194" s="20" t="s">
        <v>3087</v>
      </c>
      <c r="E1194" s="2" t="s">
        <v>3097</v>
      </c>
      <c r="F1194" s="2" t="s">
        <v>3888</v>
      </c>
      <c r="G1194" s="17">
        <v>8562</v>
      </c>
      <c r="H1194" s="96" t="s">
        <v>830</v>
      </c>
      <c r="I1194" s="2" t="s">
        <v>2189</v>
      </c>
      <c r="J1194" s="2"/>
      <c r="K1194" s="18">
        <v>44736</v>
      </c>
      <c r="L1194" s="18">
        <v>44736</v>
      </c>
      <c r="M1194" s="18">
        <v>44865</v>
      </c>
      <c r="N1194" s="1"/>
      <c r="O1194" s="19"/>
      <c r="P1194" s="18">
        <v>44865</v>
      </c>
      <c r="Q1194" s="19"/>
      <c r="R1194" s="772"/>
      <c r="S1194" s="18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 spans="1:38" ht="12.75" customHeight="1">
      <c r="A1195" s="15">
        <v>1195</v>
      </c>
      <c r="B1195" s="736" t="s">
        <v>1555</v>
      </c>
      <c r="C1195" s="16" t="s">
        <v>2366</v>
      </c>
      <c r="D1195" s="20" t="s">
        <v>3087</v>
      </c>
      <c r="E1195" s="2" t="s">
        <v>3097</v>
      </c>
      <c r="F1195" s="2" t="s">
        <v>3888</v>
      </c>
      <c r="G1195" s="17">
        <v>8562</v>
      </c>
      <c r="H1195" s="96" t="s">
        <v>830</v>
      </c>
      <c r="I1195" s="2" t="s">
        <v>2367</v>
      </c>
      <c r="J1195" s="2"/>
      <c r="K1195" s="18">
        <v>44831</v>
      </c>
      <c r="L1195" s="18">
        <v>44831</v>
      </c>
      <c r="M1195" s="18">
        <v>44963</v>
      </c>
      <c r="N1195" s="1"/>
      <c r="O1195" s="19">
        <v>1050</v>
      </c>
      <c r="P1195" s="18">
        <v>44963</v>
      </c>
      <c r="Q1195" s="19"/>
      <c r="R1195" s="772"/>
      <c r="S1195" s="18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 spans="1:38" ht="12.75" customHeight="1">
      <c r="A1196" s="15">
        <v>1196</v>
      </c>
      <c r="B1196" s="736" t="s">
        <v>1555</v>
      </c>
      <c r="C1196" s="16" t="s">
        <v>2368</v>
      </c>
      <c r="D1196" s="20" t="s">
        <v>3087</v>
      </c>
      <c r="E1196" s="2" t="s">
        <v>3097</v>
      </c>
      <c r="F1196" s="2" t="s">
        <v>3888</v>
      </c>
      <c r="G1196" s="17">
        <v>8562</v>
      </c>
      <c r="H1196" s="96" t="s">
        <v>830</v>
      </c>
      <c r="I1196" s="2" t="s">
        <v>2369</v>
      </c>
      <c r="J1196" s="2"/>
      <c r="K1196" s="18">
        <v>44831</v>
      </c>
      <c r="L1196" s="18">
        <v>44831</v>
      </c>
      <c r="M1196" s="18">
        <v>45199</v>
      </c>
      <c r="N1196" s="1"/>
      <c r="O1196" s="19"/>
      <c r="P1196" s="18">
        <v>45199</v>
      </c>
      <c r="Q1196" s="19"/>
      <c r="R1196" s="772"/>
      <c r="S1196" s="18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 spans="1:38" ht="12.75" customHeight="1">
      <c r="A1197" s="15">
        <v>1197</v>
      </c>
      <c r="B1197" s="736" t="s">
        <v>1555</v>
      </c>
      <c r="C1197" s="16" t="s">
        <v>2184</v>
      </c>
      <c r="D1197" s="20" t="s">
        <v>3087</v>
      </c>
      <c r="E1197" s="2" t="s">
        <v>3093</v>
      </c>
      <c r="F1197" s="2" t="s">
        <v>3888</v>
      </c>
      <c r="G1197" s="17">
        <v>8560</v>
      </c>
      <c r="H1197" s="96" t="s">
        <v>510</v>
      </c>
      <c r="I1197" s="2" t="s">
        <v>2185</v>
      </c>
      <c r="J1197" s="2"/>
      <c r="K1197" s="18">
        <v>44734</v>
      </c>
      <c r="L1197" s="18">
        <v>44734</v>
      </c>
      <c r="M1197" s="18">
        <v>44804</v>
      </c>
      <c r="N1197" s="1"/>
      <c r="O1197" s="19"/>
      <c r="P1197" s="18">
        <v>44804</v>
      </c>
      <c r="Q1197" s="19"/>
      <c r="R1197" s="772"/>
      <c r="S1197" s="18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 spans="1:38" ht="12.75" customHeight="1">
      <c r="A1198" s="15">
        <v>1198</v>
      </c>
      <c r="B1198" s="736" t="s">
        <v>1555</v>
      </c>
      <c r="C1198" s="16" t="s">
        <v>2128</v>
      </c>
      <c r="D1198" s="20" t="s">
        <v>3087</v>
      </c>
      <c r="E1198" s="2" t="s">
        <v>3162</v>
      </c>
      <c r="F1198" s="2" t="s">
        <v>3888</v>
      </c>
      <c r="G1198" s="17">
        <v>8530</v>
      </c>
      <c r="H1198" s="96" t="s">
        <v>830</v>
      </c>
      <c r="I1198" s="2" t="s">
        <v>2129</v>
      </c>
      <c r="J1198" s="2"/>
      <c r="K1198" s="18">
        <v>44671</v>
      </c>
      <c r="L1198" s="18">
        <v>44671</v>
      </c>
      <c r="M1198" s="18">
        <v>44804</v>
      </c>
      <c r="N1198" s="1"/>
      <c r="O1198" s="19"/>
      <c r="P1198" s="18">
        <v>44804</v>
      </c>
      <c r="Q1198" s="19"/>
      <c r="R1198" s="772"/>
      <c r="S1198" s="18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 spans="1:38" ht="12.75" customHeight="1">
      <c r="A1199" s="15">
        <v>1199</v>
      </c>
      <c r="B1199" s="736" t="s">
        <v>1555</v>
      </c>
      <c r="C1199" s="16" t="s">
        <v>2126</v>
      </c>
      <c r="D1199" s="20" t="s">
        <v>3087</v>
      </c>
      <c r="E1199" s="2" t="s">
        <v>3097</v>
      </c>
      <c r="F1199" s="2" t="s">
        <v>3888</v>
      </c>
      <c r="G1199" s="17">
        <v>8529</v>
      </c>
      <c r="H1199" s="96" t="s">
        <v>830</v>
      </c>
      <c r="I1199" s="2" t="s">
        <v>2127</v>
      </c>
      <c r="J1199" s="2"/>
      <c r="K1199" s="18">
        <v>44692</v>
      </c>
      <c r="L1199" s="18">
        <v>44692</v>
      </c>
      <c r="M1199" s="18">
        <v>44895</v>
      </c>
      <c r="N1199" s="1"/>
      <c r="O1199" s="19"/>
      <c r="P1199" s="18">
        <v>44895</v>
      </c>
      <c r="Q1199" s="19"/>
      <c r="R1199" s="772"/>
      <c r="S1199" s="18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 spans="1:38" ht="12.75" customHeight="1">
      <c r="A1200" s="15">
        <v>1200</v>
      </c>
      <c r="B1200" s="736" t="s">
        <v>1555</v>
      </c>
      <c r="C1200" s="16" t="s">
        <v>2122</v>
      </c>
      <c r="D1200" s="20" t="s">
        <v>3087</v>
      </c>
      <c r="E1200" s="2" t="s">
        <v>3097</v>
      </c>
      <c r="F1200" s="2" t="s">
        <v>3888</v>
      </c>
      <c r="G1200" s="17">
        <v>8526</v>
      </c>
      <c r="H1200" s="96" t="s">
        <v>830</v>
      </c>
      <c r="I1200" s="2" t="s">
        <v>2123</v>
      </c>
      <c r="J1200" s="2"/>
      <c r="K1200" s="18">
        <v>44683</v>
      </c>
      <c r="L1200" s="18">
        <v>44683</v>
      </c>
      <c r="M1200" s="18"/>
      <c r="N1200" s="1"/>
      <c r="O1200" s="19">
        <v>4900</v>
      </c>
      <c r="P1200" s="18">
        <v>44834</v>
      </c>
      <c r="Q1200" s="19"/>
      <c r="R1200" s="772"/>
      <c r="S1200" s="18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 spans="1:38" ht="12.75" customHeight="1">
      <c r="A1201" s="15">
        <v>1201</v>
      </c>
      <c r="B1201" s="736" t="s">
        <v>1555</v>
      </c>
      <c r="C1201" s="16" t="s">
        <v>2378</v>
      </c>
      <c r="D1201" s="20" t="s">
        <v>3087</v>
      </c>
      <c r="E1201" s="2" t="s">
        <v>3097</v>
      </c>
      <c r="F1201" s="2" t="s">
        <v>3888</v>
      </c>
      <c r="G1201" s="17">
        <v>8526</v>
      </c>
      <c r="H1201" s="96" t="s">
        <v>830</v>
      </c>
      <c r="I1201" s="2" t="s">
        <v>2379</v>
      </c>
      <c r="J1201" s="2"/>
      <c r="K1201" s="18">
        <v>44834</v>
      </c>
      <c r="L1201" s="18">
        <v>44834</v>
      </c>
      <c r="M1201" s="18">
        <v>44963</v>
      </c>
      <c r="N1201" s="1"/>
      <c r="O1201" s="19">
        <v>3500</v>
      </c>
      <c r="P1201" s="18">
        <v>44963</v>
      </c>
      <c r="Q1201" s="19"/>
      <c r="R1201" s="772"/>
      <c r="S1201" s="18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 spans="1:38" ht="12.75" customHeight="1">
      <c r="A1202" s="15">
        <v>1202</v>
      </c>
      <c r="B1202" s="736" t="s">
        <v>1555</v>
      </c>
      <c r="C1202" s="16" t="s">
        <v>2106</v>
      </c>
      <c r="D1202" s="20" t="s">
        <v>3087</v>
      </c>
      <c r="E1202" s="2" t="s">
        <v>3097</v>
      </c>
      <c r="F1202" s="2" t="s">
        <v>3888</v>
      </c>
      <c r="G1202" s="17">
        <v>8520</v>
      </c>
      <c r="H1202" s="96" t="s">
        <v>830</v>
      </c>
      <c r="I1202" s="2" t="s">
        <v>2107</v>
      </c>
      <c r="J1202" s="2"/>
      <c r="K1202" s="18">
        <v>44687</v>
      </c>
      <c r="L1202" s="18">
        <v>44687</v>
      </c>
      <c r="M1202" s="18">
        <v>44804</v>
      </c>
      <c r="N1202" s="1"/>
      <c r="O1202" s="19">
        <v>5250</v>
      </c>
      <c r="P1202" s="18">
        <v>44804</v>
      </c>
      <c r="Q1202" s="19"/>
      <c r="R1202" s="772"/>
      <c r="S1202" s="18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 spans="1:38" ht="12.75" customHeight="1">
      <c r="A1203" s="15">
        <v>1203</v>
      </c>
      <c r="B1203" s="736" t="s">
        <v>1555</v>
      </c>
      <c r="C1203" s="16" t="s">
        <v>2104</v>
      </c>
      <c r="D1203" s="20" t="s">
        <v>3087</v>
      </c>
      <c r="E1203" s="2" t="s">
        <v>3097</v>
      </c>
      <c r="F1203" s="2" t="s">
        <v>3888</v>
      </c>
      <c r="G1203" s="17">
        <v>8519</v>
      </c>
      <c r="H1203" s="96" t="s">
        <v>830</v>
      </c>
      <c r="I1203" s="2" t="s">
        <v>2105</v>
      </c>
      <c r="J1203" s="2"/>
      <c r="K1203" s="18">
        <v>44687</v>
      </c>
      <c r="L1203" s="18">
        <v>44687</v>
      </c>
      <c r="M1203" s="18">
        <v>44804</v>
      </c>
      <c r="N1203" s="1"/>
      <c r="O1203" s="19">
        <v>5250</v>
      </c>
      <c r="P1203" s="18">
        <v>44804</v>
      </c>
      <c r="Q1203" s="19"/>
      <c r="R1203" s="772"/>
      <c r="S1203" s="18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 spans="1:38" ht="12.75" customHeight="1">
      <c r="A1204" s="15">
        <v>1204</v>
      </c>
      <c r="B1204" s="736" t="s">
        <v>1555</v>
      </c>
      <c r="C1204" s="16" t="s">
        <v>2102</v>
      </c>
      <c r="D1204" s="20" t="s">
        <v>3087</v>
      </c>
      <c r="E1204" s="2" t="s">
        <v>3097</v>
      </c>
      <c r="F1204" s="2" t="s">
        <v>3888</v>
      </c>
      <c r="G1204" s="17">
        <v>8518</v>
      </c>
      <c r="H1204" s="96" t="s">
        <v>830</v>
      </c>
      <c r="I1204" s="2" t="s">
        <v>2103</v>
      </c>
      <c r="J1204" s="2"/>
      <c r="K1204" s="18">
        <v>44686</v>
      </c>
      <c r="L1204" s="18">
        <v>44686</v>
      </c>
      <c r="M1204" s="18">
        <v>44773</v>
      </c>
      <c r="N1204" s="1"/>
      <c r="O1204" s="19">
        <v>2450</v>
      </c>
      <c r="P1204" s="18">
        <v>44773</v>
      </c>
      <c r="Q1204" s="19"/>
      <c r="R1204" s="772"/>
      <c r="S1204" s="18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 spans="1:38" ht="12.75" customHeight="1">
      <c r="A1205" s="15">
        <v>1205</v>
      </c>
      <c r="B1205" s="736" t="s">
        <v>1555</v>
      </c>
      <c r="C1205" s="16" t="s">
        <v>2100</v>
      </c>
      <c r="D1205" s="20" t="s">
        <v>3087</v>
      </c>
      <c r="E1205" s="2" t="s">
        <v>3097</v>
      </c>
      <c r="F1205" s="2" t="s">
        <v>3888</v>
      </c>
      <c r="G1205" s="17">
        <v>8517</v>
      </c>
      <c r="H1205" s="96" t="s">
        <v>830</v>
      </c>
      <c r="I1205" s="2" t="s">
        <v>2101</v>
      </c>
      <c r="J1205" s="2"/>
      <c r="K1205" s="18">
        <v>44687</v>
      </c>
      <c r="L1205" s="18">
        <v>44687</v>
      </c>
      <c r="M1205" s="18">
        <v>44865</v>
      </c>
      <c r="N1205" s="1"/>
      <c r="O1205" s="19"/>
      <c r="P1205" s="18">
        <v>44865</v>
      </c>
      <c r="Q1205" s="19"/>
      <c r="R1205" s="772"/>
      <c r="S1205" s="18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 spans="1:38" ht="12.75" customHeight="1">
      <c r="A1206" s="15">
        <v>1206</v>
      </c>
      <c r="B1206" s="736" t="s">
        <v>1555</v>
      </c>
      <c r="C1206" s="16" t="s">
        <v>2098</v>
      </c>
      <c r="D1206" s="20" t="s">
        <v>3087</v>
      </c>
      <c r="E1206" s="2" t="s">
        <v>3097</v>
      </c>
      <c r="F1206" s="2" t="s">
        <v>3888</v>
      </c>
      <c r="G1206" s="17">
        <v>8514</v>
      </c>
      <c r="H1206" s="96" t="s">
        <v>830</v>
      </c>
      <c r="I1206" s="2" t="s">
        <v>2099</v>
      </c>
      <c r="J1206" s="2"/>
      <c r="K1206" s="18">
        <v>44680</v>
      </c>
      <c r="L1206" s="18">
        <v>44680</v>
      </c>
      <c r="M1206" s="18">
        <v>44804</v>
      </c>
      <c r="N1206" s="1"/>
      <c r="O1206" s="19"/>
      <c r="P1206" s="18">
        <v>44804</v>
      </c>
      <c r="Q1206" s="19"/>
      <c r="R1206" s="772"/>
      <c r="S1206" s="18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 spans="1:38" ht="12.75" customHeight="1">
      <c r="A1207" s="15">
        <v>1207</v>
      </c>
      <c r="B1207" s="736" t="s">
        <v>1555</v>
      </c>
      <c r="C1207" s="16" t="s">
        <v>2094</v>
      </c>
      <c r="D1207" s="20" t="s">
        <v>3087</v>
      </c>
      <c r="E1207" s="2" t="s">
        <v>3097</v>
      </c>
      <c r="F1207" s="2" t="s">
        <v>3888</v>
      </c>
      <c r="G1207" s="17">
        <v>8513</v>
      </c>
      <c r="H1207" s="96" t="s">
        <v>830</v>
      </c>
      <c r="I1207" s="2" t="s">
        <v>2095</v>
      </c>
      <c r="J1207" s="2"/>
      <c r="K1207" s="18">
        <v>44684</v>
      </c>
      <c r="L1207" s="18">
        <v>44684</v>
      </c>
      <c r="M1207" s="18">
        <v>44773</v>
      </c>
      <c r="N1207" s="1"/>
      <c r="O1207" s="19">
        <v>2450</v>
      </c>
      <c r="P1207" s="18">
        <v>44773</v>
      </c>
      <c r="Q1207" s="19"/>
      <c r="R1207" s="772"/>
      <c r="S1207" s="18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 spans="1:38" ht="12.75" customHeight="1">
      <c r="A1208" s="15">
        <v>1208</v>
      </c>
      <c r="B1208" s="736" t="s">
        <v>1555</v>
      </c>
      <c r="C1208" s="16" t="s">
        <v>2084</v>
      </c>
      <c r="D1208" s="20" t="s">
        <v>3087</v>
      </c>
      <c r="E1208" s="2" t="s">
        <v>3097</v>
      </c>
      <c r="F1208" s="2" t="s">
        <v>3888</v>
      </c>
      <c r="G1208" s="17">
        <v>8508</v>
      </c>
      <c r="H1208" s="96" t="s">
        <v>830</v>
      </c>
      <c r="I1208" s="2" t="s">
        <v>2085</v>
      </c>
      <c r="J1208" s="2"/>
      <c r="K1208" s="18">
        <v>44672</v>
      </c>
      <c r="L1208" s="18">
        <v>44672</v>
      </c>
      <c r="M1208" s="18">
        <v>44895</v>
      </c>
      <c r="N1208" s="1"/>
      <c r="O1208" s="19">
        <v>1750</v>
      </c>
      <c r="P1208" s="18">
        <v>44895</v>
      </c>
      <c r="Q1208" s="19"/>
      <c r="R1208" s="772"/>
      <c r="S1208" s="18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 spans="1:38" ht="12.75" customHeight="1">
      <c r="A1209" s="15">
        <v>1209</v>
      </c>
      <c r="B1209" s="736" t="s">
        <v>1555</v>
      </c>
      <c r="C1209" s="16" t="s">
        <v>2080</v>
      </c>
      <c r="D1209" s="20" t="s">
        <v>3087</v>
      </c>
      <c r="E1209" s="2" t="s">
        <v>3097</v>
      </c>
      <c r="F1209" s="2" t="s">
        <v>3888</v>
      </c>
      <c r="G1209" s="17">
        <v>8507</v>
      </c>
      <c r="H1209" s="96" t="s">
        <v>830</v>
      </c>
      <c r="I1209" s="2" t="s">
        <v>2081</v>
      </c>
      <c r="J1209" s="2"/>
      <c r="K1209" s="18">
        <v>44678</v>
      </c>
      <c r="L1209" s="18">
        <v>44773</v>
      </c>
      <c r="M1209" s="18">
        <v>44773</v>
      </c>
      <c r="N1209" s="1"/>
      <c r="O1209" s="19"/>
      <c r="P1209" s="18">
        <v>44773</v>
      </c>
      <c r="Q1209" s="19"/>
      <c r="R1209" s="772"/>
      <c r="S1209" s="18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 spans="1:38" ht="12.75" customHeight="1">
      <c r="A1210" s="15">
        <v>1210</v>
      </c>
      <c r="B1210" s="736" t="s">
        <v>1555</v>
      </c>
      <c r="C1210" s="16" t="s">
        <v>2078</v>
      </c>
      <c r="D1210" s="20" t="s">
        <v>3087</v>
      </c>
      <c r="E1210" s="2" t="s">
        <v>3097</v>
      </c>
      <c r="F1210" s="2" t="s">
        <v>3888</v>
      </c>
      <c r="G1210" s="17">
        <v>8505</v>
      </c>
      <c r="H1210" s="96" t="s">
        <v>830</v>
      </c>
      <c r="I1210" s="2" t="s">
        <v>2079</v>
      </c>
      <c r="J1210" s="2"/>
      <c r="K1210" s="18">
        <v>44673</v>
      </c>
      <c r="L1210" s="18">
        <v>44673</v>
      </c>
      <c r="M1210" s="18">
        <v>44895</v>
      </c>
      <c r="N1210" s="1"/>
      <c r="O1210" s="19"/>
      <c r="P1210" s="18">
        <v>44895</v>
      </c>
      <c r="Q1210" s="19"/>
      <c r="R1210" s="772"/>
      <c r="S1210" s="18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 spans="1:38" ht="12.75" customHeight="1">
      <c r="A1211" s="15">
        <v>1211</v>
      </c>
      <c r="B1211" s="736" t="s">
        <v>1555</v>
      </c>
      <c r="C1211" s="16" t="s">
        <v>2578</v>
      </c>
      <c r="D1211" s="20" t="s">
        <v>3087</v>
      </c>
      <c r="E1211" s="2" t="s">
        <v>3097</v>
      </c>
      <c r="F1211" s="2" t="s">
        <v>3888</v>
      </c>
      <c r="G1211" s="17">
        <v>8498</v>
      </c>
      <c r="H1211" s="96" t="s">
        <v>830</v>
      </c>
      <c r="I1211" s="2" t="s">
        <v>2579</v>
      </c>
      <c r="J1211" s="2"/>
      <c r="K1211" s="18">
        <v>44949</v>
      </c>
      <c r="L1211" s="18">
        <v>44949</v>
      </c>
      <c r="M1211" s="18">
        <v>45076</v>
      </c>
      <c r="N1211" s="1"/>
      <c r="O1211" s="19">
        <v>1050</v>
      </c>
      <c r="P1211" s="18">
        <v>45076</v>
      </c>
      <c r="Q1211" s="19"/>
      <c r="R1211" s="772"/>
      <c r="S1211" s="18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 spans="1:38" ht="12.75" customHeight="1">
      <c r="A1212" s="15">
        <v>1212</v>
      </c>
      <c r="B1212" s="736" t="s">
        <v>1555</v>
      </c>
      <c r="C1212" s="16" t="s">
        <v>2584</v>
      </c>
      <c r="D1212" s="20" t="s">
        <v>3087</v>
      </c>
      <c r="E1212" s="2" t="s">
        <v>3097</v>
      </c>
      <c r="F1212" s="2" t="s">
        <v>3888</v>
      </c>
      <c r="G1212" s="17">
        <v>8498</v>
      </c>
      <c r="H1212" s="96" t="s">
        <v>830</v>
      </c>
      <c r="I1212" s="2" t="s">
        <v>2585</v>
      </c>
      <c r="J1212" s="2"/>
      <c r="K1212" s="18">
        <v>44949</v>
      </c>
      <c r="L1212" s="18">
        <v>44949</v>
      </c>
      <c r="M1212" s="18">
        <v>45138</v>
      </c>
      <c r="N1212" s="1"/>
      <c r="O1212" s="19">
        <v>5250</v>
      </c>
      <c r="P1212" s="18">
        <v>45138</v>
      </c>
      <c r="Q1212" s="19"/>
      <c r="R1212" s="772"/>
      <c r="S1212" s="18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 spans="1:38" ht="12.75" customHeight="1">
      <c r="A1213" s="15">
        <v>1213</v>
      </c>
      <c r="B1213" s="736" t="s">
        <v>1555</v>
      </c>
      <c r="C1213" s="16" t="s">
        <v>2061</v>
      </c>
      <c r="D1213" s="20" t="s">
        <v>3087</v>
      </c>
      <c r="E1213" s="2" t="s">
        <v>3097</v>
      </c>
      <c r="F1213" s="2" t="s">
        <v>3888</v>
      </c>
      <c r="G1213" s="17">
        <v>8498</v>
      </c>
      <c r="H1213" s="96" t="s">
        <v>830</v>
      </c>
      <c r="I1213" s="2"/>
      <c r="J1213" s="2"/>
      <c r="K1213" s="18">
        <v>44670</v>
      </c>
      <c r="L1213" s="18">
        <v>44670</v>
      </c>
      <c r="M1213" s="18">
        <v>44773</v>
      </c>
      <c r="N1213" s="1"/>
      <c r="O1213" s="19">
        <v>5250</v>
      </c>
      <c r="P1213" s="18">
        <v>44773</v>
      </c>
      <c r="Q1213" s="19"/>
      <c r="R1213" s="772"/>
      <c r="S1213" s="18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 spans="1:38" ht="12.75" customHeight="1">
      <c r="A1214" s="15">
        <v>1214</v>
      </c>
      <c r="B1214" s="736" t="s">
        <v>1555</v>
      </c>
      <c r="C1214" s="16" t="s">
        <v>2057</v>
      </c>
      <c r="D1214" s="20" t="s">
        <v>3087</v>
      </c>
      <c r="E1214" s="2" t="s">
        <v>3097</v>
      </c>
      <c r="F1214" s="2" t="s">
        <v>3888</v>
      </c>
      <c r="G1214" s="17">
        <v>8496</v>
      </c>
      <c r="H1214" s="96" t="s">
        <v>830</v>
      </c>
      <c r="I1214" s="2" t="s">
        <v>2058</v>
      </c>
      <c r="J1214" s="2"/>
      <c r="K1214" s="18">
        <v>44662</v>
      </c>
      <c r="L1214" s="18">
        <v>44662</v>
      </c>
      <c r="M1214" s="18">
        <v>44773</v>
      </c>
      <c r="N1214" s="1"/>
      <c r="O1214" s="19">
        <v>1750</v>
      </c>
      <c r="P1214" s="18">
        <v>44773</v>
      </c>
      <c r="Q1214" s="19"/>
      <c r="R1214" s="772"/>
      <c r="S1214" s="18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 spans="1:38" ht="12.75" customHeight="1">
      <c r="A1215" s="15">
        <v>1215</v>
      </c>
      <c r="B1215" s="736" t="s">
        <v>1555</v>
      </c>
      <c r="C1215" s="16" t="s">
        <v>2042</v>
      </c>
      <c r="D1215" s="20" t="s">
        <v>3087</v>
      </c>
      <c r="E1215" s="2" t="s">
        <v>3097</v>
      </c>
      <c r="F1215" s="2" t="s">
        <v>3888</v>
      </c>
      <c r="G1215" s="17">
        <v>8488</v>
      </c>
      <c r="H1215" s="96" t="s">
        <v>830</v>
      </c>
      <c r="I1215" s="2" t="s">
        <v>2043</v>
      </c>
      <c r="J1215" s="2"/>
      <c r="K1215" s="18">
        <v>44657</v>
      </c>
      <c r="L1215" s="18">
        <v>44657</v>
      </c>
      <c r="M1215" s="18">
        <v>44865</v>
      </c>
      <c r="N1215" s="1"/>
      <c r="O1215" s="19">
        <v>2450</v>
      </c>
      <c r="P1215" s="18">
        <v>44865</v>
      </c>
      <c r="Q1215" s="19"/>
      <c r="R1215" s="772"/>
      <c r="S1215" s="18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 spans="1:38" ht="12.75" customHeight="1">
      <c r="A1216" s="15">
        <v>1216</v>
      </c>
      <c r="B1216" s="736" t="s">
        <v>1555</v>
      </c>
      <c r="C1216" s="16" t="s">
        <v>2040</v>
      </c>
      <c r="D1216" s="20" t="s">
        <v>3087</v>
      </c>
      <c r="E1216" s="2" t="s">
        <v>3097</v>
      </c>
      <c r="F1216" s="2" t="s">
        <v>3888</v>
      </c>
      <c r="G1216" s="17">
        <v>8487</v>
      </c>
      <c r="H1216" s="96" t="s">
        <v>830</v>
      </c>
      <c r="I1216" s="2" t="s">
        <v>2041</v>
      </c>
      <c r="J1216" s="2"/>
      <c r="K1216" s="18">
        <v>44657</v>
      </c>
      <c r="L1216" s="18">
        <v>44657</v>
      </c>
      <c r="M1216" s="18">
        <v>44865</v>
      </c>
      <c r="N1216" s="1"/>
      <c r="O1216" s="19">
        <v>2450</v>
      </c>
      <c r="P1216" s="18">
        <v>44865</v>
      </c>
      <c r="Q1216" s="19"/>
      <c r="R1216" s="772"/>
      <c r="S1216" s="18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 spans="1:38" ht="12.75" customHeight="1">
      <c r="A1217" s="15">
        <v>1217</v>
      </c>
      <c r="B1217" s="736" t="s">
        <v>1555</v>
      </c>
      <c r="C1217" s="16" t="s">
        <v>2414</v>
      </c>
      <c r="D1217" s="20" t="s">
        <v>3087</v>
      </c>
      <c r="E1217" s="2" t="s">
        <v>3097</v>
      </c>
      <c r="F1217" s="2" t="s">
        <v>3888</v>
      </c>
      <c r="G1217" s="17">
        <v>8487</v>
      </c>
      <c r="H1217" s="96" t="s">
        <v>830</v>
      </c>
      <c r="I1217" s="2" t="s">
        <v>2415</v>
      </c>
      <c r="J1217" s="2"/>
      <c r="K1217" s="18">
        <v>44847</v>
      </c>
      <c r="L1217" s="18">
        <v>44847</v>
      </c>
      <c r="M1217" s="18">
        <v>44963</v>
      </c>
      <c r="N1217" s="1"/>
      <c r="O1217" s="19">
        <v>2450</v>
      </c>
      <c r="P1217" s="18">
        <v>44963</v>
      </c>
      <c r="Q1217" s="19"/>
      <c r="R1217" s="772"/>
      <c r="S1217" s="18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 spans="1:38" ht="12.75" customHeight="1">
      <c r="A1218" s="15">
        <v>1218</v>
      </c>
      <c r="B1218" s="736" t="s">
        <v>1555</v>
      </c>
      <c r="C1218" s="16" t="s">
        <v>2038</v>
      </c>
      <c r="D1218" s="20" t="s">
        <v>3087</v>
      </c>
      <c r="E1218" s="2" t="s">
        <v>3097</v>
      </c>
      <c r="F1218" s="2" t="s">
        <v>3888</v>
      </c>
      <c r="G1218" s="17">
        <v>8486</v>
      </c>
      <c r="H1218" s="96" t="s">
        <v>830</v>
      </c>
      <c r="I1218" s="2" t="s">
        <v>2039</v>
      </c>
      <c r="J1218" s="2"/>
      <c r="K1218" s="18">
        <v>44657</v>
      </c>
      <c r="L1218" s="18">
        <v>44657</v>
      </c>
      <c r="M1218" s="18">
        <v>44865</v>
      </c>
      <c r="N1218" s="1"/>
      <c r="O1218" s="19">
        <v>2450</v>
      </c>
      <c r="P1218" s="18">
        <v>44865</v>
      </c>
      <c r="Q1218" s="19"/>
      <c r="R1218" s="772"/>
      <c r="S1218" s="18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 spans="1:38" ht="12.75" customHeight="1">
      <c r="A1219" s="15">
        <v>1219</v>
      </c>
      <c r="B1219" s="736" t="s">
        <v>1555</v>
      </c>
      <c r="C1219" s="16" t="s">
        <v>2032</v>
      </c>
      <c r="D1219" s="20" t="s">
        <v>3087</v>
      </c>
      <c r="E1219" s="2" t="s">
        <v>3097</v>
      </c>
      <c r="F1219" s="2" t="s">
        <v>3888</v>
      </c>
      <c r="G1219" s="17">
        <v>8472</v>
      </c>
      <c r="H1219" s="96" t="s">
        <v>830</v>
      </c>
      <c r="I1219" s="2" t="s">
        <v>2033</v>
      </c>
      <c r="J1219" s="2"/>
      <c r="K1219" s="18">
        <v>44630</v>
      </c>
      <c r="L1219" s="18">
        <v>44630</v>
      </c>
      <c r="M1219" s="18">
        <v>44668</v>
      </c>
      <c r="N1219" s="1"/>
      <c r="O1219" s="19">
        <v>350</v>
      </c>
      <c r="P1219" s="18">
        <v>44668</v>
      </c>
      <c r="Q1219" s="19"/>
      <c r="R1219" s="772"/>
      <c r="S1219" s="18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 spans="1:38" ht="12.75" customHeight="1">
      <c r="A1220" s="15">
        <v>1220</v>
      </c>
      <c r="B1220" s="736" t="s">
        <v>1555</v>
      </c>
      <c r="C1220" s="16" t="s">
        <v>2030</v>
      </c>
      <c r="D1220" s="20" t="s">
        <v>3087</v>
      </c>
      <c r="E1220" s="2" t="s">
        <v>3097</v>
      </c>
      <c r="F1220" s="2" t="s">
        <v>3888</v>
      </c>
      <c r="G1220" s="17">
        <v>8467</v>
      </c>
      <c r="H1220" s="96" t="s">
        <v>830</v>
      </c>
      <c r="I1220" s="2" t="s">
        <v>2031</v>
      </c>
      <c r="J1220" s="2"/>
      <c r="K1220" s="18">
        <v>44630</v>
      </c>
      <c r="L1220" s="18">
        <v>44630</v>
      </c>
      <c r="M1220" s="18">
        <v>44743</v>
      </c>
      <c r="N1220" s="1"/>
      <c r="O1220" s="19">
        <v>1400</v>
      </c>
      <c r="P1220" s="18">
        <v>44743</v>
      </c>
      <c r="Q1220" s="19"/>
      <c r="R1220" s="772"/>
      <c r="S1220" s="18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 spans="1:38" ht="12.75" customHeight="1">
      <c r="A1221" s="15">
        <v>1221</v>
      </c>
      <c r="B1221" s="736" t="s">
        <v>1555</v>
      </c>
      <c r="C1221" s="16" t="s">
        <v>2416</v>
      </c>
      <c r="D1221" s="20" t="s">
        <v>3087</v>
      </c>
      <c r="E1221" s="2" t="s">
        <v>3097</v>
      </c>
      <c r="F1221" s="2" t="s">
        <v>3888</v>
      </c>
      <c r="G1221" s="17">
        <v>8467</v>
      </c>
      <c r="H1221" s="96" t="s">
        <v>830</v>
      </c>
      <c r="I1221" s="2" t="s">
        <v>2417</v>
      </c>
      <c r="J1221" s="2"/>
      <c r="K1221" s="18">
        <v>44846</v>
      </c>
      <c r="L1221" s="18">
        <v>44846</v>
      </c>
      <c r="M1221" s="18">
        <v>44926</v>
      </c>
      <c r="N1221" s="1"/>
      <c r="O1221" s="19">
        <v>350</v>
      </c>
      <c r="P1221" s="18">
        <v>44926</v>
      </c>
      <c r="Q1221" s="19"/>
      <c r="R1221" s="772"/>
      <c r="S1221" s="18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 spans="1:38" ht="12.75" customHeight="1">
      <c r="A1222" s="15">
        <v>1222</v>
      </c>
      <c r="B1222" s="736" t="s">
        <v>1555</v>
      </c>
      <c r="C1222" s="16" t="s">
        <v>2008</v>
      </c>
      <c r="D1222" s="20" t="s">
        <v>3087</v>
      </c>
      <c r="E1222" s="2" t="s">
        <v>3097</v>
      </c>
      <c r="F1222" s="2" t="s">
        <v>3888</v>
      </c>
      <c r="G1222" s="17">
        <v>8456</v>
      </c>
      <c r="H1222" s="96" t="s">
        <v>830</v>
      </c>
      <c r="I1222" s="2" t="s">
        <v>2009</v>
      </c>
      <c r="J1222" s="2"/>
      <c r="K1222" s="18">
        <v>44973</v>
      </c>
      <c r="L1222" s="18">
        <v>44973</v>
      </c>
      <c r="M1222" s="18">
        <v>45337</v>
      </c>
      <c r="N1222" s="1"/>
      <c r="O1222" s="19">
        <v>592900</v>
      </c>
      <c r="P1222" s="18">
        <v>45337</v>
      </c>
      <c r="Q1222" s="19">
        <v>592900</v>
      </c>
      <c r="R1222" s="772" t="s">
        <v>633</v>
      </c>
      <c r="S1222" s="18">
        <v>44977</v>
      </c>
      <c r="T1222" s="3"/>
      <c r="U1222" s="3"/>
      <c r="V1222" s="2" t="s">
        <v>3091</v>
      </c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 spans="1:38" ht="12.75" customHeight="1">
      <c r="A1223" s="15">
        <v>1223</v>
      </c>
      <c r="B1223" s="736" t="s">
        <v>1555</v>
      </c>
      <c r="C1223" s="16" t="s">
        <v>2006</v>
      </c>
      <c r="D1223" s="20" t="s">
        <v>3087</v>
      </c>
      <c r="E1223" s="2" t="s">
        <v>3097</v>
      </c>
      <c r="F1223" s="2" t="s">
        <v>3888</v>
      </c>
      <c r="G1223" s="17">
        <v>8453</v>
      </c>
      <c r="H1223" s="96" t="s">
        <v>830</v>
      </c>
      <c r="I1223" s="2" t="s">
        <v>2007</v>
      </c>
      <c r="J1223" s="2"/>
      <c r="K1223" s="18">
        <v>44620</v>
      </c>
      <c r="L1223" s="18">
        <v>44621</v>
      </c>
      <c r="M1223" s="18">
        <v>44742</v>
      </c>
      <c r="N1223" s="1"/>
      <c r="O1223" s="19"/>
      <c r="P1223" s="18">
        <v>44742</v>
      </c>
      <c r="Q1223" s="19"/>
      <c r="R1223" s="772"/>
      <c r="S1223" s="18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 spans="1:38" ht="12.75" customHeight="1">
      <c r="A1224" s="15">
        <v>1224</v>
      </c>
      <c r="B1224" s="736" t="s">
        <v>1555</v>
      </c>
      <c r="C1224" s="16" t="s">
        <v>2967</v>
      </c>
      <c r="D1224" s="20" t="s">
        <v>3087</v>
      </c>
      <c r="E1224" s="2" t="s">
        <v>3097</v>
      </c>
      <c r="F1224" s="2" t="s">
        <v>3888</v>
      </c>
      <c r="G1224" s="17">
        <v>8453</v>
      </c>
      <c r="H1224" s="96" t="s">
        <v>830</v>
      </c>
      <c r="I1224" s="2" t="s">
        <v>2968</v>
      </c>
      <c r="J1224" s="2"/>
      <c r="K1224" s="18">
        <v>45187</v>
      </c>
      <c r="L1224" s="18">
        <v>45187</v>
      </c>
      <c r="M1224" s="18">
        <v>45191</v>
      </c>
      <c r="N1224" s="1"/>
      <c r="O1224" s="19">
        <v>0</v>
      </c>
      <c r="P1224" s="18">
        <v>45191</v>
      </c>
      <c r="Q1224" s="19"/>
      <c r="R1224" s="772"/>
      <c r="S1224" s="18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 spans="1:38" ht="12.75" customHeight="1">
      <c r="A1225" s="15">
        <v>1225</v>
      </c>
      <c r="B1225" s="736" t="s">
        <v>1555</v>
      </c>
      <c r="C1225" s="16" t="s">
        <v>1950</v>
      </c>
      <c r="D1225" s="20" t="s">
        <v>3087</v>
      </c>
      <c r="E1225" s="2" t="s">
        <v>3097</v>
      </c>
      <c r="F1225" s="2" t="s">
        <v>3888</v>
      </c>
      <c r="G1225" s="17">
        <v>8425</v>
      </c>
      <c r="H1225" s="96" t="s">
        <v>830</v>
      </c>
      <c r="I1225" s="2" t="s">
        <v>1951</v>
      </c>
      <c r="J1225" s="2"/>
      <c r="K1225" s="18">
        <v>44581</v>
      </c>
      <c r="L1225" s="18">
        <v>44581</v>
      </c>
      <c r="M1225" s="18">
        <v>44895</v>
      </c>
      <c r="N1225" s="1"/>
      <c r="O1225" s="19"/>
      <c r="P1225" s="18">
        <v>44895</v>
      </c>
      <c r="Q1225" s="19"/>
      <c r="R1225" s="772"/>
      <c r="S1225" s="18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 spans="1:38" ht="12.75" customHeight="1">
      <c r="A1226" s="15">
        <v>1226</v>
      </c>
      <c r="B1226" s="736" t="s">
        <v>1555</v>
      </c>
      <c r="C1226" s="16" t="s">
        <v>1876</v>
      </c>
      <c r="D1226" s="20" t="s">
        <v>3087</v>
      </c>
      <c r="E1226" s="2" t="s">
        <v>3162</v>
      </c>
      <c r="F1226" s="2" t="s">
        <v>3888</v>
      </c>
      <c r="G1226" s="17">
        <v>8381</v>
      </c>
      <c r="H1226" s="96" t="s">
        <v>830</v>
      </c>
      <c r="I1226" s="2" t="s">
        <v>1877</v>
      </c>
      <c r="J1226" s="2"/>
      <c r="K1226" s="18">
        <v>44508</v>
      </c>
      <c r="L1226" s="18">
        <v>44508</v>
      </c>
      <c r="M1226" s="18">
        <v>44561</v>
      </c>
      <c r="N1226" s="1"/>
      <c r="O1226" s="19">
        <v>3500</v>
      </c>
      <c r="P1226" s="18">
        <v>44561</v>
      </c>
      <c r="Q1226" s="19"/>
      <c r="R1226" s="772"/>
      <c r="S1226" s="18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 spans="1:38" ht="12.75" customHeight="1">
      <c r="A1227" s="15">
        <v>1227</v>
      </c>
      <c r="B1227" s="736" t="s">
        <v>1555</v>
      </c>
      <c r="C1227" s="16" t="s">
        <v>1836</v>
      </c>
      <c r="D1227" s="20" t="s">
        <v>3087</v>
      </c>
      <c r="E1227" s="2" t="s">
        <v>3097</v>
      </c>
      <c r="F1227" s="2" t="s">
        <v>3888</v>
      </c>
      <c r="G1227" s="17">
        <v>8369</v>
      </c>
      <c r="H1227" s="96" t="s">
        <v>830</v>
      </c>
      <c r="I1227" s="2" t="s">
        <v>1837</v>
      </c>
      <c r="J1227" s="2"/>
      <c r="K1227" s="18">
        <v>44470</v>
      </c>
      <c r="L1227" s="18">
        <v>44470</v>
      </c>
      <c r="M1227" s="18">
        <v>44620</v>
      </c>
      <c r="N1227" s="1"/>
      <c r="O1227" s="19">
        <v>0</v>
      </c>
      <c r="P1227" s="18">
        <v>44620</v>
      </c>
      <c r="Q1227" s="19"/>
      <c r="R1227" s="772"/>
      <c r="S1227" s="18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 spans="1:38" ht="12.75" customHeight="1">
      <c r="A1228" s="15">
        <v>1228</v>
      </c>
      <c r="B1228" s="736" t="s">
        <v>1555</v>
      </c>
      <c r="C1228" s="16" t="s">
        <v>2376</v>
      </c>
      <c r="D1228" s="20" t="s">
        <v>3087</v>
      </c>
      <c r="E1228" s="2" t="s">
        <v>3097</v>
      </c>
      <c r="F1228" s="2" t="s">
        <v>3888</v>
      </c>
      <c r="G1228" s="17">
        <v>8369</v>
      </c>
      <c r="H1228" s="96" t="s">
        <v>830</v>
      </c>
      <c r="I1228" s="2" t="s">
        <v>2377</v>
      </c>
      <c r="J1228" s="2"/>
      <c r="K1228" s="18">
        <v>44834</v>
      </c>
      <c r="L1228" s="18">
        <v>44834</v>
      </c>
      <c r="M1228" s="18">
        <v>44957</v>
      </c>
      <c r="N1228" s="1"/>
      <c r="O1228" s="19"/>
      <c r="P1228" s="18">
        <v>44957</v>
      </c>
      <c r="Q1228" s="19"/>
      <c r="R1228" s="772"/>
      <c r="S1228" s="18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 spans="1:38" ht="12.75" customHeight="1">
      <c r="A1229" s="15">
        <v>1229</v>
      </c>
      <c r="B1229" s="736" t="s">
        <v>1555</v>
      </c>
      <c r="C1229" s="16" t="s">
        <v>1834</v>
      </c>
      <c r="D1229" s="20" t="s">
        <v>3087</v>
      </c>
      <c r="E1229" s="2" t="s">
        <v>3097</v>
      </c>
      <c r="F1229" s="2" t="s">
        <v>3888</v>
      </c>
      <c r="G1229" s="17">
        <v>8368</v>
      </c>
      <c r="H1229" s="96" t="s">
        <v>830</v>
      </c>
      <c r="I1229" s="2" t="s">
        <v>1835</v>
      </c>
      <c r="J1229" s="2"/>
      <c r="K1229" s="18">
        <v>44462</v>
      </c>
      <c r="L1229" s="18">
        <v>44097</v>
      </c>
      <c r="M1229" s="18">
        <v>44530</v>
      </c>
      <c r="N1229" s="1"/>
      <c r="O1229" s="19">
        <v>4200</v>
      </c>
      <c r="P1229" s="18">
        <v>44530</v>
      </c>
      <c r="Q1229" s="19"/>
      <c r="R1229" s="772"/>
      <c r="S1229" s="18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 spans="1:38" ht="12.75" customHeight="1">
      <c r="A1230" s="15">
        <v>1230</v>
      </c>
      <c r="B1230" s="736" t="s">
        <v>1555</v>
      </c>
      <c r="C1230" s="16" t="s">
        <v>1832</v>
      </c>
      <c r="D1230" s="20" t="s">
        <v>3087</v>
      </c>
      <c r="E1230" s="2" t="s">
        <v>3097</v>
      </c>
      <c r="F1230" s="2" t="s">
        <v>3888</v>
      </c>
      <c r="G1230" s="17">
        <v>8367</v>
      </c>
      <c r="H1230" s="96" t="s">
        <v>830</v>
      </c>
      <c r="I1230" s="2" t="s">
        <v>1833</v>
      </c>
      <c r="J1230" s="2"/>
      <c r="K1230" s="18">
        <v>44462</v>
      </c>
      <c r="L1230" s="18">
        <v>44462</v>
      </c>
      <c r="M1230" s="18">
        <v>44561</v>
      </c>
      <c r="N1230" s="1"/>
      <c r="O1230" s="19">
        <v>4550</v>
      </c>
      <c r="P1230" s="18">
        <v>44561</v>
      </c>
      <c r="Q1230" s="19"/>
      <c r="R1230" s="772"/>
      <c r="S1230" s="18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 spans="1:38" ht="12.75" customHeight="1">
      <c r="A1231" s="15">
        <v>1231</v>
      </c>
      <c r="B1231" s="736" t="s">
        <v>1555</v>
      </c>
      <c r="C1231" s="16" t="s">
        <v>1830</v>
      </c>
      <c r="D1231" s="20" t="s">
        <v>3087</v>
      </c>
      <c r="E1231" s="2" t="s">
        <v>3097</v>
      </c>
      <c r="F1231" s="2" t="s">
        <v>3888</v>
      </c>
      <c r="G1231" s="17">
        <v>8366</v>
      </c>
      <c r="H1231" s="96" t="s">
        <v>830</v>
      </c>
      <c r="I1231" s="2" t="s">
        <v>1831</v>
      </c>
      <c r="J1231" s="2"/>
      <c r="K1231" s="18">
        <v>44462</v>
      </c>
      <c r="L1231" s="18">
        <v>44462</v>
      </c>
      <c r="M1231" s="18">
        <v>44550</v>
      </c>
      <c r="N1231" s="1"/>
      <c r="O1231" s="19">
        <v>8050</v>
      </c>
      <c r="P1231" s="18">
        <v>44550</v>
      </c>
      <c r="Q1231" s="19"/>
      <c r="R1231" s="772"/>
      <c r="S1231" s="18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 spans="1:38" ht="12.75" customHeight="1">
      <c r="A1232" s="15">
        <v>1232</v>
      </c>
      <c r="B1232" s="736" t="s">
        <v>1555</v>
      </c>
      <c r="C1232" s="16" t="s">
        <v>1828</v>
      </c>
      <c r="D1232" s="20" t="s">
        <v>3087</v>
      </c>
      <c r="E1232" s="2" t="s">
        <v>3097</v>
      </c>
      <c r="F1232" s="2" t="s">
        <v>3888</v>
      </c>
      <c r="G1232" s="17">
        <v>8365</v>
      </c>
      <c r="H1232" s="96" t="s">
        <v>830</v>
      </c>
      <c r="I1232" s="2" t="s">
        <v>1829</v>
      </c>
      <c r="J1232" s="2"/>
      <c r="K1232" s="18">
        <v>44483</v>
      </c>
      <c r="L1232" s="18">
        <v>44118</v>
      </c>
      <c r="M1232" s="18">
        <v>44530</v>
      </c>
      <c r="N1232" s="1"/>
      <c r="O1232" s="19">
        <v>2800</v>
      </c>
      <c r="P1232" s="18">
        <v>44530</v>
      </c>
      <c r="Q1232" s="19"/>
      <c r="R1232" s="772"/>
      <c r="S1232" s="18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 spans="1:38" ht="12.75" customHeight="1">
      <c r="A1233" s="15">
        <v>1233</v>
      </c>
      <c r="B1233" s="736" t="s">
        <v>1555</v>
      </c>
      <c r="C1233" s="16" t="s">
        <v>1826</v>
      </c>
      <c r="D1233" s="20" t="s">
        <v>3087</v>
      </c>
      <c r="E1233" s="2" t="s">
        <v>3097</v>
      </c>
      <c r="F1233" s="2" t="s">
        <v>3888</v>
      </c>
      <c r="G1233" s="17">
        <v>8362</v>
      </c>
      <c r="H1233" s="96" t="s">
        <v>830</v>
      </c>
      <c r="I1233" s="2" t="s">
        <v>1827</v>
      </c>
      <c r="J1233" s="2"/>
      <c r="K1233" s="18">
        <v>44481</v>
      </c>
      <c r="L1233" s="18">
        <v>44481</v>
      </c>
      <c r="M1233" s="18">
        <v>44592</v>
      </c>
      <c r="N1233" s="1"/>
      <c r="O1233" s="19">
        <v>1400</v>
      </c>
      <c r="P1233" s="18">
        <v>44592</v>
      </c>
      <c r="Q1233" s="19"/>
      <c r="R1233" s="772"/>
      <c r="S1233" s="18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 spans="1:38" ht="12.75" customHeight="1">
      <c r="A1234" s="15">
        <v>1234</v>
      </c>
      <c r="B1234" s="736" t="s">
        <v>1555</v>
      </c>
      <c r="C1234" s="16" t="s">
        <v>1789</v>
      </c>
      <c r="D1234" s="20" t="s">
        <v>3087</v>
      </c>
      <c r="E1234" s="2" t="s">
        <v>3097</v>
      </c>
      <c r="F1234" s="2" t="s">
        <v>3888</v>
      </c>
      <c r="G1234" s="17">
        <v>8339</v>
      </c>
      <c r="H1234" s="96" t="s">
        <v>830</v>
      </c>
      <c r="I1234" s="2" t="s">
        <v>1790</v>
      </c>
      <c r="J1234" s="2"/>
      <c r="K1234" s="18">
        <v>44432</v>
      </c>
      <c r="L1234" s="18">
        <v>44432</v>
      </c>
      <c r="M1234" s="18">
        <v>44469</v>
      </c>
      <c r="N1234" s="1"/>
      <c r="O1234" s="19">
        <v>2450</v>
      </c>
      <c r="P1234" s="18">
        <v>44469</v>
      </c>
      <c r="Q1234" s="19"/>
      <c r="R1234" s="772"/>
      <c r="S1234" s="18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 spans="1:38" ht="12.75" customHeight="1">
      <c r="A1235" s="15">
        <v>1235</v>
      </c>
      <c r="B1235" s="736" t="s">
        <v>1555</v>
      </c>
      <c r="C1235" s="16" t="s">
        <v>1787</v>
      </c>
      <c r="D1235" s="20" t="s">
        <v>3087</v>
      </c>
      <c r="E1235" s="2" t="s">
        <v>3097</v>
      </c>
      <c r="F1235" s="2" t="s">
        <v>3888</v>
      </c>
      <c r="G1235" s="17">
        <v>8338</v>
      </c>
      <c r="H1235" s="96" t="s">
        <v>830</v>
      </c>
      <c r="I1235" s="2" t="s">
        <v>1788</v>
      </c>
      <c r="J1235" s="2"/>
      <c r="K1235" s="18">
        <v>44433</v>
      </c>
      <c r="L1235" s="18">
        <v>44433</v>
      </c>
      <c r="M1235" s="18">
        <v>44469</v>
      </c>
      <c r="N1235" s="1"/>
      <c r="O1235" s="19">
        <v>1750</v>
      </c>
      <c r="P1235" s="18">
        <v>44469</v>
      </c>
      <c r="Q1235" s="19"/>
      <c r="R1235" s="772"/>
      <c r="S1235" s="18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 spans="1:38" ht="12.75" customHeight="1">
      <c r="A1236" s="15">
        <v>1236</v>
      </c>
      <c r="B1236" s="736" t="s">
        <v>1555</v>
      </c>
      <c r="C1236" s="16" t="s">
        <v>1765</v>
      </c>
      <c r="D1236" s="20" t="s">
        <v>3087</v>
      </c>
      <c r="E1236" s="2" t="s">
        <v>3097</v>
      </c>
      <c r="F1236" s="2" t="s">
        <v>3888</v>
      </c>
      <c r="G1236" s="17">
        <v>8324</v>
      </c>
      <c r="H1236" s="96" t="s">
        <v>830</v>
      </c>
      <c r="I1236" s="2" t="s">
        <v>1766</v>
      </c>
      <c r="J1236" s="2"/>
      <c r="K1236" s="18">
        <v>44426</v>
      </c>
      <c r="L1236" s="18">
        <v>44426</v>
      </c>
      <c r="M1236" s="18">
        <v>44469</v>
      </c>
      <c r="N1236" s="1"/>
      <c r="O1236" s="19">
        <v>2800</v>
      </c>
      <c r="P1236" s="18">
        <v>44469</v>
      </c>
      <c r="Q1236" s="19"/>
      <c r="R1236" s="772"/>
      <c r="S1236" s="18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 spans="1:38" ht="12.75" customHeight="1">
      <c r="A1237" s="15">
        <v>1237</v>
      </c>
      <c r="B1237" s="736" t="s">
        <v>1555</v>
      </c>
      <c r="C1237" s="16" t="s">
        <v>1840</v>
      </c>
      <c r="D1237" s="20" t="s">
        <v>3087</v>
      </c>
      <c r="E1237" s="2" t="s">
        <v>3097</v>
      </c>
      <c r="F1237" s="2" t="s">
        <v>3888</v>
      </c>
      <c r="G1237" s="17">
        <v>8324</v>
      </c>
      <c r="H1237" s="96" t="s">
        <v>830</v>
      </c>
      <c r="I1237" s="2" t="s">
        <v>1841</v>
      </c>
      <c r="J1237" s="2"/>
      <c r="K1237" s="18">
        <v>44470</v>
      </c>
      <c r="L1237" s="18">
        <v>44470</v>
      </c>
      <c r="M1237" s="18">
        <v>44530</v>
      </c>
      <c r="N1237" s="1"/>
      <c r="O1237" s="19">
        <v>3150</v>
      </c>
      <c r="P1237" s="18">
        <v>44530</v>
      </c>
      <c r="Q1237" s="19"/>
      <c r="R1237" s="772"/>
      <c r="S1237" s="18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 spans="1:38" ht="12.75" customHeight="1">
      <c r="A1238" s="15">
        <v>1238</v>
      </c>
      <c r="B1238" s="736" t="s">
        <v>1555</v>
      </c>
      <c r="C1238" s="16" t="s">
        <v>2582</v>
      </c>
      <c r="D1238" s="20" t="s">
        <v>3087</v>
      </c>
      <c r="E1238" s="2" t="s">
        <v>3097</v>
      </c>
      <c r="F1238" s="2" t="s">
        <v>3888</v>
      </c>
      <c r="G1238" s="17">
        <v>8323</v>
      </c>
      <c r="H1238" s="96" t="s">
        <v>830</v>
      </c>
      <c r="I1238" s="2" t="s">
        <v>2583</v>
      </c>
      <c r="J1238" s="2"/>
      <c r="K1238" s="18">
        <v>44945</v>
      </c>
      <c r="L1238" s="18">
        <v>44945</v>
      </c>
      <c r="M1238" s="18">
        <v>45107</v>
      </c>
      <c r="N1238" s="1"/>
      <c r="O1238" s="19">
        <v>1750</v>
      </c>
      <c r="P1238" s="18">
        <v>45107</v>
      </c>
      <c r="Q1238" s="19"/>
      <c r="R1238" s="772"/>
      <c r="S1238" s="18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 spans="1:38" ht="12.75" customHeight="1">
      <c r="A1239" s="15">
        <v>1239</v>
      </c>
      <c r="B1239" s="736" t="s">
        <v>1555</v>
      </c>
      <c r="C1239" s="16" t="s">
        <v>2088</v>
      </c>
      <c r="D1239" s="20" t="s">
        <v>3087</v>
      </c>
      <c r="E1239" s="2" t="s">
        <v>3097</v>
      </c>
      <c r="F1239" s="2" t="s">
        <v>3888</v>
      </c>
      <c r="G1239" s="17">
        <v>8323</v>
      </c>
      <c r="H1239" s="96" t="s">
        <v>830</v>
      </c>
      <c r="I1239" s="2" t="s">
        <v>2089</v>
      </c>
      <c r="J1239" s="2"/>
      <c r="K1239" s="18">
        <v>44680</v>
      </c>
      <c r="L1239" s="18">
        <v>44680</v>
      </c>
      <c r="M1239" s="18">
        <v>44865</v>
      </c>
      <c r="N1239" s="1"/>
      <c r="O1239" s="19">
        <v>3500</v>
      </c>
      <c r="P1239" s="18">
        <v>44865</v>
      </c>
      <c r="Q1239" s="19"/>
      <c r="R1239" s="772"/>
      <c r="S1239" s="18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 spans="1:38" ht="12.75" customHeight="1">
      <c r="A1240" s="15">
        <v>1240</v>
      </c>
      <c r="B1240" s="736" t="s">
        <v>1555</v>
      </c>
      <c r="C1240" s="16" t="s">
        <v>1763</v>
      </c>
      <c r="D1240" s="20" t="s">
        <v>3087</v>
      </c>
      <c r="E1240" s="2" t="s">
        <v>3097</v>
      </c>
      <c r="F1240" s="2" t="s">
        <v>3888</v>
      </c>
      <c r="G1240" s="17">
        <v>8323</v>
      </c>
      <c r="H1240" s="96" t="s">
        <v>830</v>
      </c>
      <c r="I1240" s="2" t="s">
        <v>1764</v>
      </c>
      <c r="J1240" s="2"/>
      <c r="K1240" s="18">
        <v>44426</v>
      </c>
      <c r="L1240" s="18">
        <v>44426</v>
      </c>
      <c r="M1240" s="18">
        <v>44469</v>
      </c>
      <c r="N1240" s="1"/>
      <c r="O1240" s="19">
        <v>2450</v>
      </c>
      <c r="P1240" s="18">
        <v>44469</v>
      </c>
      <c r="Q1240" s="19"/>
      <c r="R1240" s="772"/>
      <c r="S1240" s="18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 spans="1:38" ht="12.75" customHeight="1">
      <c r="A1241" s="15">
        <v>1241</v>
      </c>
      <c r="B1241" s="736" t="s">
        <v>1555</v>
      </c>
      <c r="C1241" s="16" t="s">
        <v>2282</v>
      </c>
      <c r="D1241" s="20" t="s">
        <v>3087</v>
      </c>
      <c r="E1241" s="2" t="s">
        <v>3097</v>
      </c>
      <c r="F1241" s="2" t="s">
        <v>3888</v>
      </c>
      <c r="G1241" s="17">
        <v>8323</v>
      </c>
      <c r="H1241" s="96" t="s">
        <v>830</v>
      </c>
      <c r="I1241" s="2" t="s">
        <v>2283</v>
      </c>
      <c r="J1241" s="2"/>
      <c r="K1241" s="18">
        <v>44795</v>
      </c>
      <c r="L1241" s="18">
        <v>44795</v>
      </c>
      <c r="M1241" s="18">
        <v>44895</v>
      </c>
      <c r="N1241" s="1"/>
      <c r="O1241" s="19">
        <v>1050</v>
      </c>
      <c r="P1241" s="18">
        <v>44895</v>
      </c>
      <c r="Q1241" s="19"/>
      <c r="R1241" s="772"/>
      <c r="S1241" s="18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 spans="1:38" ht="12.75" customHeight="1">
      <c r="A1242" s="15">
        <v>1242</v>
      </c>
      <c r="B1242" s="736" t="s">
        <v>1555</v>
      </c>
      <c r="C1242" s="16" t="s">
        <v>2431</v>
      </c>
      <c r="D1242" s="20" t="s">
        <v>3087</v>
      </c>
      <c r="E1242" s="2" t="s">
        <v>3097</v>
      </c>
      <c r="F1242" s="2" t="s">
        <v>3888</v>
      </c>
      <c r="G1242" s="17">
        <v>8323</v>
      </c>
      <c r="H1242" s="96" t="s">
        <v>830</v>
      </c>
      <c r="I1242" s="2" t="s">
        <v>2432</v>
      </c>
      <c r="J1242" s="2"/>
      <c r="K1242" s="18">
        <v>44858</v>
      </c>
      <c r="L1242" s="18">
        <v>44858</v>
      </c>
      <c r="M1242" s="18">
        <v>44957</v>
      </c>
      <c r="N1242" s="1"/>
      <c r="O1242" s="19">
        <v>2450</v>
      </c>
      <c r="P1242" s="18">
        <v>44957</v>
      </c>
      <c r="Q1242" s="19"/>
      <c r="R1242" s="772"/>
      <c r="S1242" s="18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 spans="1:38" ht="12.75" customHeight="1">
      <c r="A1243" s="15">
        <v>1243</v>
      </c>
      <c r="B1243" s="736" t="s">
        <v>1555</v>
      </c>
      <c r="C1243" s="16" t="s">
        <v>1753</v>
      </c>
      <c r="D1243" s="20" t="s">
        <v>3087</v>
      </c>
      <c r="E1243" s="2" t="s">
        <v>3162</v>
      </c>
      <c r="F1243" s="2" t="s">
        <v>3888</v>
      </c>
      <c r="G1243" s="17">
        <v>8320</v>
      </c>
      <c r="H1243" s="96" t="s">
        <v>830</v>
      </c>
      <c r="I1243" s="2" t="s">
        <v>1754</v>
      </c>
      <c r="J1243" s="2"/>
      <c r="K1243" s="18">
        <v>44392</v>
      </c>
      <c r="L1243" s="18">
        <v>44392</v>
      </c>
      <c r="M1243" s="18">
        <v>44439</v>
      </c>
      <c r="N1243" s="1"/>
      <c r="O1243" s="19">
        <v>1750</v>
      </c>
      <c r="P1243" s="18">
        <v>44439</v>
      </c>
      <c r="Q1243" s="19"/>
      <c r="R1243" s="772"/>
      <c r="S1243" s="18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 spans="1:38" ht="12.75" customHeight="1">
      <c r="A1244" s="15">
        <v>1244</v>
      </c>
      <c r="B1244" s="736" t="s">
        <v>1555</v>
      </c>
      <c r="C1244" s="16" t="s">
        <v>1751</v>
      </c>
      <c r="D1244" s="20" t="s">
        <v>3087</v>
      </c>
      <c r="E1244" s="2" t="s">
        <v>3162</v>
      </c>
      <c r="F1244" s="2" t="s">
        <v>3888</v>
      </c>
      <c r="G1244" s="17">
        <v>8319</v>
      </c>
      <c r="H1244" s="96" t="s">
        <v>830</v>
      </c>
      <c r="I1244" s="2" t="s">
        <v>1752</v>
      </c>
      <c r="J1244" s="2"/>
      <c r="K1244" s="18">
        <v>44389</v>
      </c>
      <c r="L1244" s="18">
        <v>44389</v>
      </c>
      <c r="M1244" s="18">
        <v>44408</v>
      </c>
      <c r="N1244" s="1"/>
      <c r="O1244" s="19">
        <v>1400</v>
      </c>
      <c r="P1244" s="18">
        <v>44408</v>
      </c>
      <c r="Q1244" s="19"/>
      <c r="R1244" s="772"/>
      <c r="S1244" s="18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 spans="1:38" ht="12.75" customHeight="1">
      <c r="A1245" s="15">
        <v>1245</v>
      </c>
      <c r="B1245" s="736" t="s">
        <v>1555</v>
      </c>
      <c r="C1245" s="16" t="s">
        <v>1747</v>
      </c>
      <c r="D1245" s="20" t="s">
        <v>3087</v>
      </c>
      <c r="E1245" s="2" t="s">
        <v>3162</v>
      </c>
      <c r="F1245" s="2" t="s">
        <v>3888</v>
      </c>
      <c r="G1245" s="17">
        <v>8318</v>
      </c>
      <c r="H1245" s="96" t="s">
        <v>830</v>
      </c>
      <c r="I1245" s="2" t="s">
        <v>1748</v>
      </c>
      <c r="J1245" s="2"/>
      <c r="K1245" s="18">
        <v>44403</v>
      </c>
      <c r="L1245" s="18">
        <v>44403</v>
      </c>
      <c r="M1245" s="18">
        <v>44469</v>
      </c>
      <c r="N1245" s="1"/>
      <c r="O1245" s="19">
        <v>3500</v>
      </c>
      <c r="P1245" s="18">
        <v>44469</v>
      </c>
      <c r="Q1245" s="19"/>
      <c r="R1245" s="772"/>
      <c r="S1245" s="18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 spans="1:38" ht="12.75" customHeight="1">
      <c r="A1246" s="15">
        <v>1246</v>
      </c>
      <c r="B1246" s="736" t="s">
        <v>1555</v>
      </c>
      <c r="C1246" s="16" t="s">
        <v>1791</v>
      </c>
      <c r="D1246" s="20" t="s">
        <v>3087</v>
      </c>
      <c r="E1246" s="2" t="s">
        <v>3097</v>
      </c>
      <c r="F1246" s="2" t="s">
        <v>3888</v>
      </c>
      <c r="G1246" s="17">
        <v>8318</v>
      </c>
      <c r="H1246" s="96" t="s">
        <v>830</v>
      </c>
      <c r="I1246" s="2" t="s">
        <v>1792</v>
      </c>
      <c r="J1246" s="2"/>
      <c r="K1246" s="18">
        <v>44439</v>
      </c>
      <c r="L1246" s="18">
        <v>44439</v>
      </c>
      <c r="M1246" s="18">
        <v>44469</v>
      </c>
      <c r="N1246" s="1"/>
      <c r="O1246" s="19">
        <v>700</v>
      </c>
      <c r="P1246" s="18">
        <v>44469</v>
      </c>
      <c r="Q1246" s="19"/>
      <c r="R1246" s="772"/>
      <c r="S1246" s="18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 spans="1:38" ht="12.75" customHeight="1">
      <c r="A1247" s="15">
        <v>1247</v>
      </c>
      <c r="B1247" s="736" t="s">
        <v>1555</v>
      </c>
      <c r="C1247" s="16" t="s">
        <v>1743</v>
      </c>
      <c r="D1247" s="20" t="s">
        <v>3087</v>
      </c>
      <c r="E1247" s="2" t="s">
        <v>3162</v>
      </c>
      <c r="F1247" s="2" t="s">
        <v>3888</v>
      </c>
      <c r="G1247" s="17">
        <v>8316</v>
      </c>
      <c r="H1247" s="96" t="s">
        <v>830</v>
      </c>
      <c r="I1247" s="2" t="s">
        <v>1744</v>
      </c>
      <c r="J1247" s="2"/>
      <c r="K1247" s="18">
        <v>44386</v>
      </c>
      <c r="L1247" s="18">
        <v>44386</v>
      </c>
      <c r="M1247" s="18">
        <v>44413</v>
      </c>
      <c r="N1247" s="1"/>
      <c r="O1247" s="19">
        <v>2450</v>
      </c>
      <c r="P1247" s="18">
        <v>44413</v>
      </c>
      <c r="Q1247" s="19"/>
      <c r="R1247" s="772"/>
      <c r="S1247" s="18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 spans="1:38" ht="12.75" customHeight="1">
      <c r="A1248" s="15">
        <v>1248</v>
      </c>
      <c r="B1248" s="736" t="s">
        <v>1555</v>
      </c>
      <c r="C1248" s="16" t="s">
        <v>1717</v>
      </c>
      <c r="D1248" s="20" t="s">
        <v>3087</v>
      </c>
      <c r="E1248" s="2" t="s">
        <v>3162</v>
      </c>
      <c r="F1248" s="2" t="s">
        <v>3888</v>
      </c>
      <c r="G1248" s="17">
        <v>8305</v>
      </c>
      <c r="H1248" s="96" t="s">
        <v>830</v>
      </c>
      <c r="I1248" s="2" t="s">
        <v>1718</v>
      </c>
      <c r="J1248" s="2"/>
      <c r="K1248" s="18">
        <v>44378</v>
      </c>
      <c r="L1248" s="18">
        <v>44378</v>
      </c>
      <c r="M1248" s="18">
        <v>44530</v>
      </c>
      <c r="N1248" s="1"/>
      <c r="O1248" s="19">
        <v>3500</v>
      </c>
      <c r="P1248" s="18">
        <v>44530</v>
      </c>
      <c r="Q1248" s="19"/>
      <c r="R1248" s="772"/>
      <c r="S1248" s="18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 spans="1:38" ht="12.75" customHeight="1">
      <c r="A1249" s="15">
        <v>1249</v>
      </c>
      <c r="B1249" s="736" t="s">
        <v>1555</v>
      </c>
      <c r="C1249" s="16" t="s">
        <v>1713</v>
      </c>
      <c r="D1249" s="20" t="s">
        <v>3087</v>
      </c>
      <c r="E1249" s="2" t="s">
        <v>3162</v>
      </c>
      <c r="F1249" s="2" t="s">
        <v>3888</v>
      </c>
      <c r="G1249" s="17">
        <v>8303</v>
      </c>
      <c r="H1249" s="96" t="s">
        <v>830</v>
      </c>
      <c r="I1249" s="2" t="s">
        <v>1714</v>
      </c>
      <c r="J1249" s="2"/>
      <c r="K1249" s="18">
        <v>44368</v>
      </c>
      <c r="L1249" s="18">
        <v>44368</v>
      </c>
      <c r="M1249" s="18">
        <v>44439</v>
      </c>
      <c r="N1249" s="1"/>
      <c r="O1249" s="19">
        <v>2450</v>
      </c>
      <c r="P1249" s="18">
        <v>44439</v>
      </c>
      <c r="Q1249" s="19"/>
      <c r="R1249" s="772"/>
      <c r="S1249" s="18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 spans="1:38" ht="12.75" customHeight="1">
      <c r="A1250" s="15">
        <v>1250</v>
      </c>
      <c r="B1250" s="736" t="s">
        <v>1555</v>
      </c>
      <c r="C1250" s="16" t="s">
        <v>2224</v>
      </c>
      <c r="D1250" s="20" t="s">
        <v>3087</v>
      </c>
      <c r="E1250" s="2" t="s">
        <v>3097</v>
      </c>
      <c r="F1250" s="2" t="s">
        <v>3888</v>
      </c>
      <c r="G1250" s="17">
        <v>8303</v>
      </c>
      <c r="H1250" s="96" t="s">
        <v>830</v>
      </c>
      <c r="I1250" s="2" t="s">
        <v>2225</v>
      </c>
      <c r="J1250" s="2"/>
      <c r="K1250" s="18">
        <v>44764</v>
      </c>
      <c r="L1250" s="18">
        <v>44764</v>
      </c>
      <c r="M1250" s="18">
        <v>44865</v>
      </c>
      <c r="N1250" s="1"/>
      <c r="O1250" s="19">
        <v>3500</v>
      </c>
      <c r="P1250" s="18">
        <v>44865</v>
      </c>
      <c r="Q1250" s="19"/>
      <c r="R1250" s="772"/>
      <c r="S1250" s="18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 spans="1:38" ht="12.75" customHeight="1">
      <c r="A1251" s="15">
        <v>1251</v>
      </c>
      <c r="B1251" s="736" t="s">
        <v>1555</v>
      </c>
      <c r="C1251" s="16" t="s">
        <v>2310</v>
      </c>
      <c r="D1251" s="20" t="s">
        <v>3087</v>
      </c>
      <c r="E1251" s="2" t="s">
        <v>3097</v>
      </c>
      <c r="F1251" s="2" t="s">
        <v>3888</v>
      </c>
      <c r="G1251" s="17">
        <v>8303</v>
      </c>
      <c r="H1251" s="96" t="s">
        <v>830</v>
      </c>
      <c r="I1251" s="2" t="s">
        <v>2311</v>
      </c>
      <c r="J1251" s="2"/>
      <c r="K1251" s="18">
        <v>44806</v>
      </c>
      <c r="L1251" s="18">
        <v>44806</v>
      </c>
      <c r="M1251" s="18">
        <v>44926</v>
      </c>
      <c r="N1251" s="1"/>
      <c r="O1251" s="19">
        <v>1050</v>
      </c>
      <c r="P1251" s="18">
        <v>44926</v>
      </c>
      <c r="Q1251" s="19"/>
      <c r="R1251" s="772"/>
      <c r="S1251" s="18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 spans="1:38" ht="12.75" customHeight="1">
      <c r="A1252" s="15">
        <v>1252</v>
      </c>
      <c r="B1252" s="736" t="s">
        <v>1555</v>
      </c>
      <c r="C1252" s="16" t="s">
        <v>2044</v>
      </c>
      <c r="D1252" s="20" t="s">
        <v>3087</v>
      </c>
      <c r="E1252" s="2" t="s">
        <v>3097</v>
      </c>
      <c r="F1252" s="2" t="s">
        <v>3888</v>
      </c>
      <c r="G1252" s="17">
        <v>8298</v>
      </c>
      <c r="H1252" s="96" t="s">
        <v>830</v>
      </c>
      <c r="I1252" s="2" t="s">
        <v>2045</v>
      </c>
      <c r="J1252" s="2"/>
      <c r="K1252" s="18">
        <v>44659</v>
      </c>
      <c r="L1252" s="18">
        <v>44659</v>
      </c>
      <c r="M1252" s="18">
        <v>44773</v>
      </c>
      <c r="N1252" s="1"/>
      <c r="O1252" s="19">
        <v>2450</v>
      </c>
      <c r="P1252" s="18">
        <v>44773</v>
      </c>
      <c r="Q1252" s="19"/>
      <c r="R1252" s="772"/>
      <c r="S1252" s="18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 spans="1:38" ht="12.75" customHeight="1">
      <c r="A1253" s="15">
        <v>1253</v>
      </c>
      <c r="B1253" s="736" t="s">
        <v>1555</v>
      </c>
      <c r="C1253" s="16" t="s">
        <v>1697</v>
      </c>
      <c r="D1253" s="20" t="s">
        <v>3087</v>
      </c>
      <c r="E1253" s="2" t="s">
        <v>3162</v>
      </c>
      <c r="F1253" s="2" t="s">
        <v>3888</v>
      </c>
      <c r="G1253" s="17">
        <v>8298</v>
      </c>
      <c r="H1253" s="96" t="s">
        <v>830</v>
      </c>
      <c r="I1253" s="2" t="s">
        <v>1698</v>
      </c>
      <c r="J1253" s="2"/>
      <c r="K1253" s="18">
        <v>44369</v>
      </c>
      <c r="L1253" s="18">
        <v>44380</v>
      </c>
      <c r="M1253" s="18">
        <v>44400</v>
      </c>
      <c r="N1253" s="1"/>
      <c r="O1253" s="19">
        <v>2450</v>
      </c>
      <c r="P1253" s="18">
        <v>44400</v>
      </c>
      <c r="Q1253" s="19"/>
      <c r="R1253" s="772"/>
      <c r="S1253" s="18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 spans="1:38" ht="12.75" customHeight="1">
      <c r="A1254" s="15">
        <v>1254</v>
      </c>
      <c r="B1254" s="736" t="s">
        <v>1555</v>
      </c>
      <c r="C1254" s="16" t="s">
        <v>1872</v>
      </c>
      <c r="D1254" s="20" t="s">
        <v>3087</v>
      </c>
      <c r="E1254" s="2" t="s">
        <v>3162</v>
      </c>
      <c r="F1254" s="2" t="s">
        <v>3888</v>
      </c>
      <c r="G1254" s="17">
        <v>8298</v>
      </c>
      <c r="H1254" s="96" t="s">
        <v>830</v>
      </c>
      <c r="I1254" s="2" t="s">
        <v>1873</v>
      </c>
      <c r="J1254" s="2"/>
      <c r="K1254" s="18">
        <v>44509</v>
      </c>
      <c r="L1254" s="18">
        <v>44509</v>
      </c>
      <c r="M1254" s="18">
        <v>44561</v>
      </c>
      <c r="N1254" s="1"/>
      <c r="O1254" s="19">
        <v>3500</v>
      </c>
      <c r="P1254" s="18">
        <v>44561</v>
      </c>
      <c r="Q1254" s="19"/>
      <c r="R1254" s="772"/>
      <c r="S1254" s="18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 spans="1:38" ht="12.75" customHeight="1">
      <c r="A1255" s="15">
        <v>1255</v>
      </c>
      <c r="B1255" s="736" t="s">
        <v>1555</v>
      </c>
      <c r="C1255" s="16" t="s">
        <v>1695</v>
      </c>
      <c r="D1255" s="20" t="s">
        <v>3087</v>
      </c>
      <c r="E1255" s="2" t="s">
        <v>3162</v>
      </c>
      <c r="F1255" s="2" t="s">
        <v>3888</v>
      </c>
      <c r="G1255" s="17">
        <v>8297</v>
      </c>
      <c r="H1255" s="96" t="s">
        <v>830</v>
      </c>
      <c r="I1255" s="2" t="s">
        <v>1696</v>
      </c>
      <c r="J1255" s="2"/>
      <c r="K1255" s="18">
        <v>44368</v>
      </c>
      <c r="L1255" s="18">
        <v>44371</v>
      </c>
      <c r="M1255" s="18">
        <v>44493</v>
      </c>
      <c r="N1255" s="1"/>
      <c r="O1255" s="19">
        <v>5600</v>
      </c>
      <c r="P1255" s="18">
        <v>44493</v>
      </c>
      <c r="Q1255" s="19"/>
      <c r="R1255" s="772"/>
      <c r="S1255" s="18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 spans="1:38" ht="12.75" customHeight="1">
      <c r="A1256" s="15">
        <v>1256</v>
      </c>
      <c r="B1256" s="736" t="s">
        <v>1555</v>
      </c>
      <c r="C1256" s="16" t="s">
        <v>1663</v>
      </c>
      <c r="D1256" s="20" t="s">
        <v>3087</v>
      </c>
      <c r="E1256" s="2" t="s">
        <v>3162</v>
      </c>
      <c r="F1256" s="2" t="s">
        <v>3888</v>
      </c>
      <c r="G1256" s="17">
        <v>8288</v>
      </c>
      <c r="H1256" s="96" t="s">
        <v>830</v>
      </c>
      <c r="I1256" s="2" t="s">
        <v>1664</v>
      </c>
      <c r="J1256" s="2"/>
      <c r="K1256" s="18">
        <v>44350</v>
      </c>
      <c r="L1256" s="18">
        <v>44378</v>
      </c>
      <c r="M1256" s="18">
        <v>44414</v>
      </c>
      <c r="N1256" s="1"/>
      <c r="O1256" s="19">
        <v>2450</v>
      </c>
      <c r="P1256" s="18">
        <v>44414</v>
      </c>
      <c r="Q1256" s="19"/>
      <c r="R1256" s="772"/>
      <c r="S1256" s="18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 spans="1:38" ht="12.75" customHeight="1">
      <c r="A1257" s="15">
        <v>1257</v>
      </c>
      <c r="B1257" s="736" t="s">
        <v>1555</v>
      </c>
      <c r="C1257" s="16" t="s">
        <v>1860</v>
      </c>
      <c r="D1257" s="20" t="s">
        <v>3087</v>
      </c>
      <c r="E1257" s="2" t="s">
        <v>3097</v>
      </c>
      <c r="F1257" s="2" t="s">
        <v>3888</v>
      </c>
      <c r="G1257" s="17">
        <v>8288</v>
      </c>
      <c r="H1257" s="96" t="s">
        <v>830</v>
      </c>
      <c r="I1257" s="2" t="s">
        <v>1861</v>
      </c>
      <c r="J1257" s="2"/>
      <c r="K1257" s="18">
        <v>44501</v>
      </c>
      <c r="L1257" s="18">
        <v>44550</v>
      </c>
      <c r="M1257" s="18">
        <v>44773</v>
      </c>
      <c r="N1257" s="1"/>
      <c r="O1257" s="19">
        <v>2450</v>
      </c>
      <c r="P1257" s="18">
        <v>44773</v>
      </c>
      <c r="Q1257" s="19"/>
      <c r="R1257" s="772"/>
      <c r="S1257" s="18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 spans="1:38" ht="12.75" customHeight="1">
      <c r="A1258" s="15">
        <v>1258</v>
      </c>
      <c r="B1258" s="736" t="s">
        <v>1555</v>
      </c>
      <c r="C1258" s="16" t="s">
        <v>2249</v>
      </c>
      <c r="D1258" s="20" t="s">
        <v>3087</v>
      </c>
      <c r="E1258" s="2" t="s">
        <v>3097</v>
      </c>
      <c r="F1258" s="2" t="s">
        <v>3888</v>
      </c>
      <c r="G1258" s="17">
        <v>8288</v>
      </c>
      <c r="H1258" s="96" t="s">
        <v>830</v>
      </c>
      <c r="I1258" s="2" t="s">
        <v>2250</v>
      </c>
      <c r="J1258" s="2"/>
      <c r="K1258" s="18">
        <v>44769</v>
      </c>
      <c r="L1258" s="18">
        <v>44769</v>
      </c>
      <c r="M1258" s="18">
        <v>44926</v>
      </c>
      <c r="N1258" s="1"/>
      <c r="O1258" s="19">
        <v>1750</v>
      </c>
      <c r="P1258" s="18">
        <v>44926</v>
      </c>
      <c r="Q1258" s="19"/>
      <c r="R1258" s="772"/>
      <c r="S1258" s="18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 spans="1:38" ht="12.75" customHeight="1">
      <c r="A1259" s="15">
        <v>1259</v>
      </c>
      <c r="B1259" s="736" t="s">
        <v>1555</v>
      </c>
      <c r="C1259" s="16" t="s">
        <v>2251</v>
      </c>
      <c r="D1259" s="20" t="s">
        <v>3087</v>
      </c>
      <c r="E1259" s="2" t="s">
        <v>3097</v>
      </c>
      <c r="F1259" s="2" t="s">
        <v>3888</v>
      </c>
      <c r="G1259" s="17">
        <v>8288</v>
      </c>
      <c r="H1259" s="96" t="s">
        <v>830</v>
      </c>
      <c r="I1259" s="2" t="s">
        <v>2252</v>
      </c>
      <c r="J1259" s="2"/>
      <c r="K1259" s="18">
        <v>44769</v>
      </c>
      <c r="L1259" s="18">
        <v>44769</v>
      </c>
      <c r="M1259" s="18">
        <v>44926</v>
      </c>
      <c r="N1259" s="1"/>
      <c r="O1259" s="19">
        <v>1050</v>
      </c>
      <c r="P1259" s="18">
        <v>44926</v>
      </c>
      <c r="Q1259" s="19"/>
      <c r="R1259" s="772"/>
      <c r="S1259" s="18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 spans="1:38" ht="12.75" customHeight="1">
      <c r="A1260" s="15">
        <v>1260</v>
      </c>
      <c r="B1260" s="736" t="s">
        <v>1555</v>
      </c>
      <c r="C1260" s="16" t="s">
        <v>2466</v>
      </c>
      <c r="D1260" s="20" t="s">
        <v>3087</v>
      </c>
      <c r="E1260" s="2" t="s">
        <v>3097</v>
      </c>
      <c r="F1260" s="2" t="s">
        <v>3888</v>
      </c>
      <c r="G1260" s="17">
        <v>8288</v>
      </c>
      <c r="H1260" s="96" t="s">
        <v>830</v>
      </c>
      <c r="I1260" s="2" t="s">
        <v>2467</v>
      </c>
      <c r="J1260" s="2"/>
      <c r="K1260" s="18">
        <v>44887</v>
      </c>
      <c r="L1260" s="18">
        <v>44887</v>
      </c>
      <c r="M1260" s="18">
        <v>45016</v>
      </c>
      <c r="N1260" s="1"/>
      <c r="O1260" s="19">
        <v>3500</v>
      </c>
      <c r="P1260" s="18">
        <v>45016</v>
      </c>
      <c r="Q1260" s="19"/>
      <c r="R1260" s="772"/>
      <c r="S1260" s="18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 spans="1:38" ht="12.75" customHeight="1">
      <c r="A1261" s="15">
        <v>1261</v>
      </c>
      <c r="B1261" s="736" t="s">
        <v>1555</v>
      </c>
      <c r="C1261" s="16" t="s">
        <v>1661</v>
      </c>
      <c r="D1261" s="20" t="s">
        <v>3087</v>
      </c>
      <c r="E1261" s="2" t="s">
        <v>3162</v>
      </c>
      <c r="F1261" s="2" t="s">
        <v>3888</v>
      </c>
      <c r="G1261" s="17">
        <v>8287</v>
      </c>
      <c r="H1261" s="96" t="s">
        <v>830</v>
      </c>
      <c r="I1261" s="2" t="s">
        <v>1662</v>
      </c>
      <c r="J1261" s="2"/>
      <c r="K1261" s="18">
        <v>44357</v>
      </c>
      <c r="L1261" s="18">
        <v>44357</v>
      </c>
      <c r="M1261" s="18">
        <v>44375</v>
      </c>
      <c r="N1261" s="1"/>
      <c r="O1261" s="19">
        <v>2450</v>
      </c>
      <c r="P1261" s="18">
        <v>44375</v>
      </c>
      <c r="Q1261" s="19"/>
      <c r="R1261" s="772"/>
      <c r="S1261" s="18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 spans="1:38" ht="12.75" customHeight="1">
      <c r="A1262" s="15">
        <v>1262</v>
      </c>
      <c r="B1262" s="736" t="s">
        <v>1555</v>
      </c>
      <c r="C1262" s="16" t="s">
        <v>2092</v>
      </c>
      <c r="D1262" s="20" t="s">
        <v>3087</v>
      </c>
      <c r="E1262" s="2" t="s">
        <v>3097</v>
      </c>
      <c r="F1262" s="2" t="s">
        <v>3888</v>
      </c>
      <c r="G1262" s="17">
        <v>8287</v>
      </c>
      <c r="H1262" s="96" t="s">
        <v>830</v>
      </c>
      <c r="I1262" s="2" t="s">
        <v>2093</v>
      </c>
      <c r="J1262" s="2"/>
      <c r="K1262" s="18">
        <v>44683</v>
      </c>
      <c r="L1262" s="18">
        <v>44683</v>
      </c>
      <c r="M1262" s="18">
        <v>44804</v>
      </c>
      <c r="N1262" s="1"/>
      <c r="O1262" s="19">
        <v>2800</v>
      </c>
      <c r="P1262" s="18">
        <v>44804</v>
      </c>
      <c r="Q1262" s="19"/>
      <c r="R1262" s="772"/>
      <c r="S1262" s="18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 spans="1:38" ht="12.75" customHeight="1">
      <c r="A1263" s="15">
        <v>1263</v>
      </c>
      <c r="B1263" s="736" t="s">
        <v>1555</v>
      </c>
      <c r="C1263" s="16" t="s">
        <v>1645</v>
      </c>
      <c r="D1263" s="20" t="s">
        <v>3087</v>
      </c>
      <c r="E1263" s="2" t="s">
        <v>3162</v>
      </c>
      <c r="F1263" s="2" t="s">
        <v>3888</v>
      </c>
      <c r="G1263" s="17">
        <v>8285</v>
      </c>
      <c r="H1263" s="96" t="s">
        <v>830</v>
      </c>
      <c r="I1263" s="2" t="s">
        <v>1646</v>
      </c>
      <c r="J1263" s="2"/>
      <c r="K1263" s="18">
        <v>44317</v>
      </c>
      <c r="L1263" s="18">
        <v>44317</v>
      </c>
      <c r="M1263" s="18">
        <v>44439</v>
      </c>
      <c r="N1263" s="1"/>
      <c r="O1263" s="19">
        <v>3500</v>
      </c>
      <c r="P1263" s="18">
        <v>44439</v>
      </c>
      <c r="Q1263" s="19"/>
      <c r="R1263" s="772"/>
      <c r="S1263" s="18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 spans="1:38" ht="12.75" customHeight="1">
      <c r="A1264" s="15">
        <v>1264</v>
      </c>
      <c r="B1264" s="736" t="s">
        <v>1555</v>
      </c>
      <c r="C1264" s="16" t="s">
        <v>1870</v>
      </c>
      <c r="D1264" s="20" t="s">
        <v>3087</v>
      </c>
      <c r="E1264" s="2" t="s">
        <v>3162</v>
      </c>
      <c r="F1264" s="2" t="s">
        <v>3888</v>
      </c>
      <c r="G1264" s="17">
        <v>8285</v>
      </c>
      <c r="H1264" s="96" t="s">
        <v>830</v>
      </c>
      <c r="I1264" s="2" t="s">
        <v>1871</v>
      </c>
      <c r="J1264" s="2"/>
      <c r="K1264" s="18">
        <v>44502</v>
      </c>
      <c r="L1264" s="18">
        <v>44502</v>
      </c>
      <c r="M1264" s="18">
        <v>44530</v>
      </c>
      <c r="N1264" s="1"/>
      <c r="O1264" s="19">
        <v>1750</v>
      </c>
      <c r="P1264" s="18">
        <v>44530</v>
      </c>
      <c r="Q1264" s="19"/>
      <c r="R1264" s="772"/>
      <c r="S1264" s="18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 spans="1:38" ht="12.75" customHeight="1">
      <c r="A1265" s="15">
        <v>1265</v>
      </c>
      <c r="B1265" s="736" t="s">
        <v>1555</v>
      </c>
      <c r="C1265" s="16" t="s">
        <v>1643</v>
      </c>
      <c r="D1265" s="20" t="s">
        <v>3087</v>
      </c>
      <c r="E1265" s="2" t="s">
        <v>3162</v>
      </c>
      <c r="F1265" s="2" t="s">
        <v>3888</v>
      </c>
      <c r="G1265" s="17">
        <v>8284</v>
      </c>
      <c r="H1265" s="96" t="s">
        <v>830</v>
      </c>
      <c r="I1265" s="2" t="s">
        <v>1644</v>
      </c>
      <c r="J1265" s="2"/>
      <c r="K1265" s="18">
        <v>44348</v>
      </c>
      <c r="L1265" s="18">
        <v>44348</v>
      </c>
      <c r="M1265" s="18">
        <v>44363</v>
      </c>
      <c r="N1265" s="1"/>
      <c r="O1265" s="19">
        <v>2450</v>
      </c>
      <c r="P1265" s="18">
        <v>44363</v>
      </c>
      <c r="Q1265" s="19"/>
      <c r="R1265" s="772"/>
      <c r="S1265" s="18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 spans="1:38" ht="12.75" customHeight="1">
      <c r="A1266" s="15">
        <v>1266</v>
      </c>
      <c r="B1266" s="736" t="s">
        <v>1555</v>
      </c>
      <c r="C1266" s="16" t="s">
        <v>1838</v>
      </c>
      <c r="D1266" s="20" t="s">
        <v>3087</v>
      </c>
      <c r="E1266" s="2" t="s">
        <v>3097</v>
      </c>
      <c r="F1266" s="2" t="s">
        <v>3888</v>
      </c>
      <c r="G1266" s="17">
        <v>8284</v>
      </c>
      <c r="H1266" s="96" t="s">
        <v>830</v>
      </c>
      <c r="I1266" s="2" t="s">
        <v>1839</v>
      </c>
      <c r="J1266" s="2"/>
      <c r="K1266" s="18">
        <v>44470</v>
      </c>
      <c r="L1266" s="18">
        <v>44470</v>
      </c>
      <c r="M1266" s="18">
        <v>44500</v>
      </c>
      <c r="N1266" s="1"/>
      <c r="O1266" s="19">
        <v>2450</v>
      </c>
      <c r="P1266" s="18">
        <v>44500</v>
      </c>
      <c r="Q1266" s="19"/>
      <c r="R1266" s="772"/>
      <c r="S1266" s="18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 spans="1:38" ht="12.75" customHeight="1">
      <c r="A1267" s="15">
        <v>1267</v>
      </c>
      <c r="B1267" s="736" t="s">
        <v>1555</v>
      </c>
      <c r="C1267" s="16" t="s">
        <v>2511</v>
      </c>
      <c r="D1267" s="20" t="s">
        <v>3087</v>
      </c>
      <c r="E1267" s="2" t="s">
        <v>3097</v>
      </c>
      <c r="F1267" s="2" t="s">
        <v>3888</v>
      </c>
      <c r="G1267" s="17">
        <v>8284</v>
      </c>
      <c r="H1267" s="96" t="s">
        <v>830</v>
      </c>
      <c r="I1267" s="2" t="s">
        <v>2512</v>
      </c>
      <c r="J1267" s="2"/>
      <c r="K1267" s="18">
        <v>44902</v>
      </c>
      <c r="L1267" s="18">
        <v>44902</v>
      </c>
      <c r="M1267" s="18">
        <v>45016</v>
      </c>
      <c r="N1267" s="1"/>
      <c r="O1267" s="19">
        <v>1400</v>
      </c>
      <c r="P1267" s="18">
        <v>45016</v>
      </c>
      <c r="Q1267" s="19"/>
      <c r="R1267" s="772"/>
      <c r="S1267" s="18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 spans="1:38" ht="12.75" customHeight="1">
      <c r="A1268" s="15">
        <v>1268</v>
      </c>
      <c r="B1268" s="736" t="s">
        <v>1555</v>
      </c>
      <c r="C1268" s="16" t="s">
        <v>2513</v>
      </c>
      <c r="D1268" s="20" t="s">
        <v>3087</v>
      </c>
      <c r="E1268" s="2" t="s">
        <v>3097</v>
      </c>
      <c r="F1268" s="2" t="s">
        <v>3888</v>
      </c>
      <c r="G1268" s="17">
        <v>8284</v>
      </c>
      <c r="H1268" s="96" t="s">
        <v>830</v>
      </c>
      <c r="I1268" s="2" t="s">
        <v>2514</v>
      </c>
      <c r="J1268" s="2"/>
      <c r="K1268" s="18">
        <v>44902</v>
      </c>
      <c r="L1268" s="18">
        <v>44902</v>
      </c>
      <c r="M1268" s="18">
        <v>45016</v>
      </c>
      <c r="N1268" s="1"/>
      <c r="O1268" s="19">
        <v>1050</v>
      </c>
      <c r="P1268" s="18">
        <v>45016</v>
      </c>
      <c r="Q1268" s="19"/>
      <c r="R1268" s="772"/>
      <c r="S1268" s="18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 spans="1:38" ht="12.75" customHeight="1">
      <c r="A1269" s="15">
        <v>1269</v>
      </c>
      <c r="B1269" s="736" t="s">
        <v>1555</v>
      </c>
      <c r="C1269" s="16" t="s">
        <v>1749</v>
      </c>
      <c r="D1269" s="20" t="s">
        <v>3087</v>
      </c>
      <c r="E1269" s="2" t="s">
        <v>3162</v>
      </c>
      <c r="F1269" s="2" t="s">
        <v>3888</v>
      </c>
      <c r="G1269" s="17">
        <v>8052</v>
      </c>
      <c r="H1269" s="96" t="s">
        <v>830</v>
      </c>
      <c r="I1269" s="2" t="s">
        <v>1750</v>
      </c>
      <c r="J1269" s="2"/>
      <c r="K1269" s="18">
        <v>44390</v>
      </c>
      <c r="L1269" s="18">
        <v>44390</v>
      </c>
      <c r="M1269" s="18">
        <v>44439</v>
      </c>
      <c r="N1269" s="1"/>
      <c r="O1269" s="19">
        <v>5600</v>
      </c>
      <c r="P1269" s="18">
        <v>44439</v>
      </c>
      <c r="Q1269" s="19"/>
      <c r="R1269" s="772"/>
      <c r="S1269" s="18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 spans="1:38" ht="12.75" customHeight="1">
      <c r="A1270" s="15">
        <v>1270</v>
      </c>
      <c r="B1270" s="736" t="s">
        <v>1555</v>
      </c>
      <c r="C1270" s="16" t="s">
        <v>2292</v>
      </c>
      <c r="D1270" s="20" t="s">
        <v>3087</v>
      </c>
      <c r="E1270" s="2" t="s">
        <v>3093</v>
      </c>
      <c r="F1270" s="2" t="s">
        <v>3888</v>
      </c>
      <c r="G1270" s="17">
        <v>8050</v>
      </c>
      <c r="H1270" s="96" t="s">
        <v>510</v>
      </c>
      <c r="I1270" s="2" t="s">
        <v>2293</v>
      </c>
      <c r="J1270" s="2"/>
      <c r="K1270" s="18">
        <v>44809</v>
      </c>
      <c r="L1270" s="18">
        <v>44809</v>
      </c>
      <c r="M1270" s="18">
        <v>44895</v>
      </c>
      <c r="N1270" s="1"/>
      <c r="O1270" s="19"/>
      <c r="P1270" s="18">
        <v>44895</v>
      </c>
      <c r="Q1270" s="19"/>
      <c r="R1270" s="772"/>
      <c r="S1270" s="18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 spans="1:38" ht="12.75" customHeight="1">
      <c r="A1271" s="15">
        <v>1271</v>
      </c>
      <c r="B1271" s="736" t="s">
        <v>1555</v>
      </c>
      <c r="C1271" s="16" t="s">
        <v>2887</v>
      </c>
      <c r="D1271" s="20" t="s">
        <v>3087</v>
      </c>
      <c r="E1271" s="2" t="s">
        <v>3093</v>
      </c>
      <c r="F1271" s="2" t="s">
        <v>3888</v>
      </c>
      <c r="G1271" s="17">
        <v>8050</v>
      </c>
      <c r="H1271" s="96" t="s">
        <v>510</v>
      </c>
      <c r="I1271" s="2" t="s">
        <v>2888</v>
      </c>
      <c r="J1271" s="2"/>
      <c r="K1271" s="18">
        <v>45124</v>
      </c>
      <c r="L1271" s="18">
        <v>45124</v>
      </c>
      <c r="M1271" s="18">
        <v>45230</v>
      </c>
      <c r="N1271" s="1"/>
      <c r="O1271" s="19"/>
      <c r="P1271" s="18">
        <v>45230</v>
      </c>
      <c r="Q1271" s="19"/>
      <c r="R1271" s="772"/>
      <c r="S1271" s="18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 spans="1:38" ht="12.75" customHeight="1">
      <c r="A1272" s="15">
        <v>1272</v>
      </c>
      <c r="B1272" s="736" t="s">
        <v>1555</v>
      </c>
      <c r="C1272" s="16" t="s">
        <v>1759</v>
      </c>
      <c r="D1272" s="20" t="s">
        <v>3087</v>
      </c>
      <c r="E1272" s="2" t="s">
        <v>3097</v>
      </c>
      <c r="F1272" s="2" t="s">
        <v>3888</v>
      </c>
      <c r="G1272" s="17">
        <v>7644</v>
      </c>
      <c r="H1272" s="96" t="s">
        <v>830</v>
      </c>
      <c r="I1272" s="2" t="s">
        <v>1760</v>
      </c>
      <c r="J1272" s="2"/>
      <c r="K1272" s="18">
        <v>44407</v>
      </c>
      <c r="L1272" s="18">
        <v>44407</v>
      </c>
      <c r="M1272" s="18">
        <v>44439</v>
      </c>
      <c r="N1272" s="1"/>
      <c r="O1272" s="19">
        <v>2450</v>
      </c>
      <c r="P1272" s="18">
        <v>44439</v>
      </c>
      <c r="Q1272" s="19"/>
      <c r="R1272" s="772"/>
      <c r="S1272" s="18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 spans="1:38" ht="12.75" customHeight="1">
      <c r="A1273" s="15">
        <v>1273</v>
      </c>
      <c r="B1273" s="736" t="s">
        <v>1555</v>
      </c>
      <c r="C1273" s="16" t="s">
        <v>1699</v>
      </c>
      <c r="D1273" s="20" t="s">
        <v>3087</v>
      </c>
      <c r="E1273" s="2" t="s">
        <v>3162</v>
      </c>
      <c r="F1273" s="2" t="s">
        <v>3888</v>
      </c>
      <c r="G1273" s="17">
        <v>7402</v>
      </c>
      <c r="H1273" s="96" t="s">
        <v>830</v>
      </c>
      <c r="I1273" s="2" t="s">
        <v>1700</v>
      </c>
      <c r="J1273" s="2"/>
      <c r="K1273" s="18">
        <v>44364</v>
      </c>
      <c r="L1273" s="18">
        <v>44440</v>
      </c>
      <c r="M1273" s="18">
        <v>44561</v>
      </c>
      <c r="N1273" s="1"/>
      <c r="O1273" s="19">
        <v>1750</v>
      </c>
      <c r="P1273" s="18">
        <v>44561</v>
      </c>
      <c r="Q1273" s="19"/>
      <c r="R1273" s="772"/>
      <c r="S1273" s="18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 spans="1:38" ht="12.75" customHeight="1">
      <c r="A1274" s="15">
        <v>1274</v>
      </c>
      <c r="B1274" s="736" t="s">
        <v>1555</v>
      </c>
      <c r="C1274" s="16" t="s">
        <v>1844</v>
      </c>
      <c r="D1274" s="20" t="s">
        <v>3087</v>
      </c>
      <c r="E1274" s="2" t="s">
        <v>3097</v>
      </c>
      <c r="F1274" s="2" t="s">
        <v>3888</v>
      </c>
      <c r="G1274" s="17">
        <v>7385</v>
      </c>
      <c r="H1274" s="96" t="s">
        <v>830</v>
      </c>
      <c r="I1274" s="2" t="s">
        <v>1845</v>
      </c>
      <c r="J1274" s="2"/>
      <c r="K1274" s="18">
        <v>44460</v>
      </c>
      <c r="L1274" s="18">
        <v>44460</v>
      </c>
      <c r="M1274" s="18">
        <v>44561</v>
      </c>
      <c r="N1274" s="1"/>
      <c r="O1274" s="19">
        <v>3850</v>
      </c>
      <c r="P1274" s="18">
        <v>44561</v>
      </c>
      <c r="Q1274" s="19"/>
      <c r="R1274" s="772"/>
      <c r="S1274" s="18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 spans="1:38" ht="12.75" customHeight="1">
      <c r="A1275" s="15">
        <v>1275</v>
      </c>
      <c r="B1275" s="738" t="s">
        <v>3086</v>
      </c>
      <c r="C1275" s="16" t="s">
        <v>1450</v>
      </c>
      <c r="D1275" s="21" t="s">
        <v>3116</v>
      </c>
      <c r="E1275" s="2" t="s">
        <v>3166</v>
      </c>
      <c r="F1275" s="3" t="s">
        <v>3890</v>
      </c>
      <c r="G1275" s="17">
        <v>7064</v>
      </c>
      <c r="H1275" s="2" t="s">
        <v>1451</v>
      </c>
      <c r="I1275" s="2" t="s">
        <v>1452</v>
      </c>
      <c r="J1275" s="2" t="s">
        <v>1453</v>
      </c>
      <c r="K1275" s="18">
        <v>42334</v>
      </c>
      <c r="L1275" s="18">
        <v>42334</v>
      </c>
      <c r="M1275" s="18">
        <v>2958465</v>
      </c>
      <c r="N1275" s="1"/>
      <c r="O1275" s="19">
        <v>0</v>
      </c>
      <c r="P1275" s="18">
        <v>2958465</v>
      </c>
      <c r="Q1275" s="19"/>
      <c r="R1275" s="773"/>
      <c r="S1275" s="18"/>
      <c r="T1275" s="2"/>
      <c r="U1275" s="3">
        <v>3</v>
      </c>
      <c r="V1275" s="2" t="s">
        <v>4625</v>
      </c>
      <c r="W1275" s="2" t="s">
        <v>4625</v>
      </c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 spans="1:38" ht="12.75" customHeight="1">
      <c r="A1276" s="15">
        <v>1276</v>
      </c>
      <c r="B1276" s="736" t="s">
        <v>3086</v>
      </c>
      <c r="C1276" s="16" t="s">
        <v>691</v>
      </c>
      <c r="D1276" s="21" t="s">
        <v>3116</v>
      </c>
      <c r="E1276" s="2" t="s">
        <v>3891</v>
      </c>
      <c r="F1276" s="3" t="s">
        <v>3890</v>
      </c>
      <c r="G1276" s="17">
        <v>7064</v>
      </c>
      <c r="H1276" s="2" t="s">
        <v>186</v>
      </c>
      <c r="I1276" s="2" t="s">
        <v>692</v>
      </c>
      <c r="J1276" s="2"/>
      <c r="K1276" s="18">
        <v>45041</v>
      </c>
      <c r="L1276" s="18">
        <v>45041</v>
      </c>
      <c r="M1276" s="18">
        <v>2958465</v>
      </c>
      <c r="N1276" s="1"/>
      <c r="O1276" s="19">
        <v>0</v>
      </c>
      <c r="P1276" s="18">
        <v>2958465</v>
      </c>
      <c r="Q1276" s="19"/>
      <c r="R1276" s="772"/>
      <c r="S1276" s="18"/>
      <c r="T1276" s="2"/>
      <c r="U1276" s="3">
        <v>3</v>
      </c>
      <c r="V1276" s="2" t="s">
        <v>4625</v>
      </c>
      <c r="W1276" s="2" t="s">
        <v>4625</v>
      </c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 spans="1:38" ht="12.75" customHeight="1">
      <c r="A1277" s="15">
        <v>1277</v>
      </c>
      <c r="B1277" s="736" t="s">
        <v>1555</v>
      </c>
      <c r="C1277" s="16" t="s">
        <v>562</v>
      </c>
      <c r="D1277" s="2" t="s">
        <v>3110</v>
      </c>
      <c r="E1277" s="2" t="s">
        <v>3088</v>
      </c>
      <c r="F1277" s="3" t="s">
        <v>3890</v>
      </c>
      <c r="G1277" s="17">
        <v>7064</v>
      </c>
      <c r="H1277" s="2" t="s">
        <v>48</v>
      </c>
      <c r="I1277" s="2" t="s">
        <v>563</v>
      </c>
      <c r="J1277" s="2"/>
      <c r="K1277" s="18">
        <v>44911</v>
      </c>
      <c r="L1277" s="18">
        <v>44911</v>
      </c>
      <c r="M1277" s="18">
        <v>45626</v>
      </c>
      <c r="N1277" s="1">
        <v>6</v>
      </c>
      <c r="O1277" s="19">
        <v>0</v>
      </c>
      <c r="P1277" s="18">
        <v>45626</v>
      </c>
      <c r="Q1277" s="19"/>
      <c r="R1277" s="772"/>
      <c r="S1277" s="18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 spans="1:38" ht="12.75" customHeight="1">
      <c r="A1278" s="15">
        <v>1278</v>
      </c>
      <c r="B1278" s="736" t="s">
        <v>1555</v>
      </c>
      <c r="C1278" s="16" t="s">
        <v>1885</v>
      </c>
      <c r="D1278" s="15" t="s">
        <v>3116</v>
      </c>
      <c r="E1278" s="2" t="s">
        <v>3166</v>
      </c>
      <c r="F1278" s="3" t="s">
        <v>3890</v>
      </c>
      <c r="G1278" s="17">
        <v>7064</v>
      </c>
      <c r="H1278" s="2" t="s">
        <v>1884</v>
      </c>
      <c r="I1278" s="2" t="s">
        <v>1886</v>
      </c>
      <c r="J1278" s="2"/>
      <c r="K1278" s="18">
        <v>44531</v>
      </c>
      <c r="L1278" s="18">
        <v>44531</v>
      </c>
      <c r="M1278" s="18">
        <v>44926</v>
      </c>
      <c r="N1278" s="1"/>
      <c r="O1278" s="19"/>
      <c r="P1278" s="18">
        <v>44926</v>
      </c>
      <c r="Q1278" s="19"/>
      <c r="R1278" s="772"/>
      <c r="S1278" s="18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 spans="1:38" ht="12.75" customHeight="1">
      <c r="A1279" s="15">
        <v>1279</v>
      </c>
      <c r="B1279" s="736" t="s">
        <v>3086</v>
      </c>
      <c r="C1279" s="16" t="s">
        <v>26</v>
      </c>
      <c r="D1279" s="2" t="s">
        <v>3127</v>
      </c>
      <c r="E1279" s="2" t="s">
        <v>3128</v>
      </c>
      <c r="F1279" t="s">
        <v>3089</v>
      </c>
      <c r="G1279" s="17">
        <v>7040</v>
      </c>
      <c r="H1279" s="2" t="s">
        <v>48</v>
      </c>
      <c r="I1279" s="2" t="s">
        <v>27</v>
      </c>
      <c r="J1279" s="2" t="s">
        <v>28</v>
      </c>
      <c r="K1279" s="18">
        <v>42802</v>
      </c>
      <c r="L1279" s="18">
        <v>42802</v>
      </c>
      <c r="M1279" s="18">
        <v>46453</v>
      </c>
      <c r="N1279" s="1"/>
      <c r="O1279" s="19">
        <v>196625</v>
      </c>
      <c r="P1279" s="18">
        <v>46453</v>
      </c>
      <c r="Q1279" s="19">
        <v>196625</v>
      </c>
      <c r="R1279" s="772" t="s">
        <v>29</v>
      </c>
      <c r="S1279" s="18">
        <v>42802</v>
      </c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 spans="1:38" ht="12.75" customHeight="1">
      <c r="A1280" s="15">
        <v>1280</v>
      </c>
      <c r="B1280" s="736" t="s">
        <v>3086</v>
      </c>
      <c r="C1280" s="16" t="s">
        <v>1335</v>
      </c>
      <c r="D1280" s="2" t="s">
        <v>3127</v>
      </c>
      <c r="E1280" s="2" t="s">
        <v>3128</v>
      </c>
      <c r="F1280" t="s">
        <v>3089</v>
      </c>
      <c r="G1280" s="17">
        <v>7040</v>
      </c>
      <c r="H1280" s="2" t="s">
        <v>48</v>
      </c>
      <c r="I1280" s="2" t="s">
        <v>1336</v>
      </c>
      <c r="J1280" s="2" t="s">
        <v>1311</v>
      </c>
      <c r="K1280" s="18">
        <v>41795</v>
      </c>
      <c r="L1280" s="18">
        <v>41795</v>
      </c>
      <c r="M1280" s="18">
        <v>46542</v>
      </c>
      <c r="N1280" s="1"/>
      <c r="O1280" s="19">
        <v>0</v>
      </c>
      <c r="P1280" s="18">
        <v>46542</v>
      </c>
      <c r="Q1280" s="19"/>
      <c r="R1280" s="772"/>
      <c r="S1280" s="18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 spans="1:38" ht="12.75" customHeight="1">
      <c r="A1281" s="15">
        <v>1281</v>
      </c>
      <c r="B1281" s="736" t="s">
        <v>3086</v>
      </c>
      <c r="C1281" s="16" t="s">
        <v>1403</v>
      </c>
      <c r="D1281" s="2" t="s">
        <v>3127</v>
      </c>
      <c r="E1281" s="2" t="s">
        <v>3128</v>
      </c>
      <c r="F1281" t="s">
        <v>3089</v>
      </c>
      <c r="G1281" s="17">
        <v>7040</v>
      </c>
      <c r="H1281" s="2" t="s">
        <v>48</v>
      </c>
      <c r="I1281" s="2" t="s">
        <v>1404</v>
      </c>
      <c r="J1281" s="2" t="s">
        <v>1405</v>
      </c>
      <c r="K1281" s="18">
        <v>42110</v>
      </c>
      <c r="L1281" s="18">
        <v>42110</v>
      </c>
      <c r="M1281" s="18">
        <v>46492</v>
      </c>
      <c r="N1281" s="1"/>
      <c r="O1281" s="19">
        <v>240785</v>
      </c>
      <c r="P1281" s="18">
        <v>46492</v>
      </c>
      <c r="Q1281" s="19">
        <v>240785</v>
      </c>
      <c r="R1281" s="772" t="s">
        <v>1406</v>
      </c>
      <c r="S1281" s="18">
        <v>42818</v>
      </c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 spans="1:38" ht="12.75" customHeight="1">
      <c r="A1282" s="15">
        <v>1282</v>
      </c>
      <c r="B1282" s="736" t="s">
        <v>3086</v>
      </c>
      <c r="C1282" s="16" t="s">
        <v>1407</v>
      </c>
      <c r="D1282" s="2" t="s">
        <v>3127</v>
      </c>
      <c r="E1282" s="2" t="s">
        <v>3128</v>
      </c>
      <c r="F1282" t="s">
        <v>3089</v>
      </c>
      <c r="G1282" s="17">
        <v>7040</v>
      </c>
      <c r="H1282" s="2" t="s">
        <v>48</v>
      </c>
      <c r="I1282" s="2" t="s">
        <v>1408</v>
      </c>
      <c r="J1282" s="2" t="s">
        <v>1409</v>
      </c>
      <c r="K1282" s="18">
        <v>42149</v>
      </c>
      <c r="L1282" s="18">
        <v>42149</v>
      </c>
      <c r="M1282" s="18">
        <v>46531</v>
      </c>
      <c r="N1282" s="1"/>
      <c r="O1282" s="19">
        <v>0</v>
      </c>
      <c r="P1282" s="18">
        <v>46531</v>
      </c>
      <c r="Q1282" s="19"/>
      <c r="R1282" s="772"/>
      <c r="S1282" s="18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 spans="1:38" ht="12.75" customHeight="1">
      <c r="A1283" s="15">
        <v>1283</v>
      </c>
      <c r="B1283" s="736" t="s">
        <v>3086</v>
      </c>
      <c r="C1283" s="16" t="s">
        <v>60</v>
      </c>
      <c r="D1283" s="2" t="s">
        <v>3127</v>
      </c>
      <c r="E1283" s="2" t="s">
        <v>3128</v>
      </c>
      <c r="F1283" t="s">
        <v>3089</v>
      </c>
      <c r="G1283" s="17">
        <v>7040</v>
      </c>
      <c r="H1283" s="2" t="s">
        <v>48</v>
      </c>
      <c r="I1283" s="2" t="s">
        <v>61</v>
      </c>
      <c r="J1283" s="2" t="s">
        <v>62</v>
      </c>
      <c r="K1283" s="18">
        <v>42947</v>
      </c>
      <c r="L1283" s="18">
        <v>42947</v>
      </c>
      <c r="M1283" s="18">
        <v>46597</v>
      </c>
      <c r="N1283" s="1"/>
      <c r="O1283" s="19"/>
      <c r="P1283" s="18">
        <v>46597</v>
      </c>
      <c r="Q1283" s="19">
        <v>0</v>
      </c>
      <c r="R1283" s="772" t="s">
        <v>63</v>
      </c>
      <c r="S1283" s="18">
        <v>42947</v>
      </c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 spans="1:38" ht="12.75" customHeight="1">
      <c r="A1284" s="15">
        <v>1284</v>
      </c>
      <c r="B1284" s="736" t="s">
        <v>3086</v>
      </c>
      <c r="C1284" s="16" t="s">
        <v>1489</v>
      </c>
      <c r="D1284" s="2" t="s">
        <v>3127</v>
      </c>
      <c r="E1284" s="2" t="s">
        <v>3128</v>
      </c>
      <c r="F1284" t="s">
        <v>3089</v>
      </c>
      <c r="G1284" s="17">
        <v>7040</v>
      </c>
      <c r="H1284" s="2" t="s">
        <v>48</v>
      </c>
      <c r="I1284" s="2" t="s">
        <v>1490</v>
      </c>
      <c r="J1284" s="2" t="s">
        <v>1491</v>
      </c>
      <c r="K1284" s="18">
        <v>42404</v>
      </c>
      <c r="L1284" s="18">
        <v>42404</v>
      </c>
      <c r="M1284" s="18">
        <v>46056</v>
      </c>
      <c r="N1284" s="1"/>
      <c r="O1284" s="19">
        <v>337097.53</v>
      </c>
      <c r="P1284" s="18">
        <v>46056</v>
      </c>
      <c r="Q1284" s="19">
        <v>337097</v>
      </c>
      <c r="R1284" s="772" t="s">
        <v>1492</v>
      </c>
      <c r="S1284" s="18">
        <v>43124</v>
      </c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 spans="1:38" ht="12.75" customHeight="1">
      <c r="A1285" s="15">
        <v>1285</v>
      </c>
      <c r="B1285" s="736" t="s">
        <v>1555</v>
      </c>
      <c r="C1285" s="16" t="s">
        <v>1811</v>
      </c>
      <c r="D1285" s="20" t="s">
        <v>3087</v>
      </c>
      <c r="E1285" s="2" t="s">
        <v>3103</v>
      </c>
      <c r="F1285" s="2" t="s">
        <v>3888</v>
      </c>
      <c r="G1285" s="17">
        <v>6915</v>
      </c>
      <c r="H1285" s="2" t="s">
        <v>180</v>
      </c>
      <c r="I1285" s="2" t="s">
        <v>1812</v>
      </c>
      <c r="J1285" s="2"/>
      <c r="K1285" s="18">
        <v>44440</v>
      </c>
      <c r="L1285" s="18">
        <v>44450</v>
      </c>
      <c r="M1285" s="18">
        <v>44450</v>
      </c>
      <c r="N1285" s="1"/>
      <c r="O1285" s="19">
        <v>0</v>
      </c>
      <c r="P1285" s="18">
        <v>44450</v>
      </c>
      <c r="Q1285" s="19"/>
      <c r="R1285" s="772"/>
      <c r="S1285" s="18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 spans="1:38" ht="12.75" customHeight="1">
      <c r="A1286" s="15">
        <v>1286</v>
      </c>
      <c r="B1286" s="738" t="s">
        <v>3086</v>
      </c>
      <c r="C1286" s="16" t="s">
        <v>1068</v>
      </c>
      <c r="D1286" s="3" t="s">
        <v>3139</v>
      </c>
      <c r="E1286" s="3" t="s">
        <v>3892</v>
      </c>
      <c r="F1286" s="2" t="s">
        <v>3888</v>
      </c>
      <c r="G1286" s="17">
        <v>3435</v>
      </c>
      <c r="H1286" s="2" t="s">
        <v>1069</v>
      </c>
      <c r="I1286" s="2" t="s">
        <v>1070</v>
      </c>
      <c r="J1286" s="2" t="s">
        <v>1071</v>
      </c>
      <c r="K1286" s="18">
        <v>38718</v>
      </c>
      <c r="L1286" s="18">
        <v>38718</v>
      </c>
      <c r="M1286" s="18">
        <v>2958465</v>
      </c>
      <c r="N1286" s="1"/>
      <c r="O1286" s="19">
        <v>0</v>
      </c>
      <c r="P1286" s="18">
        <v>2958465</v>
      </c>
      <c r="Q1286" s="19"/>
      <c r="R1286" s="773"/>
      <c r="S1286" s="18"/>
      <c r="T1286" s="2"/>
      <c r="U1286" s="2"/>
      <c r="V1286" s="2"/>
      <c r="W1286" s="2"/>
      <c r="X1286" s="25" t="s">
        <v>3893</v>
      </c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 spans="1:38" ht="12.75" customHeight="1">
      <c r="A1287" s="15">
        <v>1287</v>
      </c>
      <c r="B1287" s="738" t="s">
        <v>3086</v>
      </c>
      <c r="C1287" s="16" t="s">
        <v>1072</v>
      </c>
      <c r="D1287" s="3" t="s">
        <v>3139</v>
      </c>
      <c r="E1287" s="3" t="s">
        <v>3892</v>
      </c>
      <c r="F1287" s="2" t="s">
        <v>3888</v>
      </c>
      <c r="G1287" s="17">
        <v>3283</v>
      </c>
      <c r="H1287" s="2" t="s">
        <v>1069</v>
      </c>
      <c r="I1287" s="2" t="s">
        <v>1073</v>
      </c>
      <c r="J1287" s="2" t="s">
        <v>1074</v>
      </c>
      <c r="K1287" s="18">
        <v>39079</v>
      </c>
      <c r="L1287" s="18">
        <v>39079</v>
      </c>
      <c r="M1287" s="18">
        <v>2958465</v>
      </c>
      <c r="N1287" s="1"/>
      <c r="O1287" s="19">
        <v>0</v>
      </c>
      <c r="P1287" s="18">
        <v>2958465</v>
      </c>
      <c r="Q1287" s="19"/>
      <c r="R1287" s="773"/>
      <c r="S1287" s="18"/>
      <c r="T1287" s="2"/>
      <c r="U1287" s="2"/>
      <c r="V1287" s="2"/>
      <c r="W1287" s="2"/>
      <c r="X1287" s="25" t="s">
        <v>3893</v>
      </c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 spans="1:38" ht="12.75" customHeight="1">
      <c r="A1288" s="15">
        <v>1288</v>
      </c>
      <c r="B1288" s="738" t="s">
        <v>3086</v>
      </c>
      <c r="C1288" s="16" t="s">
        <v>1075</v>
      </c>
      <c r="D1288" s="3" t="s">
        <v>3139</v>
      </c>
      <c r="E1288" s="3" t="s">
        <v>3892</v>
      </c>
      <c r="F1288" s="2" t="s">
        <v>3888</v>
      </c>
      <c r="G1288" s="17">
        <v>3283</v>
      </c>
      <c r="H1288" s="2" t="s">
        <v>1069</v>
      </c>
      <c r="I1288" s="2" t="s">
        <v>1076</v>
      </c>
      <c r="J1288" s="2" t="s">
        <v>1074</v>
      </c>
      <c r="K1288" s="18">
        <v>39079</v>
      </c>
      <c r="L1288" s="18">
        <v>39079</v>
      </c>
      <c r="M1288" s="18">
        <v>2958465</v>
      </c>
      <c r="N1288" s="1"/>
      <c r="O1288" s="19">
        <v>0</v>
      </c>
      <c r="P1288" s="18">
        <v>2958465</v>
      </c>
      <c r="Q1288" s="19"/>
      <c r="R1288" s="773"/>
      <c r="S1288" s="18"/>
      <c r="T1288" s="2"/>
      <c r="U1288" s="2"/>
      <c r="V1288" s="2"/>
      <c r="W1288" s="2"/>
      <c r="X1288" s="25" t="s">
        <v>3893</v>
      </c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 spans="1:38" ht="12.75" customHeight="1">
      <c r="A1289" s="15">
        <v>1289</v>
      </c>
      <c r="B1289" s="737" t="s">
        <v>3086</v>
      </c>
      <c r="C1289" s="16" t="s">
        <v>1417</v>
      </c>
      <c r="D1289" s="20" t="s">
        <v>3087</v>
      </c>
      <c r="E1289" s="2" t="s">
        <v>3093</v>
      </c>
      <c r="F1289" s="3" t="s">
        <v>3894</v>
      </c>
      <c r="G1289" s="17">
        <v>209</v>
      </c>
      <c r="H1289" s="96" t="s">
        <v>510</v>
      </c>
      <c r="I1289" s="2" t="s">
        <v>1418</v>
      </c>
      <c r="J1289" s="2" t="s">
        <v>1419</v>
      </c>
      <c r="K1289" s="18">
        <v>42184</v>
      </c>
      <c r="L1289" s="18">
        <v>42184</v>
      </c>
      <c r="M1289" s="18">
        <v>2958465</v>
      </c>
      <c r="N1289" s="1"/>
      <c r="O1289" s="19">
        <v>0</v>
      </c>
      <c r="P1289" s="18">
        <v>2958465</v>
      </c>
      <c r="Q1289" s="19"/>
      <c r="R1289" s="773"/>
      <c r="S1289" s="18"/>
      <c r="T1289" s="2"/>
      <c r="U1289" s="2">
        <v>3</v>
      </c>
      <c r="V1289" s="2" t="s">
        <v>4625</v>
      </c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 spans="1:38" ht="12.75" customHeight="1">
      <c r="A1290" s="15">
        <v>1290</v>
      </c>
      <c r="B1290" s="737" t="s">
        <v>3086</v>
      </c>
      <c r="C1290" s="16" t="s">
        <v>1420</v>
      </c>
      <c r="D1290" s="3" t="s">
        <v>3139</v>
      </c>
      <c r="E1290" s="3" t="s">
        <v>3093</v>
      </c>
      <c r="F1290" s="3" t="s">
        <v>3895</v>
      </c>
      <c r="G1290" s="17">
        <v>209</v>
      </c>
      <c r="H1290" s="96" t="s">
        <v>510</v>
      </c>
      <c r="I1290" s="2" t="s">
        <v>1421</v>
      </c>
      <c r="J1290" s="2" t="s">
        <v>1422</v>
      </c>
      <c r="K1290" s="18">
        <v>42199</v>
      </c>
      <c r="L1290" s="18">
        <v>42199</v>
      </c>
      <c r="M1290" s="18">
        <v>2958465</v>
      </c>
      <c r="N1290" s="1"/>
      <c r="O1290" s="19">
        <v>0</v>
      </c>
      <c r="P1290" s="18">
        <v>2958465</v>
      </c>
      <c r="Q1290" s="19"/>
      <c r="R1290" s="773"/>
      <c r="S1290" s="18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 spans="1:38" ht="12.75" customHeight="1">
      <c r="A1291" s="15">
        <v>1291</v>
      </c>
      <c r="B1291" s="736" t="s">
        <v>3086</v>
      </c>
      <c r="C1291" s="16" t="s">
        <v>925</v>
      </c>
      <c r="D1291" s="2" t="s">
        <v>3127</v>
      </c>
      <c r="E1291" s="2" t="s">
        <v>3526</v>
      </c>
      <c r="F1291" s="2" t="s">
        <v>3896</v>
      </c>
      <c r="G1291" s="17">
        <v>9645284</v>
      </c>
      <c r="H1291" s="2" t="s">
        <v>924</v>
      </c>
      <c r="I1291" s="2" t="s">
        <v>3897</v>
      </c>
      <c r="J1291" s="2" t="s">
        <v>3898</v>
      </c>
      <c r="K1291" s="18">
        <v>45342</v>
      </c>
      <c r="L1291" s="18">
        <v>45342</v>
      </c>
      <c r="M1291" s="18">
        <v>2958465</v>
      </c>
      <c r="N1291" s="1">
        <v>4</v>
      </c>
      <c r="O1291" s="19">
        <v>301290</v>
      </c>
      <c r="P1291" s="18">
        <v>2958465</v>
      </c>
      <c r="Q1291" s="19">
        <v>1506450</v>
      </c>
      <c r="R1291" s="772" t="s">
        <v>3899</v>
      </c>
      <c r="S1291" s="18">
        <v>45343</v>
      </c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 t="s">
        <v>4747</v>
      </c>
      <c r="AF1291" s="2"/>
      <c r="AG1291" s="2"/>
      <c r="AH1291" s="2"/>
      <c r="AI1291" s="2"/>
      <c r="AJ1291" s="2"/>
      <c r="AK1291" s="2"/>
      <c r="AL1291" s="2"/>
    </row>
    <row r="1292" spans="1:38" ht="12.75" customHeight="1">
      <c r="A1292" s="15">
        <v>1292</v>
      </c>
      <c r="B1292" s="736" t="s">
        <v>1555</v>
      </c>
      <c r="C1292" s="16" t="s">
        <v>3900</v>
      </c>
      <c r="D1292" s="2" t="s">
        <v>3087</v>
      </c>
      <c r="E1292" s="2" t="s">
        <v>3097</v>
      </c>
      <c r="F1292" s="2" t="s">
        <v>3756</v>
      </c>
      <c r="G1292" s="17">
        <v>875295</v>
      </c>
      <c r="H1292" s="2" t="s">
        <v>924</v>
      </c>
      <c r="I1292" s="2" t="s">
        <v>3901</v>
      </c>
      <c r="J1292" s="2" t="s">
        <v>3901</v>
      </c>
      <c r="K1292" s="18">
        <v>45323</v>
      </c>
      <c r="L1292" s="18">
        <v>45355</v>
      </c>
      <c r="M1292" s="18">
        <v>45363</v>
      </c>
      <c r="N1292" s="1">
        <v>7</v>
      </c>
      <c r="O1292" s="19">
        <v>4200</v>
      </c>
      <c r="P1292" s="18">
        <v>45363</v>
      </c>
      <c r="Q1292" s="19"/>
      <c r="R1292" s="772"/>
      <c r="S1292" s="18"/>
      <c r="T1292" s="2"/>
      <c r="U1292" s="2"/>
      <c r="V1292" s="2" t="s">
        <v>3091</v>
      </c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 spans="1:38" ht="12.75" customHeight="1">
      <c r="A1293" s="15">
        <v>1293</v>
      </c>
      <c r="B1293" s="736" t="s">
        <v>1555</v>
      </c>
      <c r="C1293" s="16" t="s">
        <v>3902</v>
      </c>
      <c r="D1293" s="2" t="s">
        <v>3087</v>
      </c>
      <c r="E1293" s="2" t="s">
        <v>3097</v>
      </c>
      <c r="F1293" s="2" t="s">
        <v>3250</v>
      </c>
      <c r="G1293" s="17">
        <v>60162694</v>
      </c>
      <c r="H1293" s="2" t="s">
        <v>924</v>
      </c>
      <c r="I1293" s="2" t="s">
        <v>3903</v>
      </c>
      <c r="J1293" s="2" t="s">
        <v>3903</v>
      </c>
      <c r="K1293" s="18">
        <v>45331</v>
      </c>
      <c r="L1293" s="18">
        <v>45331</v>
      </c>
      <c r="M1293" s="18">
        <v>45657</v>
      </c>
      <c r="N1293" s="1">
        <v>7</v>
      </c>
      <c r="O1293" s="19">
        <v>0</v>
      </c>
      <c r="P1293" s="18">
        <v>45657</v>
      </c>
      <c r="Q1293" s="19"/>
      <c r="R1293" s="772"/>
      <c r="S1293" s="18"/>
      <c r="T1293" s="2"/>
      <c r="U1293" s="2"/>
      <c r="V1293" s="2" t="s">
        <v>4625</v>
      </c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 spans="1:38" ht="12.75" customHeight="1">
      <c r="A1294" s="15">
        <v>1294</v>
      </c>
      <c r="B1294" s="736" t="s">
        <v>1555</v>
      </c>
      <c r="C1294" s="16" t="s">
        <v>3904</v>
      </c>
      <c r="D1294" s="2" t="s">
        <v>3087</v>
      </c>
      <c r="E1294" s="2" t="s">
        <v>3103</v>
      </c>
      <c r="F1294" s="2" t="s">
        <v>3711</v>
      </c>
      <c r="G1294" s="17">
        <v>4808428</v>
      </c>
      <c r="H1294" s="2" t="s">
        <v>924</v>
      </c>
      <c r="I1294" s="2" t="s">
        <v>3905</v>
      </c>
      <c r="J1294" s="2" t="s">
        <v>3905</v>
      </c>
      <c r="K1294" s="18">
        <v>45344</v>
      </c>
      <c r="L1294" s="18">
        <v>45423</v>
      </c>
      <c r="M1294" s="18">
        <v>45423</v>
      </c>
      <c r="N1294" s="1">
        <v>7</v>
      </c>
      <c r="O1294" s="19">
        <v>0</v>
      </c>
      <c r="P1294" s="18">
        <v>45423</v>
      </c>
      <c r="Q1294" s="19"/>
      <c r="R1294" s="772"/>
      <c r="S1294" s="18"/>
      <c r="T1294" s="2"/>
      <c r="U1294" s="2"/>
      <c r="V1294" s="2" t="s">
        <v>3091</v>
      </c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 spans="1:38" ht="12.75" customHeight="1">
      <c r="A1295" s="15">
        <v>1295</v>
      </c>
      <c r="B1295" s="742" t="s">
        <v>1555</v>
      </c>
      <c r="C1295" s="16" t="s">
        <v>3906</v>
      </c>
      <c r="D1295" s="20" t="s">
        <v>3087</v>
      </c>
      <c r="E1295" s="96" t="s">
        <v>5143</v>
      </c>
      <c r="F1295" s="2" t="s">
        <v>3907</v>
      </c>
      <c r="G1295" s="17">
        <v>14137011</v>
      </c>
      <c r="H1295" s="2" t="s">
        <v>1729</v>
      </c>
      <c r="I1295" s="2" t="s">
        <v>3908</v>
      </c>
      <c r="J1295" s="2" t="s">
        <v>3909</v>
      </c>
      <c r="K1295" s="18">
        <v>45331</v>
      </c>
      <c r="L1295" s="18">
        <v>45331</v>
      </c>
      <c r="M1295" s="18">
        <v>45331</v>
      </c>
      <c r="N1295" s="1">
        <v>7</v>
      </c>
      <c r="O1295" s="19">
        <v>8970</v>
      </c>
      <c r="P1295" s="18">
        <v>45331</v>
      </c>
      <c r="Q1295" s="19"/>
      <c r="R1295" s="772"/>
      <c r="S1295" s="18"/>
      <c r="T1295" s="2" t="s">
        <v>3910</v>
      </c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 spans="1:38" ht="12.75" customHeight="1">
      <c r="A1296" s="15">
        <v>1296</v>
      </c>
      <c r="B1296" s="742" t="s">
        <v>1555</v>
      </c>
      <c r="C1296" s="16" t="s">
        <v>3911</v>
      </c>
      <c r="D1296" s="20" t="s">
        <v>3087</v>
      </c>
      <c r="E1296" s="96" t="s">
        <v>5143</v>
      </c>
      <c r="F1296" s="2" t="s">
        <v>3734</v>
      </c>
      <c r="G1296" s="17">
        <v>3038637</v>
      </c>
      <c r="H1296" s="2" t="s">
        <v>1729</v>
      </c>
      <c r="I1296" s="2" t="s">
        <v>3912</v>
      </c>
      <c r="J1296" s="2" t="s">
        <v>3913</v>
      </c>
      <c r="K1296" s="18">
        <v>45344</v>
      </c>
      <c r="L1296" s="18">
        <v>45344</v>
      </c>
      <c r="M1296" s="18">
        <v>45344</v>
      </c>
      <c r="N1296" s="1">
        <v>7</v>
      </c>
      <c r="O1296" s="19">
        <v>1229.3599999999999</v>
      </c>
      <c r="P1296" s="18">
        <v>45344</v>
      </c>
      <c r="Q1296" s="19"/>
      <c r="R1296" s="772"/>
      <c r="S1296" s="18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 spans="1:38" ht="12.75" customHeight="1">
      <c r="A1297" s="15">
        <v>1297</v>
      </c>
      <c r="B1297" s="736" t="s">
        <v>1555</v>
      </c>
      <c r="C1297" s="16" t="s">
        <v>3914</v>
      </c>
      <c r="D1297" s="21" t="s">
        <v>3110</v>
      </c>
      <c r="E1297" s="2" t="s">
        <v>3197</v>
      </c>
      <c r="F1297" s="2" t="s">
        <v>3915</v>
      </c>
      <c r="G1297" s="17">
        <v>26892219</v>
      </c>
      <c r="H1297" s="2" t="s">
        <v>546</v>
      </c>
      <c r="I1297" s="2" t="s">
        <v>3916</v>
      </c>
      <c r="J1297" s="2"/>
      <c r="K1297" s="18">
        <v>45331</v>
      </c>
      <c r="L1297" s="18">
        <v>45331</v>
      </c>
      <c r="M1297" s="18">
        <v>45376</v>
      </c>
      <c r="N1297" s="1">
        <v>7</v>
      </c>
      <c r="O1297" s="19">
        <v>600000</v>
      </c>
      <c r="P1297" s="18">
        <v>45376</v>
      </c>
      <c r="Q1297" s="19">
        <v>600000</v>
      </c>
      <c r="R1297" s="772" t="s">
        <v>3917</v>
      </c>
      <c r="S1297" s="18">
        <v>45355</v>
      </c>
      <c r="T1297" s="2"/>
      <c r="U1297" s="2"/>
      <c r="V1297" s="2" t="s">
        <v>3091</v>
      </c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 spans="1:38" ht="12.75" customHeight="1">
      <c r="A1298" s="15">
        <v>1298</v>
      </c>
      <c r="B1298" s="736" t="s">
        <v>1555</v>
      </c>
      <c r="C1298" s="16" t="s">
        <v>3918</v>
      </c>
      <c r="D1298" s="21" t="s">
        <v>3168</v>
      </c>
      <c r="E1298" s="2" t="s">
        <v>3093</v>
      </c>
      <c r="F1298" s="2" t="s">
        <v>3919</v>
      </c>
      <c r="G1298" s="17">
        <v>45245053</v>
      </c>
      <c r="H1298" s="2" t="s">
        <v>3920</v>
      </c>
      <c r="I1298" s="2" t="s">
        <v>3921</v>
      </c>
      <c r="J1298" s="2" t="s">
        <v>3921</v>
      </c>
      <c r="K1298" s="18">
        <v>45357</v>
      </c>
      <c r="L1298" s="18">
        <v>45357</v>
      </c>
      <c r="M1298" s="18">
        <v>45657</v>
      </c>
      <c r="N1298" s="1">
        <v>7</v>
      </c>
      <c r="O1298" s="19">
        <v>0</v>
      </c>
      <c r="P1298" s="18">
        <v>45657</v>
      </c>
      <c r="Q1298" s="19"/>
      <c r="R1298" s="772"/>
      <c r="S1298" s="18"/>
      <c r="T1298" s="2"/>
      <c r="U1298" s="2"/>
      <c r="V1298" s="2"/>
      <c r="W1298" s="2"/>
      <c r="X1298" s="2"/>
      <c r="Y1298" s="2" t="s">
        <v>5064</v>
      </c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 spans="1:38" ht="12.75" customHeight="1">
      <c r="A1299" s="15">
        <v>1299</v>
      </c>
      <c r="B1299" s="736" t="s">
        <v>1555</v>
      </c>
      <c r="C1299" s="16" t="s">
        <v>3922</v>
      </c>
      <c r="D1299" s="2" t="s">
        <v>3087</v>
      </c>
      <c r="E1299" s="2" t="s">
        <v>3103</v>
      </c>
      <c r="F1299" s="2" t="s">
        <v>3687</v>
      </c>
      <c r="G1299" s="17">
        <v>7556586</v>
      </c>
      <c r="H1299" s="2" t="s">
        <v>924</v>
      </c>
      <c r="I1299" s="2" t="s">
        <v>3923</v>
      </c>
      <c r="J1299" s="2" t="s">
        <v>3923</v>
      </c>
      <c r="K1299" s="18">
        <v>414250</v>
      </c>
      <c r="L1299" s="18">
        <v>45395</v>
      </c>
      <c r="M1299" s="18">
        <v>45396</v>
      </c>
      <c r="N1299" s="1">
        <v>7</v>
      </c>
      <c r="O1299" s="19">
        <v>0</v>
      </c>
      <c r="P1299" s="18">
        <v>45396</v>
      </c>
      <c r="Q1299" s="19"/>
      <c r="R1299" s="772"/>
      <c r="S1299" s="18"/>
      <c r="T1299" s="2"/>
      <c r="U1299" s="2"/>
      <c r="V1299" s="2" t="s">
        <v>3091</v>
      </c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 spans="1:38" ht="12.75" customHeight="1">
      <c r="A1300" s="15">
        <v>1300</v>
      </c>
      <c r="B1300" s="736" t="s">
        <v>1555</v>
      </c>
      <c r="C1300" s="16" t="s">
        <v>3924</v>
      </c>
      <c r="D1300" s="2" t="s">
        <v>3087</v>
      </c>
      <c r="E1300" s="2" t="s">
        <v>3097</v>
      </c>
      <c r="F1300" s="2" t="s">
        <v>3925</v>
      </c>
      <c r="G1300" s="17">
        <v>9993</v>
      </c>
      <c r="H1300" s="96" t="s">
        <v>830</v>
      </c>
      <c r="I1300" s="2" t="s">
        <v>3926</v>
      </c>
      <c r="J1300" s="2" t="s">
        <v>3926</v>
      </c>
      <c r="K1300" s="18">
        <v>45348</v>
      </c>
      <c r="L1300" s="18">
        <v>45390</v>
      </c>
      <c r="M1300" s="18">
        <v>45443</v>
      </c>
      <c r="N1300" s="1">
        <v>7</v>
      </c>
      <c r="O1300" s="19">
        <v>1500</v>
      </c>
      <c r="P1300" s="18">
        <v>45443</v>
      </c>
      <c r="Q1300" s="19"/>
      <c r="R1300" s="772"/>
      <c r="S1300" s="18"/>
      <c r="T1300" s="2"/>
      <c r="U1300" s="2"/>
      <c r="V1300" s="2" t="s">
        <v>3091</v>
      </c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 spans="1:38" ht="12.75" customHeight="1">
      <c r="A1301" s="15">
        <v>1301</v>
      </c>
      <c r="B1301" s="736" t="s">
        <v>1555</v>
      </c>
      <c r="C1301" s="16" t="s">
        <v>3927</v>
      </c>
      <c r="D1301" s="2" t="s">
        <v>3110</v>
      </c>
      <c r="E1301" s="2" t="s">
        <v>3225</v>
      </c>
      <c r="F1301" s="2" t="s">
        <v>3928</v>
      </c>
      <c r="G1301" s="17">
        <v>44265778</v>
      </c>
      <c r="H1301" s="2" t="s">
        <v>482</v>
      </c>
      <c r="I1301" s="2" t="s">
        <v>3929</v>
      </c>
      <c r="J1301" s="2" t="s">
        <v>943</v>
      </c>
      <c r="K1301" s="18">
        <v>45363</v>
      </c>
      <c r="L1301" s="18">
        <v>45363</v>
      </c>
      <c r="M1301" s="18">
        <v>45443</v>
      </c>
      <c r="N1301" s="1">
        <v>7</v>
      </c>
      <c r="O1301" s="19">
        <v>524000</v>
      </c>
      <c r="P1301" s="18">
        <v>45443</v>
      </c>
      <c r="Q1301" s="19">
        <v>524000</v>
      </c>
      <c r="R1301" s="772" t="s">
        <v>3930</v>
      </c>
      <c r="S1301" s="18">
        <v>45363</v>
      </c>
      <c r="T1301" s="2"/>
      <c r="U1301" s="2"/>
      <c r="V1301" s="2" t="s">
        <v>3091</v>
      </c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 spans="1:38" ht="12.75" customHeight="1">
      <c r="A1302" s="15">
        <v>1302</v>
      </c>
      <c r="B1302" s="736" t="s">
        <v>1555</v>
      </c>
      <c r="C1302" s="16" t="s">
        <v>3931</v>
      </c>
      <c r="D1302" s="21" t="s">
        <v>3168</v>
      </c>
      <c r="E1302" s="2" t="s">
        <v>3088</v>
      </c>
      <c r="F1302" s="2" t="s">
        <v>3859</v>
      </c>
      <c r="G1302" s="17">
        <v>231401</v>
      </c>
      <c r="H1302" s="2" t="s">
        <v>48</v>
      </c>
      <c r="I1302" s="2" t="s">
        <v>3932</v>
      </c>
      <c r="J1302" s="2" t="s">
        <v>3933</v>
      </c>
      <c r="K1302" s="18">
        <v>45356</v>
      </c>
      <c r="L1302" s="18">
        <v>45426</v>
      </c>
      <c r="M1302" s="18">
        <v>45427</v>
      </c>
      <c r="N1302" s="1">
        <v>7</v>
      </c>
      <c r="O1302" s="19"/>
      <c r="P1302" s="18"/>
      <c r="Q1302" s="19"/>
      <c r="R1302" s="772"/>
      <c r="S1302" s="18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 spans="1:38" ht="12.75" customHeight="1">
      <c r="A1303" s="15">
        <v>1303</v>
      </c>
      <c r="B1303" s="736" t="s">
        <v>1555</v>
      </c>
      <c r="C1303" s="16" t="s">
        <v>3934</v>
      </c>
      <c r="D1303" s="2" t="s">
        <v>3110</v>
      </c>
      <c r="E1303" s="2" t="s">
        <v>3197</v>
      </c>
      <c r="F1303" s="2" t="s">
        <v>3935</v>
      </c>
      <c r="G1303" s="17">
        <v>47534818</v>
      </c>
      <c r="H1303" s="2" t="s">
        <v>3936</v>
      </c>
      <c r="I1303" s="2" t="s">
        <v>3937</v>
      </c>
      <c r="J1303" s="2" t="s">
        <v>3937</v>
      </c>
      <c r="K1303" s="18">
        <v>45331</v>
      </c>
      <c r="L1303" s="18">
        <v>45331</v>
      </c>
      <c r="M1303" s="18">
        <v>45354</v>
      </c>
      <c r="N1303" s="1">
        <v>7</v>
      </c>
      <c r="O1303" s="19">
        <v>600000</v>
      </c>
      <c r="P1303" s="18">
        <v>45354</v>
      </c>
      <c r="Q1303" s="19"/>
      <c r="R1303" s="772"/>
      <c r="S1303" s="18"/>
      <c r="T1303" s="2"/>
      <c r="U1303" s="2"/>
      <c r="V1303" s="2" t="s">
        <v>3091</v>
      </c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 spans="1:38" ht="12.75" customHeight="1">
      <c r="A1304" s="15">
        <v>1304</v>
      </c>
      <c r="B1304" s="736" t="s">
        <v>1555</v>
      </c>
      <c r="C1304" s="16" t="s">
        <v>3045</v>
      </c>
      <c r="D1304" s="20" t="s">
        <v>3110</v>
      </c>
      <c r="E1304" s="2" t="s">
        <v>3123</v>
      </c>
      <c r="F1304" s="2" t="s">
        <v>3938</v>
      </c>
      <c r="G1304" s="17">
        <v>4811</v>
      </c>
      <c r="H1304" s="2" t="s">
        <v>250</v>
      </c>
      <c r="I1304" s="2" t="s">
        <v>3939</v>
      </c>
      <c r="J1304" s="2" t="s">
        <v>261</v>
      </c>
      <c r="K1304" s="18">
        <v>45341</v>
      </c>
      <c r="L1304" s="18">
        <v>45295</v>
      </c>
      <c r="M1304" s="18">
        <v>45657</v>
      </c>
      <c r="N1304" s="1">
        <v>7</v>
      </c>
      <c r="O1304" s="19">
        <v>27800</v>
      </c>
      <c r="P1304" s="18"/>
      <c r="Q1304" s="19"/>
      <c r="R1304" s="772"/>
      <c r="S1304" s="18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 spans="1:38" ht="12.75" customHeight="1">
      <c r="A1305" s="15">
        <v>1305</v>
      </c>
      <c r="B1305" s="736" t="s">
        <v>3086</v>
      </c>
      <c r="C1305" s="92" t="s">
        <v>1534</v>
      </c>
      <c r="D1305" s="2" t="s">
        <v>3110</v>
      </c>
      <c r="E1305" s="2" t="s">
        <v>4785</v>
      </c>
      <c r="F1305" s="2" t="s">
        <v>3304</v>
      </c>
      <c r="G1305" s="17">
        <v>47534532</v>
      </c>
      <c r="H1305" s="2" t="s">
        <v>3940</v>
      </c>
      <c r="I1305" s="2" t="s">
        <v>3941</v>
      </c>
      <c r="J1305" s="2" t="s">
        <v>3942</v>
      </c>
      <c r="K1305" s="18">
        <v>34971</v>
      </c>
      <c r="L1305" s="18">
        <v>34971</v>
      </c>
      <c r="M1305" s="18">
        <v>2958465</v>
      </c>
      <c r="N1305" s="1">
        <v>2</v>
      </c>
      <c r="O1305" s="19">
        <v>71777</v>
      </c>
      <c r="P1305" s="18"/>
      <c r="Q1305" s="19">
        <v>358886</v>
      </c>
      <c r="R1305" s="772" t="s">
        <v>3943</v>
      </c>
      <c r="S1305" s="18" t="s">
        <v>3944</v>
      </c>
      <c r="T1305" s="3"/>
      <c r="U1305" s="3"/>
      <c r="V1305" t="s">
        <v>4625</v>
      </c>
      <c r="W1305" t="s">
        <v>4625</v>
      </c>
      <c r="X1305" s="25" t="s">
        <v>3945</v>
      </c>
      <c r="Y1305" s="2" t="s">
        <v>4784</v>
      </c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 spans="1:38" ht="12.75" customHeight="1">
      <c r="A1306" s="15">
        <v>1306</v>
      </c>
      <c r="B1306" s="742" t="s">
        <v>1555</v>
      </c>
      <c r="C1306" s="16" t="s">
        <v>3946</v>
      </c>
      <c r="D1306" s="2" t="s">
        <v>3110</v>
      </c>
      <c r="E1306" s="2" t="s">
        <v>3202</v>
      </c>
      <c r="F1306" s="2" t="s">
        <v>3947</v>
      </c>
      <c r="G1306" s="17">
        <v>2891506</v>
      </c>
      <c r="H1306" s="2" t="s">
        <v>385</v>
      </c>
      <c r="I1306" s="2" t="s">
        <v>3948</v>
      </c>
      <c r="J1306" s="2" t="s">
        <v>3948</v>
      </c>
      <c r="K1306" s="18">
        <v>45379</v>
      </c>
      <c r="L1306" s="18">
        <v>45385</v>
      </c>
      <c r="M1306" s="18">
        <v>45875</v>
      </c>
      <c r="N1306" s="1">
        <v>6</v>
      </c>
      <c r="O1306" s="19">
        <f>650000*1.21</f>
        <v>786500</v>
      </c>
      <c r="P1306" s="18">
        <v>45875</v>
      </c>
      <c r="Q1306" s="19">
        <v>786500</v>
      </c>
      <c r="R1306" s="772" t="s">
        <v>3949</v>
      </c>
      <c r="S1306" s="18">
        <v>45385</v>
      </c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 spans="1:38" ht="12.75" customHeight="1">
      <c r="A1307" s="15">
        <v>1307</v>
      </c>
      <c r="B1307" s="742" t="s">
        <v>1555</v>
      </c>
      <c r="C1307" s="16" t="s">
        <v>3950</v>
      </c>
      <c r="D1307" s="2" t="s">
        <v>3110</v>
      </c>
      <c r="E1307" s="2" t="s">
        <v>3117</v>
      </c>
      <c r="F1307" s="2" t="s">
        <v>3928</v>
      </c>
      <c r="G1307" s="17">
        <v>44265778</v>
      </c>
      <c r="H1307" s="2" t="s">
        <v>943</v>
      </c>
      <c r="I1307" s="2" t="s">
        <v>3951</v>
      </c>
      <c r="J1307" s="2" t="s">
        <v>3951</v>
      </c>
      <c r="K1307" s="18">
        <v>45357</v>
      </c>
      <c r="L1307" s="18">
        <v>45357</v>
      </c>
      <c r="M1307" s="18">
        <v>45381</v>
      </c>
      <c r="N1307" s="1">
        <v>7</v>
      </c>
      <c r="O1307" s="19">
        <v>361000</v>
      </c>
      <c r="P1307" s="18">
        <v>45381</v>
      </c>
      <c r="Q1307" s="19">
        <v>361000</v>
      </c>
      <c r="R1307" s="772" t="s">
        <v>3952</v>
      </c>
      <c r="S1307" s="18">
        <v>45392</v>
      </c>
      <c r="T1307" s="2"/>
      <c r="U1307" s="2"/>
      <c r="V1307" s="2" t="s">
        <v>3091</v>
      </c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 spans="1:38" ht="12.75" customHeight="1">
      <c r="A1308" s="15">
        <v>1308</v>
      </c>
      <c r="B1308" s="742" t="s">
        <v>1555</v>
      </c>
      <c r="C1308" s="16" t="s">
        <v>3953</v>
      </c>
      <c r="D1308" s="2" t="s">
        <v>3110</v>
      </c>
      <c r="E1308" s="2" t="s">
        <v>3369</v>
      </c>
      <c r="F1308" s="2" t="s">
        <v>3427</v>
      </c>
      <c r="G1308" s="17">
        <v>27430961</v>
      </c>
      <c r="H1308" s="2" t="s">
        <v>943</v>
      </c>
      <c r="I1308" s="2" t="s">
        <v>3954</v>
      </c>
      <c r="J1308" s="2" t="s">
        <v>3955</v>
      </c>
      <c r="K1308" s="18">
        <v>45357</v>
      </c>
      <c r="L1308" s="18">
        <v>45357</v>
      </c>
      <c r="M1308" s="18">
        <v>45381</v>
      </c>
      <c r="N1308" s="1">
        <v>7</v>
      </c>
      <c r="O1308" s="19">
        <v>556000</v>
      </c>
      <c r="P1308" s="18">
        <v>45381</v>
      </c>
      <c r="Q1308" s="19">
        <v>556000</v>
      </c>
      <c r="R1308" s="772" t="s">
        <v>3956</v>
      </c>
      <c r="S1308" s="18">
        <v>45392</v>
      </c>
      <c r="T1308" s="2"/>
      <c r="U1308" s="2"/>
      <c r="V1308" s="2" t="s">
        <v>3091</v>
      </c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 spans="1:38" ht="12.75" customHeight="1">
      <c r="A1309" s="15">
        <v>1309</v>
      </c>
      <c r="B1309" s="742" t="s">
        <v>3086</v>
      </c>
      <c r="C1309" s="16" t="s">
        <v>3957</v>
      </c>
      <c r="D1309" s="2" t="s">
        <v>3116</v>
      </c>
      <c r="E1309" s="2" t="s">
        <v>3958</v>
      </c>
      <c r="F1309" s="2" t="s">
        <v>3959</v>
      </c>
      <c r="G1309" s="17">
        <v>2795281</v>
      </c>
      <c r="H1309" s="2" t="s">
        <v>3960</v>
      </c>
      <c r="I1309" s="2" t="s">
        <v>3961</v>
      </c>
      <c r="J1309" s="2" t="s">
        <v>3961</v>
      </c>
      <c r="K1309" s="18">
        <v>45391</v>
      </c>
      <c r="L1309" s="18">
        <v>45391</v>
      </c>
      <c r="M1309" s="18">
        <v>49042</v>
      </c>
      <c r="N1309" s="1">
        <v>7</v>
      </c>
      <c r="O1309" s="19">
        <v>0</v>
      </c>
      <c r="P1309" s="18">
        <v>49042</v>
      </c>
      <c r="Q1309" s="19"/>
      <c r="R1309" s="772"/>
      <c r="S1309" s="18"/>
      <c r="T1309" s="2"/>
      <c r="U1309" s="3">
        <v>3</v>
      </c>
      <c r="V1309" s="2" t="s">
        <v>4625</v>
      </c>
      <c r="W1309" s="2" t="s">
        <v>4625</v>
      </c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 spans="1:38" ht="12.75" customHeight="1">
      <c r="A1310" s="15">
        <v>1310</v>
      </c>
      <c r="B1310" s="742" t="s">
        <v>3086</v>
      </c>
      <c r="C1310" s="16" t="s">
        <v>3962</v>
      </c>
      <c r="D1310" s="2" t="s">
        <v>3116</v>
      </c>
      <c r="E1310" s="2" t="s">
        <v>3958</v>
      </c>
      <c r="F1310" s="2" t="s">
        <v>3671</v>
      </c>
      <c r="G1310" s="17">
        <v>9692142</v>
      </c>
      <c r="H1310" s="2" t="s">
        <v>3963</v>
      </c>
      <c r="I1310" s="2" t="s">
        <v>3964</v>
      </c>
      <c r="J1310" s="2" t="s">
        <v>3964</v>
      </c>
      <c r="K1310" s="18">
        <v>45364</v>
      </c>
      <c r="L1310" s="18">
        <v>45364</v>
      </c>
      <c r="M1310" s="18">
        <v>2958465</v>
      </c>
      <c r="N1310" s="1">
        <v>7</v>
      </c>
      <c r="O1310" s="19">
        <v>0</v>
      </c>
      <c r="P1310" s="18">
        <v>2958465</v>
      </c>
      <c r="Q1310" s="19"/>
      <c r="R1310" s="772"/>
      <c r="S1310" s="18"/>
      <c r="T1310" s="2"/>
      <c r="U1310" s="3">
        <v>3</v>
      </c>
      <c r="V1310" s="2" t="s">
        <v>4625</v>
      </c>
      <c r="W1310" s="2" t="s">
        <v>4625</v>
      </c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 spans="1:38" ht="12.75" customHeight="1">
      <c r="A1311" s="15">
        <v>1311</v>
      </c>
      <c r="B1311" s="736" t="s">
        <v>1555</v>
      </c>
      <c r="C1311" s="16" t="s">
        <v>3965</v>
      </c>
      <c r="D1311" s="2" t="s">
        <v>3087</v>
      </c>
      <c r="E1311" s="2" t="s">
        <v>3103</v>
      </c>
      <c r="F1311" s="2" t="s">
        <v>3966</v>
      </c>
      <c r="G1311" s="17">
        <v>238678</v>
      </c>
      <c r="H1311" s="2" t="s">
        <v>180</v>
      </c>
      <c r="I1311" s="2" t="s">
        <v>3967</v>
      </c>
      <c r="J1311" s="2" t="s">
        <v>3967</v>
      </c>
      <c r="K1311" s="18">
        <v>45363</v>
      </c>
      <c r="L1311" s="18">
        <v>45363</v>
      </c>
      <c r="M1311" s="18">
        <v>45458</v>
      </c>
      <c r="N1311" s="1">
        <v>7</v>
      </c>
      <c r="O1311" s="19">
        <v>0</v>
      </c>
      <c r="P1311" s="18">
        <v>45458</v>
      </c>
      <c r="Q1311" s="19"/>
      <c r="R1311" s="772"/>
      <c r="S1311" s="18"/>
      <c r="T1311" s="2"/>
      <c r="U1311" s="2"/>
      <c r="V1311" s="2" t="s">
        <v>3091</v>
      </c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 spans="1:38" ht="13.2">
      <c r="A1312" s="15">
        <v>1312</v>
      </c>
      <c r="B1312" s="105" t="s">
        <v>3086</v>
      </c>
      <c r="C1312" s="79" t="s">
        <v>3968</v>
      </c>
      <c r="D1312" s="2" t="s">
        <v>3110</v>
      </c>
      <c r="E1312" s="2" t="s">
        <v>3123</v>
      </c>
      <c r="F1312" s="2" t="s">
        <v>3800</v>
      </c>
      <c r="G1312" s="101">
        <v>242098</v>
      </c>
      <c r="H1312" s="2" t="s">
        <v>250</v>
      </c>
      <c r="I1312" s="2" t="s">
        <v>4995</v>
      </c>
      <c r="J1312" s="2" t="s">
        <v>3969</v>
      </c>
      <c r="K1312" s="18">
        <v>45365</v>
      </c>
      <c r="L1312" s="18">
        <v>45383</v>
      </c>
      <c r="M1312" s="18">
        <v>47208</v>
      </c>
      <c r="N1312" s="1">
        <v>1</v>
      </c>
      <c r="O1312" s="19">
        <v>3540000</v>
      </c>
      <c r="P1312" s="18">
        <v>47208</v>
      </c>
      <c r="Q1312" s="19">
        <v>3540000</v>
      </c>
      <c r="R1312" s="772" t="s">
        <v>3970</v>
      </c>
      <c r="S1312" s="18">
        <v>45373</v>
      </c>
      <c r="T1312" s="2"/>
      <c r="U1312" s="2">
        <v>6</v>
      </c>
      <c r="V1312" s="2" t="s">
        <v>4625</v>
      </c>
      <c r="W1312" s="2" t="s">
        <v>4625</v>
      </c>
      <c r="X1312" s="2"/>
      <c r="Y1312" s="25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 spans="1:38" ht="12.75" customHeight="1">
      <c r="A1313" s="15">
        <v>1313</v>
      </c>
      <c r="B1313" s="736" t="s">
        <v>1555</v>
      </c>
      <c r="C1313" s="16" t="s">
        <v>3971</v>
      </c>
      <c r="D1313" s="20" t="s">
        <v>3087</v>
      </c>
      <c r="E1313" s="2" t="s">
        <v>3103</v>
      </c>
      <c r="F1313" s="2" t="s">
        <v>3972</v>
      </c>
      <c r="G1313" s="17">
        <v>7544073</v>
      </c>
      <c r="H1313" s="2" t="s">
        <v>180</v>
      </c>
      <c r="I1313" s="2" t="s">
        <v>3973</v>
      </c>
      <c r="J1313" s="2" t="s">
        <v>3973</v>
      </c>
      <c r="K1313" s="18">
        <v>45363</v>
      </c>
      <c r="L1313" s="18">
        <v>45403</v>
      </c>
      <c r="M1313" s="18">
        <v>45403</v>
      </c>
      <c r="N1313" s="1">
        <v>7</v>
      </c>
      <c r="O1313" s="19">
        <v>0</v>
      </c>
      <c r="P1313" s="18">
        <v>45403</v>
      </c>
      <c r="Q1313" s="19"/>
      <c r="R1313" s="772"/>
      <c r="S1313" s="18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 spans="1:38" ht="12.75" customHeight="1">
      <c r="A1314" s="15">
        <v>1314</v>
      </c>
      <c r="B1314" s="736" t="s">
        <v>1555</v>
      </c>
      <c r="C1314" s="16" t="s">
        <v>3974</v>
      </c>
      <c r="D1314" s="20" t="s">
        <v>3087</v>
      </c>
      <c r="E1314" s="2" t="s">
        <v>3103</v>
      </c>
      <c r="F1314" s="2" t="s">
        <v>3975</v>
      </c>
      <c r="G1314" s="17">
        <v>14801973</v>
      </c>
      <c r="H1314" s="2" t="s">
        <v>180</v>
      </c>
      <c r="I1314" s="2" t="s">
        <v>3976</v>
      </c>
      <c r="J1314" s="2" t="s">
        <v>3976</v>
      </c>
      <c r="K1314" s="18">
        <v>45364</v>
      </c>
      <c r="L1314" s="18">
        <v>45377</v>
      </c>
      <c r="M1314" s="18">
        <v>45377</v>
      </c>
      <c r="N1314" s="1">
        <v>7</v>
      </c>
      <c r="O1314" s="19">
        <v>0</v>
      </c>
      <c r="P1314" s="18">
        <v>45377</v>
      </c>
      <c r="Q1314" s="19"/>
      <c r="R1314" s="772"/>
      <c r="S1314" s="18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 spans="1:38" ht="12.75" customHeight="1">
      <c r="A1315" s="15">
        <v>1315</v>
      </c>
      <c r="B1315" s="736" t="s">
        <v>1555</v>
      </c>
      <c r="C1315" s="16" t="s">
        <v>3977</v>
      </c>
      <c r="D1315" s="2" t="s">
        <v>3087</v>
      </c>
      <c r="E1315" s="2" t="s">
        <v>3103</v>
      </c>
      <c r="F1315" s="2" t="s">
        <v>3862</v>
      </c>
      <c r="G1315" s="17">
        <v>177041</v>
      </c>
      <c r="H1315" s="2" t="s">
        <v>180</v>
      </c>
      <c r="I1315" s="2" t="s">
        <v>3978</v>
      </c>
      <c r="J1315" s="2" t="s">
        <v>3978</v>
      </c>
      <c r="K1315" s="18">
        <v>45329</v>
      </c>
      <c r="L1315" s="18">
        <v>45370</v>
      </c>
      <c r="M1315" s="18">
        <v>45657</v>
      </c>
      <c r="N1315" s="1">
        <v>1</v>
      </c>
      <c r="O1315" s="19">
        <v>218000</v>
      </c>
      <c r="P1315" s="18">
        <v>45657</v>
      </c>
      <c r="Q1315" s="19">
        <v>218000</v>
      </c>
      <c r="R1315" s="772" t="s">
        <v>3979</v>
      </c>
      <c r="S1315" s="18">
        <v>45370</v>
      </c>
      <c r="T1315" s="2"/>
      <c r="U1315" s="2"/>
      <c r="V1315" s="2" t="s">
        <v>4625</v>
      </c>
      <c r="W1315" s="2"/>
      <c r="X1315" s="2" t="s">
        <v>3980</v>
      </c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 spans="1:38" ht="12.75" customHeight="1">
      <c r="A1316" s="15">
        <v>1316</v>
      </c>
      <c r="B1316" s="736" t="s">
        <v>3086</v>
      </c>
      <c r="C1316" s="16" t="s">
        <v>3981</v>
      </c>
      <c r="D1316" s="2" t="s">
        <v>3087</v>
      </c>
      <c r="E1316" s="2" t="s">
        <v>3117</v>
      </c>
      <c r="F1316" s="2" t="s">
        <v>3446</v>
      </c>
      <c r="G1316" s="17">
        <v>27256456</v>
      </c>
      <c r="H1316" s="2" t="s">
        <v>3982</v>
      </c>
      <c r="I1316" s="2" t="s">
        <v>3983</v>
      </c>
      <c r="J1316" s="2" t="s">
        <v>3983</v>
      </c>
      <c r="K1316" s="18">
        <v>45372</v>
      </c>
      <c r="L1316" s="18">
        <v>45376</v>
      </c>
      <c r="M1316" s="18">
        <v>2958465</v>
      </c>
      <c r="N1316" s="1">
        <v>1</v>
      </c>
      <c r="O1316" s="19">
        <v>0</v>
      </c>
      <c r="P1316" s="18">
        <v>2958465</v>
      </c>
      <c r="Q1316" s="19">
        <v>0</v>
      </c>
      <c r="R1316" s="772" t="s">
        <v>3984</v>
      </c>
      <c r="S1316" s="18">
        <v>45376</v>
      </c>
      <c r="T1316" s="2"/>
      <c r="U1316" s="2">
        <v>3</v>
      </c>
      <c r="V1316" s="2"/>
      <c r="W1316" s="2"/>
      <c r="X1316" s="2"/>
      <c r="Y1316" s="2"/>
      <c r="Z1316" s="2"/>
      <c r="AA1316" s="2"/>
      <c r="AB1316" s="2"/>
      <c r="AC1316" s="2"/>
      <c r="AD1316" s="2"/>
      <c r="AE1316" s="2" t="s">
        <v>4748</v>
      </c>
      <c r="AF1316" s="2"/>
      <c r="AG1316" s="2"/>
      <c r="AH1316" s="2"/>
      <c r="AI1316" s="2"/>
      <c r="AJ1316" s="2"/>
      <c r="AK1316" s="2"/>
      <c r="AL1316" s="2"/>
    </row>
    <row r="1317" spans="1:38" ht="12.75" customHeight="1">
      <c r="A1317" s="15">
        <v>1317</v>
      </c>
      <c r="B1317" s="736" t="s">
        <v>1555</v>
      </c>
      <c r="C1317" s="16" t="s">
        <v>3985</v>
      </c>
      <c r="D1317" s="20" t="s">
        <v>3087</v>
      </c>
      <c r="E1317" s="2" t="s">
        <v>3162</v>
      </c>
      <c r="F1317" s="2" t="s">
        <v>3986</v>
      </c>
      <c r="G1317" s="17">
        <v>8487</v>
      </c>
      <c r="H1317" s="96" t="s">
        <v>830</v>
      </c>
      <c r="I1317" s="2" t="s">
        <v>3987</v>
      </c>
      <c r="J1317" s="2" t="s">
        <v>3987</v>
      </c>
      <c r="K1317" s="18">
        <v>45369</v>
      </c>
      <c r="L1317" s="18">
        <v>45369</v>
      </c>
      <c r="M1317" s="18">
        <v>45473</v>
      </c>
      <c r="N1317" s="1">
        <v>7</v>
      </c>
      <c r="O1317" s="19">
        <v>3500</v>
      </c>
      <c r="P1317" s="18">
        <v>45473</v>
      </c>
      <c r="Q1317" s="19"/>
      <c r="R1317" s="772"/>
      <c r="S1317" s="18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 spans="1:38" ht="12.75" customHeight="1">
      <c r="A1318" s="15">
        <v>1318</v>
      </c>
      <c r="B1318" s="736" t="s">
        <v>1555</v>
      </c>
      <c r="C1318" s="16" t="s">
        <v>3988</v>
      </c>
      <c r="D1318" s="20" t="s">
        <v>3087</v>
      </c>
      <c r="E1318" s="2" t="s">
        <v>3162</v>
      </c>
      <c r="F1318" s="2" t="s">
        <v>3989</v>
      </c>
      <c r="G1318" s="17">
        <v>8486</v>
      </c>
      <c r="H1318" s="96" t="s">
        <v>830</v>
      </c>
      <c r="I1318" s="2" t="s">
        <v>3990</v>
      </c>
      <c r="J1318" s="2" t="s">
        <v>3990</v>
      </c>
      <c r="K1318" s="18">
        <v>45369</v>
      </c>
      <c r="L1318" s="18">
        <v>45387</v>
      </c>
      <c r="M1318" s="18">
        <v>45394</v>
      </c>
      <c r="N1318" s="1">
        <v>7</v>
      </c>
      <c r="O1318" s="19">
        <v>3000</v>
      </c>
      <c r="P1318" s="18">
        <v>45394</v>
      </c>
      <c r="Q1318" s="19"/>
      <c r="R1318" s="772"/>
      <c r="S1318" s="18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 spans="1:38" ht="12.75" customHeight="1">
      <c r="A1319" s="15">
        <v>1319</v>
      </c>
      <c r="B1319" s="736" t="s">
        <v>1555</v>
      </c>
      <c r="C1319" s="16" t="s">
        <v>3991</v>
      </c>
      <c r="D1319" s="20" t="s">
        <v>3087</v>
      </c>
      <c r="E1319" s="2" t="s">
        <v>3103</v>
      </c>
      <c r="F1319" s="2" t="s">
        <v>3836</v>
      </c>
      <c r="G1319" s="17">
        <v>235440</v>
      </c>
      <c r="H1319" s="2" t="s">
        <v>180</v>
      </c>
      <c r="I1319" s="2" t="s">
        <v>3992</v>
      </c>
      <c r="J1319" s="2" t="s">
        <v>3992</v>
      </c>
      <c r="K1319" s="18">
        <v>45369</v>
      </c>
      <c r="L1319" s="18">
        <v>45420</v>
      </c>
      <c r="M1319" s="18">
        <v>45420</v>
      </c>
      <c r="N1319" s="1">
        <v>7</v>
      </c>
      <c r="O1319" s="19">
        <v>0</v>
      </c>
      <c r="P1319" s="18">
        <v>45420</v>
      </c>
      <c r="Q1319" s="19"/>
      <c r="R1319" s="772"/>
      <c r="S1319" s="18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 spans="1:38" ht="12.75" customHeight="1">
      <c r="A1320" s="15">
        <v>1320</v>
      </c>
      <c r="B1320" s="736" t="s">
        <v>1555</v>
      </c>
      <c r="C1320" s="16" t="s">
        <v>3993</v>
      </c>
      <c r="D1320" s="2" t="s">
        <v>3087</v>
      </c>
      <c r="E1320" s="2" t="s">
        <v>3162</v>
      </c>
      <c r="F1320" s="2" t="s">
        <v>3994</v>
      </c>
      <c r="G1320" s="17">
        <v>9532</v>
      </c>
      <c r="H1320" s="96" t="s">
        <v>830</v>
      </c>
      <c r="I1320" s="25" t="s">
        <v>3995</v>
      </c>
      <c r="J1320" s="2" t="s">
        <v>3995</v>
      </c>
      <c r="K1320" s="18">
        <v>45337</v>
      </c>
      <c r="L1320" s="18">
        <v>45337</v>
      </c>
      <c r="M1320" s="18" t="s">
        <v>3996</v>
      </c>
      <c r="N1320" s="1">
        <v>7</v>
      </c>
      <c r="O1320" s="19">
        <v>0</v>
      </c>
      <c r="P1320" s="93" t="s">
        <v>3996</v>
      </c>
      <c r="Q1320" s="19"/>
      <c r="R1320" s="772"/>
      <c r="S1320" s="18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 t="s">
        <v>4749</v>
      </c>
      <c r="AF1320" s="2"/>
      <c r="AG1320" s="2"/>
      <c r="AH1320" s="2"/>
      <c r="AI1320" s="2"/>
      <c r="AJ1320" s="2"/>
      <c r="AK1320" s="2"/>
      <c r="AL1320" s="2"/>
    </row>
    <row r="1321" spans="1:38" ht="12.75" customHeight="1">
      <c r="A1321" s="15">
        <v>1321</v>
      </c>
      <c r="B1321" s="736" t="s">
        <v>1555</v>
      </c>
      <c r="C1321" s="16" t="s">
        <v>3997</v>
      </c>
      <c r="D1321" s="20" t="s">
        <v>3087</v>
      </c>
      <c r="E1321" s="2" t="s">
        <v>3162</v>
      </c>
      <c r="F1321" s="2" t="s">
        <v>3998</v>
      </c>
      <c r="G1321" s="17">
        <v>29150043</v>
      </c>
      <c r="H1321" s="96" t="s">
        <v>830</v>
      </c>
      <c r="I1321" s="2" t="s">
        <v>3999</v>
      </c>
      <c r="J1321" s="2" t="s">
        <v>3999</v>
      </c>
      <c r="K1321" s="18">
        <v>45355</v>
      </c>
      <c r="L1321" s="18">
        <v>45355</v>
      </c>
      <c r="M1321" s="18">
        <v>45369</v>
      </c>
      <c r="N1321" s="1">
        <v>7</v>
      </c>
      <c r="O1321" s="19">
        <v>6000</v>
      </c>
      <c r="P1321" s="18">
        <v>45369</v>
      </c>
      <c r="Q1321" s="19"/>
      <c r="R1321" s="772"/>
      <c r="S1321" s="18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 spans="1:38" ht="12.75" customHeight="1">
      <c r="A1322" s="15">
        <v>1322</v>
      </c>
      <c r="B1322" s="736" t="s">
        <v>1555</v>
      </c>
      <c r="C1322" s="16" t="s">
        <v>4000</v>
      </c>
      <c r="D1322" s="2" t="s">
        <v>3087</v>
      </c>
      <c r="E1322" s="2" t="s">
        <v>3103</v>
      </c>
      <c r="F1322" s="2" t="s">
        <v>3517</v>
      </c>
      <c r="G1322" s="17">
        <v>26474638</v>
      </c>
      <c r="H1322" s="2" t="s">
        <v>180</v>
      </c>
      <c r="I1322" s="2" t="s">
        <v>4001</v>
      </c>
      <c r="J1322" s="2" t="s">
        <v>4001</v>
      </c>
      <c r="K1322" s="18">
        <v>45370</v>
      </c>
      <c r="L1322" s="18">
        <v>45465</v>
      </c>
      <c r="M1322" s="18">
        <v>45465</v>
      </c>
      <c r="N1322" s="1">
        <v>7</v>
      </c>
      <c r="O1322" s="19">
        <v>13660</v>
      </c>
      <c r="P1322" s="18">
        <v>45465</v>
      </c>
      <c r="Q1322" s="19"/>
      <c r="R1322" s="772"/>
      <c r="S1322" s="18"/>
      <c r="T1322" s="2"/>
      <c r="U1322" s="2"/>
      <c r="V1322" s="2" t="s">
        <v>3091</v>
      </c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 spans="1:38" ht="12.75" customHeight="1">
      <c r="A1323" s="15">
        <v>1323</v>
      </c>
      <c r="B1323" s="736" t="s">
        <v>1555</v>
      </c>
      <c r="C1323" s="16" t="s">
        <v>4002</v>
      </c>
      <c r="D1323" s="20" t="s">
        <v>3087</v>
      </c>
      <c r="E1323" s="2" t="s">
        <v>3103</v>
      </c>
      <c r="F1323" s="2" t="s">
        <v>3165</v>
      </c>
      <c r="G1323" s="17">
        <v>70565813</v>
      </c>
      <c r="H1323" s="2" t="s">
        <v>180</v>
      </c>
      <c r="I1323" s="2" t="s">
        <v>4003</v>
      </c>
      <c r="J1323" s="2" t="s">
        <v>4003</v>
      </c>
      <c r="K1323" s="18">
        <v>45370</v>
      </c>
      <c r="L1323" s="18">
        <v>45392</v>
      </c>
      <c r="M1323" s="18">
        <v>45393</v>
      </c>
      <c r="N1323" s="1">
        <v>7</v>
      </c>
      <c r="O1323" s="19">
        <v>24200</v>
      </c>
      <c r="P1323" s="18">
        <v>45393</v>
      </c>
      <c r="Q1323" s="19"/>
      <c r="R1323" s="772"/>
      <c r="S1323" s="18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 spans="1:38" ht="12.75" customHeight="1">
      <c r="A1324" s="15">
        <v>1324</v>
      </c>
      <c r="B1324" s="742" t="s">
        <v>1555</v>
      </c>
      <c r="C1324" s="16" t="s">
        <v>4004</v>
      </c>
      <c r="D1324" s="2" t="s">
        <v>3110</v>
      </c>
      <c r="E1324" s="2" t="s">
        <v>3197</v>
      </c>
      <c r="F1324" s="2" t="s">
        <v>3558</v>
      </c>
      <c r="G1324" s="17">
        <v>25616153</v>
      </c>
      <c r="H1324" s="2" t="s">
        <v>546</v>
      </c>
      <c r="I1324" s="2" t="s">
        <v>4005</v>
      </c>
      <c r="J1324" s="2" t="s">
        <v>4005</v>
      </c>
      <c r="K1324" s="18">
        <v>45407</v>
      </c>
      <c r="L1324" s="18">
        <v>45407</v>
      </c>
      <c r="M1324" s="18">
        <v>45443</v>
      </c>
      <c r="N1324" s="1">
        <v>7</v>
      </c>
      <c r="O1324" s="19">
        <v>1696420</v>
      </c>
      <c r="P1324" s="18">
        <v>45443</v>
      </c>
      <c r="Q1324" s="19">
        <v>1696420</v>
      </c>
      <c r="R1324" s="772" t="s">
        <v>4006</v>
      </c>
      <c r="S1324" s="18">
        <v>45408</v>
      </c>
      <c r="T1324" s="2"/>
      <c r="U1324" s="2"/>
      <c r="V1324" s="2" t="s">
        <v>4625</v>
      </c>
      <c r="W1324" s="2" t="s">
        <v>4625</v>
      </c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 spans="1:38" ht="12.75" customHeight="1">
      <c r="A1325" s="15">
        <v>1325</v>
      </c>
      <c r="B1325" s="742" t="s">
        <v>1555</v>
      </c>
      <c r="C1325" s="16" t="s">
        <v>4007</v>
      </c>
      <c r="D1325" s="2" t="s">
        <v>3110</v>
      </c>
      <c r="E1325" s="2" t="s">
        <v>3197</v>
      </c>
      <c r="F1325" s="2" t="s">
        <v>3558</v>
      </c>
      <c r="G1325" s="17">
        <v>25616153</v>
      </c>
      <c r="H1325" s="2" t="s">
        <v>546</v>
      </c>
      <c r="I1325" s="2" t="s">
        <v>4008</v>
      </c>
      <c r="J1325" s="2" t="s">
        <v>4008</v>
      </c>
      <c r="K1325" s="18">
        <v>45407</v>
      </c>
      <c r="L1325" s="18">
        <v>45407</v>
      </c>
      <c r="M1325" s="18">
        <v>45443</v>
      </c>
      <c r="N1325" s="1">
        <v>7</v>
      </c>
      <c r="O1325" s="19">
        <v>1197900</v>
      </c>
      <c r="P1325" s="18">
        <v>45443</v>
      </c>
      <c r="Q1325" s="19">
        <v>1197900</v>
      </c>
      <c r="R1325" s="772" t="s">
        <v>4009</v>
      </c>
      <c r="S1325" s="18">
        <v>45408</v>
      </c>
      <c r="T1325" s="2"/>
      <c r="U1325" s="2"/>
      <c r="V1325" s="2" t="s">
        <v>4625</v>
      </c>
      <c r="W1325" s="2" t="s">
        <v>4625</v>
      </c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 spans="1:38" ht="12.75" customHeight="1">
      <c r="A1326" s="15">
        <v>1326</v>
      </c>
      <c r="B1326" s="742" t="s">
        <v>3086</v>
      </c>
      <c r="C1326" s="16" t="s">
        <v>4010</v>
      </c>
      <c r="D1326" s="2" t="s">
        <v>3110</v>
      </c>
      <c r="E1326" s="2" t="s">
        <v>3679</v>
      </c>
      <c r="F1326" s="2" t="s">
        <v>4011</v>
      </c>
      <c r="G1326" s="17">
        <v>8157154</v>
      </c>
      <c r="H1326" s="2" t="s">
        <v>3982</v>
      </c>
      <c r="I1326" s="2" t="s">
        <v>4012</v>
      </c>
      <c r="J1326" s="2" t="s">
        <v>4012</v>
      </c>
      <c r="K1326" s="18">
        <v>45378</v>
      </c>
      <c r="L1326" s="18">
        <v>45383</v>
      </c>
      <c r="M1326" s="18">
        <v>46112</v>
      </c>
      <c r="N1326" s="1">
        <v>1</v>
      </c>
      <c r="O1326" s="19">
        <v>544500</v>
      </c>
      <c r="P1326" s="18">
        <v>46112</v>
      </c>
      <c r="Q1326" s="19">
        <v>544500</v>
      </c>
      <c r="R1326" s="772" t="s">
        <v>4013</v>
      </c>
      <c r="S1326" s="18">
        <v>45383</v>
      </c>
      <c r="T1326" s="2"/>
      <c r="U1326" s="2"/>
      <c r="V1326" s="2"/>
      <c r="W1326" s="2"/>
      <c r="X1326" s="2"/>
      <c r="Y1326" s="25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 spans="1:38" ht="12.75" customHeight="1">
      <c r="A1327" s="15">
        <v>1327</v>
      </c>
      <c r="B1327" s="736" t="s">
        <v>3086</v>
      </c>
      <c r="C1327" s="16" t="s">
        <v>4014</v>
      </c>
      <c r="D1327" s="2" t="s">
        <v>4667</v>
      </c>
      <c r="E1327" s="2" t="s">
        <v>3169</v>
      </c>
      <c r="F1327" s="2" t="s">
        <v>3170</v>
      </c>
      <c r="G1327" s="17">
        <v>70099618</v>
      </c>
      <c r="H1327" s="2" t="s">
        <v>4015</v>
      </c>
      <c r="I1327" s="2" t="s">
        <v>4016</v>
      </c>
      <c r="J1327" s="2" t="s">
        <v>4016</v>
      </c>
      <c r="K1327" s="835">
        <v>45377</v>
      </c>
      <c r="L1327" s="835">
        <v>45377</v>
      </c>
      <c r="M1327" s="835">
        <v>46356</v>
      </c>
      <c r="N1327" s="835">
        <v>7</v>
      </c>
      <c r="O1327" s="836">
        <v>7968283</v>
      </c>
      <c r="P1327" s="835">
        <v>46356</v>
      </c>
      <c r="Q1327" s="19">
        <v>7968283</v>
      </c>
      <c r="R1327" s="772">
        <v>26372175.331742201</v>
      </c>
      <c r="S1327" s="18" t="s">
        <v>6248</v>
      </c>
      <c r="T1327" s="2"/>
      <c r="U1327" s="2">
        <v>3</v>
      </c>
      <c r="V1327" s="2" t="s">
        <v>4625</v>
      </c>
      <c r="W1327" s="2" t="s">
        <v>4625</v>
      </c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 spans="1:38" ht="12.75" customHeight="1">
      <c r="A1328" s="15">
        <v>1328</v>
      </c>
      <c r="B1328" s="742" t="s">
        <v>3086</v>
      </c>
      <c r="C1328" s="16" t="s">
        <v>4017</v>
      </c>
      <c r="D1328" s="2" t="s">
        <v>3110</v>
      </c>
      <c r="E1328" s="2" t="s">
        <v>3123</v>
      </c>
      <c r="F1328" s="2" t="s">
        <v>3850</v>
      </c>
      <c r="G1328" s="17">
        <v>232963</v>
      </c>
      <c r="H1328" s="2" t="s">
        <v>250</v>
      </c>
      <c r="I1328" s="2" t="s">
        <v>4018</v>
      </c>
      <c r="J1328" s="2" t="s">
        <v>4018</v>
      </c>
      <c r="K1328" s="18">
        <v>45377</v>
      </c>
      <c r="L1328" s="18">
        <v>45383</v>
      </c>
      <c r="M1328" s="18">
        <v>2958465</v>
      </c>
      <c r="N1328" s="1">
        <v>1</v>
      </c>
      <c r="O1328" s="19">
        <v>176675</v>
      </c>
      <c r="P1328" s="18">
        <v>2958465</v>
      </c>
      <c r="Q1328" s="19">
        <v>883375</v>
      </c>
      <c r="R1328" s="772" t="s">
        <v>4019</v>
      </c>
      <c r="S1328" s="18">
        <v>45384</v>
      </c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 spans="1:38" ht="12.75" customHeight="1">
      <c r="A1329" s="15">
        <v>1329</v>
      </c>
      <c r="B1329" s="736" t="s">
        <v>1555</v>
      </c>
      <c r="C1329" s="16" t="s">
        <v>4020</v>
      </c>
      <c r="D1329" s="20" t="s">
        <v>3087</v>
      </c>
      <c r="E1329" s="2" t="s">
        <v>3162</v>
      </c>
      <c r="F1329" s="2" t="s">
        <v>4021</v>
      </c>
      <c r="G1329" s="17">
        <v>8850</v>
      </c>
      <c r="H1329" s="96" t="s">
        <v>830</v>
      </c>
      <c r="I1329" s="2" t="s">
        <v>4022</v>
      </c>
      <c r="J1329" s="2" t="s">
        <v>4022</v>
      </c>
      <c r="K1329" s="18">
        <v>45371</v>
      </c>
      <c r="L1329" s="18">
        <v>45384</v>
      </c>
      <c r="M1329" s="18">
        <v>45386</v>
      </c>
      <c r="N1329" s="1">
        <v>7</v>
      </c>
      <c r="O1329" s="19">
        <v>1500</v>
      </c>
      <c r="P1329" s="18">
        <v>45386</v>
      </c>
      <c r="Q1329" s="19"/>
      <c r="R1329" s="772"/>
      <c r="S1329" s="18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 spans="1:38" ht="12.75" customHeight="1">
      <c r="A1330" s="15">
        <v>1330</v>
      </c>
      <c r="B1330" s="736" t="s">
        <v>1555</v>
      </c>
      <c r="C1330" s="16" t="s">
        <v>4023</v>
      </c>
      <c r="D1330" s="20" t="s">
        <v>3087</v>
      </c>
      <c r="E1330" s="2" t="s">
        <v>3162</v>
      </c>
      <c r="F1330" s="2" t="s">
        <v>4024</v>
      </c>
      <c r="G1330" s="17">
        <v>10047</v>
      </c>
      <c r="H1330" s="96" t="s">
        <v>830</v>
      </c>
      <c r="I1330" s="2" t="s">
        <v>4025</v>
      </c>
      <c r="J1330" s="2" t="s">
        <v>4025</v>
      </c>
      <c r="K1330" s="18">
        <v>45371</v>
      </c>
      <c r="L1330" s="18">
        <v>45384</v>
      </c>
      <c r="M1330" s="18">
        <v>45386</v>
      </c>
      <c r="N1330" s="1">
        <v>7</v>
      </c>
      <c r="O1330" s="19">
        <v>1500</v>
      </c>
      <c r="P1330" s="18">
        <v>45386</v>
      </c>
      <c r="Q1330" s="19"/>
      <c r="R1330" s="772"/>
      <c r="S1330" s="18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 spans="1:38" ht="12.75" customHeight="1">
      <c r="A1331" s="15">
        <v>1331</v>
      </c>
      <c r="B1331" s="742" t="s">
        <v>1555</v>
      </c>
      <c r="C1331" s="16" t="s">
        <v>4026</v>
      </c>
      <c r="D1331" s="2" t="s">
        <v>3110</v>
      </c>
      <c r="E1331" s="2" t="s">
        <v>3197</v>
      </c>
      <c r="F1331" s="2" t="s">
        <v>4027</v>
      </c>
      <c r="G1331" s="17">
        <v>48033758</v>
      </c>
      <c r="H1331" s="2" t="s">
        <v>546</v>
      </c>
      <c r="I1331" s="2" t="s">
        <v>4028</v>
      </c>
      <c r="J1331" s="2" t="s">
        <v>4029</v>
      </c>
      <c r="K1331" s="18">
        <v>45386</v>
      </c>
      <c r="L1331" s="18">
        <v>45390</v>
      </c>
      <c r="M1331" s="18">
        <v>45400</v>
      </c>
      <c r="N1331" s="1">
        <v>7</v>
      </c>
      <c r="O1331" s="19">
        <v>323706.46000000002</v>
      </c>
      <c r="P1331" s="18">
        <v>45400</v>
      </c>
      <c r="Q1331" s="19">
        <v>323706.46000000002</v>
      </c>
      <c r="R1331" s="772" t="s">
        <v>4030</v>
      </c>
      <c r="S1331" s="18">
        <v>45390</v>
      </c>
      <c r="T1331" s="2"/>
      <c r="U1331" s="2"/>
      <c r="V1331" s="2" t="s">
        <v>3091</v>
      </c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 spans="1:38" ht="12.75" customHeight="1">
      <c r="A1332" s="15">
        <v>1332</v>
      </c>
      <c r="B1332" s="742" t="s">
        <v>3086</v>
      </c>
      <c r="C1332" s="16" t="s">
        <v>4031</v>
      </c>
      <c r="D1332" s="2" t="s">
        <v>3116</v>
      </c>
      <c r="E1332" s="2" t="s">
        <v>3202</v>
      </c>
      <c r="F1332" s="2" t="s">
        <v>4032</v>
      </c>
      <c r="G1332" s="17">
        <v>4896661</v>
      </c>
      <c r="H1332" s="2" t="s">
        <v>385</v>
      </c>
      <c r="I1332" s="2" t="s">
        <v>4033</v>
      </c>
      <c r="J1332" s="2" t="s">
        <v>4034</v>
      </c>
      <c r="K1332" s="18">
        <v>45474</v>
      </c>
      <c r="L1332" s="18">
        <v>45474</v>
      </c>
      <c r="M1332" s="18">
        <v>46568</v>
      </c>
      <c r="N1332" s="1">
        <v>6</v>
      </c>
      <c r="O1332" s="19">
        <v>2359500</v>
      </c>
      <c r="P1332" s="18">
        <v>45473</v>
      </c>
      <c r="Q1332" s="19">
        <v>2359500</v>
      </c>
      <c r="R1332" s="772" t="s">
        <v>4035</v>
      </c>
      <c r="S1332" s="18">
        <v>45474</v>
      </c>
      <c r="T1332" s="2"/>
      <c r="U1332" s="3">
        <v>3</v>
      </c>
      <c r="V1332" s="2" t="s">
        <v>4625</v>
      </c>
      <c r="W1332" s="2" t="s">
        <v>4625</v>
      </c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 spans="1:38" ht="15" customHeight="1">
      <c r="A1333" s="15">
        <v>1333</v>
      </c>
      <c r="B1333" s="102" t="s">
        <v>1555</v>
      </c>
      <c r="C1333" t="s">
        <v>4824</v>
      </c>
      <c r="D1333" t="s">
        <v>3116</v>
      </c>
      <c r="E1333" s="2" t="s">
        <v>4825</v>
      </c>
      <c r="F1333" t="s">
        <v>4032</v>
      </c>
      <c r="G1333">
        <v>4896661</v>
      </c>
      <c r="H1333" t="s">
        <v>4826</v>
      </c>
      <c r="I1333" t="s">
        <v>4827</v>
      </c>
      <c r="J1333" t="s">
        <v>4827</v>
      </c>
      <c r="K1333" s="99">
        <v>45546</v>
      </c>
      <c r="L1333" s="99">
        <v>45546</v>
      </c>
      <c r="O1333" s="111">
        <v>1252350</v>
      </c>
      <c r="Q1333" s="111">
        <v>1252350</v>
      </c>
      <c r="R1333">
        <v>28170284</v>
      </c>
      <c r="S1333" s="99">
        <v>45546</v>
      </c>
      <c r="U1333" s="3">
        <v>3</v>
      </c>
      <c r="X1333" s="2"/>
    </row>
    <row r="1334" spans="1:38" ht="15" customHeight="1">
      <c r="A1334" s="15">
        <v>1334</v>
      </c>
      <c r="B1334" s="102" t="s">
        <v>3086</v>
      </c>
      <c r="C1334" t="s">
        <v>5879</v>
      </c>
      <c r="D1334" t="s">
        <v>3116</v>
      </c>
      <c r="E1334" s="2" t="s">
        <v>4825</v>
      </c>
      <c r="F1334" t="s">
        <v>4032</v>
      </c>
      <c r="G1334">
        <v>4896662</v>
      </c>
      <c r="H1334" t="s">
        <v>4826</v>
      </c>
      <c r="I1334" t="s">
        <v>4827</v>
      </c>
      <c r="J1334" t="s">
        <v>4827</v>
      </c>
      <c r="K1334" s="832">
        <v>45841</v>
      </c>
      <c r="L1334" s="832">
        <v>45841</v>
      </c>
      <c r="N1334" s="1">
        <v>6</v>
      </c>
      <c r="O1334" s="111">
        <v>580800</v>
      </c>
      <c r="Q1334" s="111">
        <v>580800</v>
      </c>
      <c r="R1334">
        <v>31827477</v>
      </c>
      <c r="S1334" s="99">
        <v>45841</v>
      </c>
      <c r="U1334" s="3"/>
      <c r="X1334" s="2"/>
    </row>
    <row r="1335" spans="1:38" ht="12.75" customHeight="1">
      <c r="A1335" s="15">
        <v>1335</v>
      </c>
      <c r="B1335" s="742" t="s">
        <v>1555</v>
      </c>
      <c r="C1335" s="16" t="s">
        <v>4037</v>
      </c>
      <c r="D1335" s="20" t="s">
        <v>3110</v>
      </c>
      <c r="E1335" s="2" t="s">
        <v>3958</v>
      </c>
      <c r="F1335" s="2" t="s">
        <v>4038</v>
      </c>
      <c r="G1335" s="17">
        <v>45274649</v>
      </c>
      <c r="H1335" s="2" t="s">
        <v>588</v>
      </c>
      <c r="I1335" s="2" t="s">
        <v>4039</v>
      </c>
      <c r="J1335" s="2" t="s">
        <v>4040</v>
      </c>
      <c r="K1335" s="18">
        <v>45379</v>
      </c>
      <c r="L1335" s="18">
        <v>45379</v>
      </c>
      <c r="M1335" s="18">
        <v>45382</v>
      </c>
      <c r="N1335" s="1">
        <v>7</v>
      </c>
      <c r="O1335" s="19">
        <v>6691.14</v>
      </c>
      <c r="P1335" s="18">
        <v>45382</v>
      </c>
      <c r="Q1335" s="19"/>
      <c r="R1335" s="772"/>
      <c r="S1335" s="18"/>
      <c r="T1335" s="2"/>
      <c r="U1335" s="2"/>
      <c r="V1335" s="2" t="s">
        <v>4625</v>
      </c>
      <c r="W1335" s="2" t="s">
        <v>4625</v>
      </c>
      <c r="X1335" s="2"/>
      <c r="Y1335" s="2" t="s">
        <v>4777</v>
      </c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 spans="1:38" ht="12.75" customHeight="1">
      <c r="A1336" s="15">
        <v>1336</v>
      </c>
      <c r="B1336" s="736" t="s">
        <v>1555</v>
      </c>
      <c r="C1336" s="16" t="s">
        <v>4041</v>
      </c>
      <c r="D1336" s="20" t="s">
        <v>3087</v>
      </c>
      <c r="E1336" s="2" t="s">
        <v>3103</v>
      </c>
      <c r="F1336" s="2" t="s">
        <v>4042</v>
      </c>
      <c r="G1336" s="17">
        <v>65601793</v>
      </c>
      <c r="H1336" s="2" t="s">
        <v>180</v>
      </c>
      <c r="I1336" s="2" t="s">
        <v>4043</v>
      </c>
      <c r="J1336" s="2" t="s">
        <v>4043</v>
      </c>
      <c r="K1336" s="18">
        <v>45377</v>
      </c>
      <c r="L1336" s="18">
        <v>45380</v>
      </c>
      <c r="M1336" s="18">
        <v>45380</v>
      </c>
      <c r="N1336" s="1">
        <v>7</v>
      </c>
      <c r="O1336" s="19">
        <v>12960</v>
      </c>
      <c r="P1336" s="18">
        <v>45380</v>
      </c>
      <c r="Q1336" s="19"/>
      <c r="R1336" s="772"/>
      <c r="S1336" s="18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 spans="1:38" ht="12.75" customHeight="1">
      <c r="A1337" s="15">
        <v>1337</v>
      </c>
      <c r="B1337" s="742" t="s">
        <v>3086</v>
      </c>
      <c r="C1337" s="16" t="s">
        <v>4044</v>
      </c>
      <c r="D1337" s="2" t="s">
        <v>3110</v>
      </c>
      <c r="E1337" s="2" t="s">
        <v>3123</v>
      </c>
      <c r="F1337" s="2" t="s">
        <v>3805</v>
      </c>
      <c r="G1337" s="17">
        <v>240702</v>
      </c>
      <c r="H1337" s="2" t="s">
        <v>250</v>
      </c>
      <c r="I1337" s="2" t="s">
        <v>4045</v>
      </c>
      <c r="J1337" s="2" t="s">
        <v>4045</v>
      </c>
      <c r="K1337" s="18">
        <v>45379</v>
      </c>
      <c r="L1337" s="18">
        <v>45383</v>
      </c>
      <c r="M1337" s="18">
        <v>46721</v>
      </c>
      <c r="N1337" s="1">
        <v>1</v>
      </c>
      <c r="O1337" s="19">
        <f>(51450+1000*8+12500)*12</f>
        <v>863400</v>
      </c>
      <c r="P1337" s="18">
        <v>46721</v>
      </c>
      <c r="Q1337" s="19">
        <f>44*71950</f>
        <v>3165800</v>
      </c>
      <c r="R1337" s="772" t="s">
        <v>4046</v>
      </c>
      <c r="S1337" s="18">
        <v>45384</v>
      </c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 spans="1:38" ht="12.75" customHeight="1">
      <c r="A1338" s="15">
        <v>1338</v>
      </c>
      <c r="B1338" s="736" t="s">
        <v>3086</v>
      </c>
      <c r="C1338" s="16" t="s">
        <v>4047</v>
      </c>
      <c r="D1338" s="2" t="s">
        <v>3110</v>
      </c>
      <c r="E1338" s="2" t="s">
        <v>3958</v>
      </c>
      <c r="F1338" s="2" t="s">
        <v>3805</v>
      </c>
      <c r="G1338" s="17">
        <v>240702</v>
      </c>
      <c r="H1338" s="2" t="s">
        <v>588</v>
      </c>
      <c r="I1338" s="2" t="s">
        <v>5019</v>
      </c>
      <c r="J1338" s="2" t="s">
        <v>4048</v>
      </c>
      <c r="K1338" s="18">
        <v>45379</v>
      </c>
      <c r="L1338" s="18">
        <v>45379</v>
      </c>
      <c r="M1338" s="18">
        <v>46721</v>
      </c>
      <c r="N1338" s="1">
        <v>7</v>
      </c>
      <c r="O1338" s="19">
        <v>287800</v>
      </c>
      <c r="P1338" s="18">
        <v>46721</v>
      </c>
      <c r="Q1338" s="19">
        <v>287800</v>
      </c>
      <c r="R1338" s="772" t="s">
        <v>4049</v>
      </c>
      <c r="S1338" s="18">
        <v>45384</v>
      </c>
      <c r="T1338" s="2"/>
      <c r="U1338" s="2"/>
      <c r="V1338" s="2" t="s">
        <v>4625</v>
      </c>
      <c r="W1338" s="2" t="s">
        <v>4625</v>
      </c>
      <c r="X1338" s="2"/>
      <c r="Y1338" s="2" t="s">
        <v>5020</v>
      </c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 spans="1:38" ht="12.75" customHeight="1">
      <c r="A1339" s="15">
        <v>1339</v>
      </c>
      <c r="B1339" s="742" t="s">
        <v>3086</v>
      </c>
      <c r="C1339" s="16" t="s">
        <v>4050</v>
      </c>
      <c r="D1339" s="2" t="s">
        <v>3127</v>
      </c>
      <c r="E1339" s="2" t="s">
        <v>3088</v>
      </c>
      <c r="F1339" s="2" t="s">
        <v>3802</v>
      </c>
      <c r="G1339" s="17">
        <v>243825</v>
      </c>
      <c r="H1339" s="2" t="s">
        <v>48</v>
      </c>
      <c r="I1339" s="2" t="s">
        <v>4051</v>
      </c>
      <c r="J1339" s="2" t="s">
        <v>4051</v>
      </c>
      <c r="K1339" s="18">
        <v>45379</v>
      </c>
      <c r="L1339" s="18">
        <v>45379</v>
      </c>
      <c r="M1339" s="18">
        <v>46108</v>
      </c>
      <c r="N1339" s="1"/>
      <c r="O1339" s="19">
        <v>0</v>
      </c>
      <c r="P1339" s="18">
        <v>46108</v>
      </c>
      <c r="Q1339" s="19">
        <v>0</v>
      </c>
      <c r="R1339" s="772" t="s">
        <v>4052</v>
      </c>
      <c r="S1339" s="18">
        <v>45379</v>
      </c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 spans="1:38" ht="12.75" customHeight="1">
      <c r="A1340" s="15">
        <v>1340</v>
      </c>
      <c r="B1340" s="742" t="s">
        <v>1555</v>
      </c>
      <c r="C1340" s="16" t="s">
        <v>4053</v>
      </c>
      <c r="D1340" s="2" t="s">
        <v>3110</v>
      </c>
      <c r="E1340" s="2" t="s">
        <v>3093</v>
      </c>
      <c r="F1340" s="2" t="s">
        <v>3879</v>
      </c>
      <c r="G1340" s="17">
        <v>64165</v>
      </c>
      <c r="H1340" s="2" t="s">
        <v>250</v>
      </c>
      <c r="I1340" s="2" t="s">
        <v>4054</v>
      </c>
      <c r="J1340" s="2" t="s">
        <v>4054</v>
      </c>
      <c r="K1340" s="18">
        <v>45379</v>
      </c>
      <c r="L1340" s="18">
        <v>45383</v>
      </c>
      <c r="M1340" s="18">
        <v>45747</v>
      </c>
      <c r="N1340" s="1">
        <v>1</v>
      </c>
      <c r="O1340" s="19">
        <v>152568.9</v>
      </c>
      <c r="P1340" s="18">
        <v>45747</v>
      </c>
      <c r="Q1340" s="19">
        <v>152568.9</v>
      </c>
      <c r="R1340" s="772" t="s">
        <v>4055</v>
      </c>
      <c r="S1340" s="18">
        <v>45381</v>
      </c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 spans="1:38" ht="12.75" customHeight="1">
      <c r="A1341" s="15">
        <v>1341</v>
      </c>
      <c r="B1341" s="736" t="s">
        <v>1555</v>
      </c>
      <c r="C1341" s="16" t="s">
        <v>4056</v>
      </c>
      <c r="D1341" s="20" t="s">
        <v>3087</v>
      </c>
      <c r="E1341" s="2" t="s">
        <v>3103</v>
      </c>
      <c r="F1341" s="2" t="s">
        <v>4057</v>
      </c>
      <c r="G1341" s="17">
        <v>19609914</v>
      </c>
      <c r="H1341" s="2" t="s">
        <v>180</v>
      </c>
      <c r="I1341" s="2" t="s">
        <v>4058</v>
      </c>
      <c r="J1341" s="2" t="s">
        <v>4058</v>
      </c>
      <c r="K1341" s="18">
        <v>45378</v>
      </c>
      <c r="L1341" s="18">
        <v>45389</v>
      </c>
      <c r="M1341" s="18">
        <v>45389</v>
      </c>
      <c r="N1341" s="1">
        <v>7</v>
      </c>
      <c r="O1341" s="19">
        <v>5730</v>
      </c>
      <c r="P1341" s="18">
        <v>45389</v>
      </c>
      <c r="Q1341" s="19"/>
      <c r="R1341" s="772"/>
      <c r="S1341" s="18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 spans="1:38" ht="12.75" customHeight="1">
      <c r="A1342" s="15">
        <v>1342</v>
      </c>
      <c r="B1342" s="736" t="s">
        <v>1555</v>
      </c>
      <c r="C1342" s="16" t="s">
        <v>4059</v>
      </c>
      <c r="D1342" s="20" t="s">
        <v>3087</v>
      </c>
      <c r="E1342" s="2" t="s">
        <v>3162</v>
      </c>
      <c r="F1342" s="2" t="s">
        <v>4060</v>
      </c>
      <c r="G1342" s="17">
        <v>10060</v>
      </c>
      <c r="H1342" s="96" t="s">
        <v>830</v>
      </c>
      <c r="I1342" s="2" t="s">
        <v>4061</v>
      </c>
      <c r="J1342" s="2" t="s">
        <v>4061</v>
      </c>
      <c r="K1342" s="18">
        <v>45384</v>
      </c>
      <c r="L1342" s="18">
        <v>45392</v>
      </c>
      <c r="M1342" s="18">
        <v>45442</v>
      </c>
      <c r="N1342" s="1">
        <v>7</v>
      </c>
      <c r="O1342" s="19">
        <v>0</v>
      </c>
      <c r="P1342" s="18">
        <v>45442</v>
      </c>
      <c r="Q1342" s="19"/>
      <c r="R1342" s="772"/>
      <c r="S1342" s="18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 spans="1:38" ht="12.75" customHeight="1">
      <c r="A1343" s="15">
        <v>1343</v>
      </c>
      <c r="B1343" s="736" t="s">
        <v>1555</v>
      </c>
      <c r="C1343" s="16" t="s">
        <v>4062</v>
      </c>
      <c r="D1343" s="20" t="s">
        <v>3087</v>
      </c>
      <c r="E1343" s="2" t="s">
        <v>3162</v>
      </c>
      <c r="F1343" s="2" t="s">
        <v>4063</v>
      </c>
      <c r="G1343" s="17">
        <v>24697087</v>
      </c>
      <c r="H1343" s="96" t="s">
        <v>830</v>
      </c>
      <c r="I1343" s="2" t="s">
        <v>4064</v>
      </c>
      <c r="J1343" s="2" t="s">
        <v>4064</v>
      </c>
      <c r="K1343" s="18">
        <v>45385</v>
      </c>
      <c r="L1343" s="18">
        <v>45428</v>
      </c>
      <c r="M1343" s="18">
        <v>45443</v>
      </c>
      <c r="N1343" s="1">
        <v>7</v>
      </c>
      <c r="O1343" s="19">
        <v>6000</v>
      </c>
      <c r="P1343" s="18">
        <v>45443</v>
      </c>
      <c r="Q1343" s="19"/>
      <c r="R1343" s="772"/>
      <c r="S1343" s="18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 spans="1:38" ht="12.75" customHeight="1">
      <c r="A1344" s="15">
        <v>1344</v>
      </c>
      <c r="B1344" s="742" t="s">
        <v>1555</v>
      </c>
      <c r="C1344" s="16" t="s">
        <v>4065</v>
      </c>
      <c r="D1344" s="2" t="s">
        <v>3110</v>
      </c>
      <c r="E1344" s="2" t="s">
        <v>3202</v>
      </c>
      <c r="F1344" s="2" t="s">
        <v>3433</v>
      </c>
      <c r="G1344" s="17">
        <v>27359875</v>
      </c>
      <c r="H1344" s="2" t="s">
        <v>385</v>
      </c>
      <c r="I1344" s="2" t="s">
        <v>4066</v>
      </c>
      <c r="J1344" s="2" t="s">
        <v>4067</v>
      </c>
      <c r="K1344" s="18">
        <v>45393</v>
      </c>
      <c r="L1344" s="18">
        <v>45393</v>
      </c>
      <c r="M1344" s="18">
        <v>45793</v>
      </c>
      <c r="N1344" s="1">
        <v>6</v>
      </c>
      <c r="O1344" s="19">
        <v>599918</v>
      </c>
      <c r="P1344" s="18">
        <v>45793</v>
      </c>
      <c r="Q1344" s="19">
        <v>599918</v>
      </c>
      <c r="R1344" s="772" t="s">
        <v>4068</v>
      </c>
      <c r="S1344" s="18">
        <v>45393</v>
      </c>
      <c r="T1344" s="2" t="s">
        <v>4069</v>
      </c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 spans="1:38" ht="12.75" customHeight="1">
      <c r="A1345" s="15">
        <v>1345</v>
      </c>
      <c r="B1345" s="742" t="s">
        <v>3086</v>
      </c>
      <c r="C1345" s="16" t="s">
        <v>4070</v>
      </c>
      <c r="D1345" s="2" t="s">
        <v>3087</v>
      </c>
      <c r="E1345" s="2" t="s">
        <v>3202</v>
      </c>
      <c r="F1345" s="2" t="s">
        <v>4071</v>
      </c>
      <c r="G1345" s="17">
        <v>61509051</v>
      </c>
      <c r="H1345" s="2" t="s">
        <v>385</v>
      </c>
      <c r="I1345" s="2" t="s">
        <v>4072</v>
      </c>
      <c r="J1345" s="2" t="s">
        <v>4073</v>
      </c>
      <c r="K1345" s="18">
        <v>45389</v>
      </c>
      <c r="L1345" s="18">
        <v>45401</v>
      </c>
      <c r="M1345" s="18">
        <v>46130</v>
      </c>
      <c r="N1345" s="1">
        <v>6</v>
      </c>
      <c r="O1345" s="19">
        <v>1331000</v>
      </c>
      <c r="P1345" s="18">
        <v>46130</v>
      </c>
      <c r="Q1345" s="19">
        <v>1331000</v>
      </c>
      <c r="R1345" s="772" t="s">
        <v>4074</v>
      </c>
      <c r="S1345" s="18">
        <v>45401</v>
      </c>
      <c r="T1345" s="2"/>
      <c r="U1345" s="2">
        <v>3</v>
      </c>
      <c r="V1345" s="2" t="s">
        <v>4625</v>
      </c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 spans="1:38" ht="12.75" customHeight="1">
      <c r="A1346" s="15">
        <v>1346</v>
      </c>
      <c r="B1346" s="742" t="s">
        <v>3086</v>
      </c>
      <c r="C1346" s="16" t="s">
        <v>5674</v>
      </c>
      <c r="D1346" s="2" t="s">
        <v>3087</v>
      </c>
      <c r="E1346" s="2" t="s">
        <v>3093</v>
      </c>
      <c r="F1346" s="2" t="s">
        <v>3879</v>
      </c>
      <c r="G1346" s="17">
        <v>64165</v>
      </c>
      <c r="H1346" s="96" t="s">
        <v>510</v>
      </c>
      <c r="I1346" s="2" t="s">
        <v>4075</v>
      </c>
      <c r="J1346" s="2" t="s">
        <v>510</v>
      </c>
      <c r="K1346" s="18">
        <v>45386</v>
      </c>
      <c r="L1346" s="18">
        <v>45386</v>
      </c>
      <c r="M1346" s="18">
        <v>45504</v>
      </c>
      <c r="N1346" s="1">
        <v>6</v>
      </c>
      <c r="O1346" s="19">
        <v>0</v>
      </c>
      <c r="P1346" s="18">
        <v>45390</v>
      </c>
      <c r="Q1346" s="19">
        <v>0</v>
      </c>
      <c r="R1346" s="772" t="s">
        <v>4076</v>
      </c>
      <c r="S1346" s="18">
        <v>45390</v>
      </c>
      <c r="T1346" s="2"/>
      <c r="U1346" s="2">
        <v>3</v>
      </c>
      <c r="V1346" s="2" t="s">
        <v>4625</v>
      </c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 spans="1:38" ht="12.75" customHeight="1">
      <c r="A1347" s="15">
        <v>1347</v>
      </c>
      <c r="B1347" s="742" t="s">
        <v>3086</v>
      </c>
      <c r="C1347" s="16" t="s">
        <v>4077</v>
      </c>
      <c r="D1347" s="2" t="s">
        <v>3087</v>
      </c>
      <c r="E1347" s="2" t="s">
        <v>3093</v>
      </c>
      <c r="F1347" s="2" t="s">
        <v>4078</v>
      </c>
      <c r="G1347" s="17">
        <v>23698</v>
      </c>
      <c r="H1347" s="96" t="s">
        <v>510</v>
      </c>
      <c r="I1347" s="2" t="s">
        <v>4079</v>
      </c>
      <c r="J1347" s="2" t="s">
        <v>4080</v>
      </c>
      <c r="K1347" s="18">
        <v>45392</v>
      </c>
      <c r="L1347" s="18">
        <v>45392</v>
      </c>
      <c r="M1347" s="18">
        <v>2958465</v>
      </c>
      <c r="N1347" s="1">
        <v>6</v>
      </c>
      <c r="O1347" s="19">
        <v>0</v>
      </c>
      <c r="P1347" s="18">
        <v>2958465</v>
      </c>
      <c r="Q1347" s="19">
        <v>0</v>
      </c>
      <c r="R1347" s="772" t="s">
        <v>4081</v>
      </c>
      <c r="S1347" s="18">
        <v>45393</v>
      </c>
      <c r="T1347" s="2"/>
      <c r="V1347" s="2" t="s">
        <v>4625</v>
      </c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 spans="1:38" ht="12.75" customHeight="1">
      <c r="A1348" s="15">
        <v>1348</v>
      </c>
      <c r="B1348" s="736" t="s">
        <v>1555</v>
      </c>
      <c r="C1348" s="16" t="s">
        <v>4082</v>
      </c>
      <c r="D1348" s="2" t="s">
        <v>3087</v>
      </c>
      <c r="E1348" s="2" t="s">
        <v>3103</v>
      </c>
      <c r="F1348" s="2" t="s">
        <v>3636</v>
      </c>
      <c r="G1348" s="17">
        <v>22898867</v>
      </c>
      <c r="H1348" s="2" t="s">
        <v>180</v>
      </c>
      <c r="I1348" s="2" t="s">
        <v>4083</v>
      </c>
      <c r="J1348" s="2" t="s">
        <v>4083</v>
      </c>
      <c r="K1348" s="18">
        <v>45356</v>
      </c>
      <c r="L1348" s="18">
        <v>45394</v>
      </c>
      <c r="M1348" s="18">
        <v>45396</v>
      </c>
      <c r="N1348" s="1">
        <v>7</v>
      </c>
      <c r="O1348" s="19">
        <v>63600</v>
      </c>
      <c r="P1348" s="18">
        <v>45396</v>
      </c>
      <c r="Q1348" s="19">
        <v>63600</v>
      </c>
      <c r="R1348" s="772" t="s">
        <v>4084</v>
      </c>
      <c r="S1348" s="18">
        <v>45391</v>
      </c>
      <c r="T1348" s="2"/>
      <c r="U1348" s="2"/>
      <c r="V1348" s="2" t="s">
        <v>3091</v>
      </c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 spans="1:38" ht="12.75" customHeight="1">
      <c r="A1349" s="15">
        <v>1349</v>
      </c>
      <c r="B1349" s="736" t="s">
        <v>1555</v>
      </c>
      <c r="C1349" s="16" t="s">
        <v>4085</v>
      </c>
      <c r="D1349" s="2" t="s">
        <v>3087</v>
      </c>
      <c r="E1349" s="2" t="s">
        <v>3162</v>
      </c>
      <c r="F1349" s="2" t="s">
        <v>4086</v>
      </c>
      <c r="G1349" s="17">
        <v>10067</v>
      </c>
      <c r="H1349" s="96" t="s">
        <v>830</v>
      </c>
      <c r="I1349" s="2" t="s">
        <v>4087</v>
      </c>
      <c r="J1349" s="2" t="s">
        <v>4087</v>
      </c>
      <c r="K1349" s="18">
        <v>45384</v>
      </c>
      <c r="L1349" s="18">
        <v>45446</v>
      </c>
      <c r="M1349" s="18">
        <v>45460</v>
      </c>
      <c r="N1349" s="1">
        <v>7</v>
      </c>
      <c r="O1349" s="19">
        <v>0</v>
      </c>
      <c r="P1349" s="18">
        <v>45460</v>
      </c>
      <c r="Q1349" s="19"/>
      <c r="R1349" s="772"/>
      <c r="S1349" s="18"/>
      <c r="T1349" s="2"/>
      <c r="U1349" s="2"/>
      <c r="V1349" s="2" t="s">
        <v>3091</v>
      </c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 spans="1:38" ht="12.75" customHeight="1">
      <c r="A1350" s="15">
        <v>1350</v>
      </c>
      <c r="B1350" s="736" t="s">
        <v>1555</v>
      </c>
      <c r="C1350" s="16" t="s">
        <v>4088</v>
      </c>
      <c r="D1350" s="2" t="s">
        <v>3087</v>
      </c>
      <c r="E1350" s="2" t="s">
        <v>3162</v>
      </c>
      <c r="F1350" s="2" t="s">
        <v>4089</v>
      </c>
      <c r="G1350" s="17">
        <v>10068</v>
      </c>
      <c r="H1350" s="96" t="s">
        <v>830</v>
      </c>
      <c r="I1350" s="2" t="s">
        <v>4090</v>
      </c>
      <c r="J1350" s="2" t="s">
        <v>4090</v>
      </c>
      <c r="K1350" s="18">
        <v>45377</v>
      </c>
      <c r="L1350" s="18">
        <v>45420</v>
      </c>
      <c r="M1350" s="18">
        <v>45435</v>
      </c>
      <c r="N1350" s="1">
        <v>7</v>
      </c>
      <c r="O1350" s="19">
        <v>0</v>
      </c>
      <c r="P1350" s="18">
        <v>45435</v>
      </c>
      <c r="Q1350" s="19"/>
      <c r="R1350" s="772"/>
      <c r="S1350" s="18"/>
      <c r="T1350" s="2"/>
      <c r="U1350" s="2"/>
      <c r="V1350" s="2" t="s">
        <v>3091</v>
      </c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 spans="1:38" ht="12.75" customHeight="1">
      <c r="A1351" s="15">
        <v>1351</v>
      </c>
      <c r="B1351" s="736" t="s">
        <v>1555</v>
      </c>
      <c r="C1351" s="16" t="s">
        <v>4091</v>
      </c>
      <c r="D1351" s="2" t="s">
        <v>3087</v>
      </c>
      <c r="E1351" s="2" t="s">
        <v>3162</v>
      </c>
      <c r="F1351" s="2" t="s">
        <v>4092</v>
      </c>
      <c r="G1351" s="17">
        <v>10069</v>
      </c>
      <c r="H1351" s="96" t="s">
        <v>830</v>
      </c>
      <c r="I1351" s="2" t="s">
        <v>4093</v>
      </c>
      <c r="J1351" s="2" t="s">
        <v>4093</v>
      </c>
      <c r="K1351" s="18">
        <v>45376</v>
      </c>
      <c r="L1351" s="18">
        <v>45446</v>
      </c>
      <c r="M1351" s="18">
        <v>45481</v>
      </c>
      <c r="N1351" s="1">
        <v>7</v>
      </c>
      <c r="O1351" s="19">
        <v>0</v>
      </c>
      <c r="P1351" s="18">
        <v>45481</v>
      </c>
      <c r="Q1351" s="19"/>
      <c r="R1351" s="772"/>
      <c r="S1351" s="18"/>
      <c r="T1351" s="2"/>
      <c r="U1351" s="2"/>
      <c r="V1351" s="2" t="s">
        <v>3091</v>
      </c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 spans="1:38" ht="12.75" customHeight="1">
      <c r="A1352" s="15">
        <v>1352</v>
      </c>
      <c r="B1352" s="736" t="s">
        <v>1555</v>
      </c>
      <c r="C1352" s="16" t="s">
        <v>4094</v>
      </c>
      <c r="D1352" s="2" t="s">
        <v>3087</v>
      </c>
      <c r="E1352" s="2" t="s">
        <v>3162</v>
      </c>
      <c r="F1352" s="2" t="s">
        <v>4095</v>
      </c>
      <c r="G1352" s="17">
        <v>10070</v>
      </c>
      <c r="H1352" s="96" t="s">
        <v>830</v>
      </c>
      <c r="I1352" s="2" t="s">
        <v>4096</v>
      </c>
      <c r="J1352" s="2" t="s">
        <v>4096</v>
      </c>
      <c r="K1352" s="18">
        <v>45377</v>
      </c>
      <c r="L1352" s="18">
        <v>45474</v>
      </c>
      <c r="M1352" s="18">
        <v>45488</v>
      </c>
      <c r="N1352" s="1">
        <v>7</v>
      </c>
      <c r="O1352" s="19">
        <v>0</v>
      </c>
      <c r="P1352" s="18">
        <v>45488</v>
      </c>
      <c r="Q1352" s="19"/>
      <c r="R1352" s="772"/>
      <c r="S1352" s="18"/>
      <c r="T1352" s="2"/>
      <c r="U1352" s="2"/>
      <c r="V1352" s="2" t="s">
        <v>4625</v>
      </c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 spans="1:38" ht="12.75" customHeight="1">
      <c r="A1353" s="15">
        <v>1353</v>
      </c>
      <c r="B1353" s="736" t="s">
        <v>1555</v>
      </c>
      <c r="C1353" s="16" t="s">
        <v>4097</v>
      </c>
      <c r="D1353" s="2" t="s">
        <v>3087</v>
      </c>
      <c r="E1353" s="2" t="s">
        <v>3162</v>
      </c>
      <c r="F1353" s="2" t="s">
        <v>4098</v>
      </c>
      <c r="G1353" s="17">
        <v>10071</v>
      </c>
      <c r="H1353" s="96" t="s">
        <v>830</v>
      </c>
      <c r="I1353" s="2" t="s">
        <v>4099</v>
      </c>
      <c r="J1353" s="2" t="s">
        <v>4099</v>
      </c>
      <c r="K1353" s="18">
        <v>45377</v>
      </c>
      <c r="L1353" s="18">
        <v>45444</v>
      </c>
      <c r="M1353" s="18">
        <v>45473</v>
      </c>
      <c r="N1353" s="1">
        <v>7</v>
      </c>
      <c r="O1353" s="19">
        <v>0</v>
      </c>
      <c r="P1353" s="18">
        <v>45473</v>
      </c>
      <c r="Q1353" s="19"/>
      <c r="R1353" s="772"/>
      <c r="S1353" s="18"/>
      <c r="T1353" s="2"/>
      <c r="U1353" s="2"/>
      <c r="V1353" s="2" t="s">
        <v>3091</v>
      </c>
      <c r="W1353" s="2"/>
      <c r="X1353" s="2"/>
      <c r="Y1353" s="25" t="s">
        <v>4100</v>
      </c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 spans="1:38" ht="12.75" customHeight="1">
      <c r="A1354" s="15">
        <v>1354</v>
      </c>
      <c r="B1354" s="742" t="s">
        <v>3086</v>
      </c>
      <c r="C1354" s="16" t="s">
        <v>4101</v>
      </c>
      <c r="D1354" s="2" t="s">
        <v>3087</v>
      </c>
      <c r="E1354" s="2" t="s">
        <v>3093</v>
      </c>
      <c r="F1354" s="2" t="s">
        <v>3876</v>
      </c>
      <c r="G1354" s="17">
        <v>75030926</v>
      </c>
      <c r="H1354" s="96" t="s">
        <v>510</v>
      </c>
      <c r="I1354" s="2" t="s">
        <v>4102</v>
      </c>
      <c r="J1354" s="2" t="s">
        <v>4103</v>
      </c>
      <c r="K1354" s="18">
        <v>45378</v>
      </c>
      <c r="L1354" s="18">
        <v>45378</v>
      </c>
      <c r="M1354" s="18">
        <v>2958465</v>
      </c>
      <c r="N1354" s="1">
        <v>6</v>
      </c>
      <c r="O1354" s="19">
        <v>0</v>
      </c>
      <c r="P1354" s="18">
        <v>2958465</v>
      </c>
      <c r="Q1354" s="19">
        <v>0</v>
      </c>
      <c r="R1354" s="772" t="s">
        <v>4104</v>
      </c>
      <c r="S1354" s="18">
        <v>45391</v>
      </c>
      <c r="T1354" s="2" t="s">
        <v>4105</v>
      </c>
      <c r="U1354" s="2">
        <v>3</v>
      </c>
      <c r="V1354" s="2"/>
      <c r="W1354" s="2"/>
      <c r="X1354" s="2"/>
      <c r="Y1354" s="2"/>
      <c r="Z1354" s="2"/>
      <c r="AA1354" s="2"/>
      <c r="AB1354" s="2"/>
      <c r="AC1354" s="2"/>
      <c r="AD1354" s="2"/>
      <c r="AE1354" s="2" t="s">
        <v>4741</v>
      </c>
      <c r="AF1354" s="2"/>
      <c r="AG1354" s="2"/>
      <c r="AH1354" s="2"/>
      <c r="AI1354" s="2"/>
      <c r="AJ1354" s="2"/>
      <c r="AK1354" s="2"/>
      <c r="AL1354" s="2"/>
    </row>
    <row r="1355" spans="1:38" ht="12.75" customHeight="1">
      <c r="A1355" s="15">
        <v>1355</v>
      </c>
      <c r="B1355" s="742" t="s">
        <v>3086</v>
      </c>
      <c r="C1355" s="16" t="s">
        <v>4106</v>
      </c>
      <c r="D1355" s="2" t="s">
        <v>3110</v>
      </c>
      <c r="E1355" s="2" t="s">
        <v>3117</v>
      </c>
      <c r="F1355" s="2" t="s">
        <v>6139</v>
      </c>
      <c r="G1355" s="17">
        <v>7980027</v>
      </c>
      <c r="H1355" s="2" t="s">
        <v>4107</v>
      </c>
      <c r="I1355" s="2" t="s">
        <v>4108</v>
      </c>
      <c r="J1355" s="2" t="s">
        <v>4109</v>
      </c>
      <c r="K1355" s="18">
        <v>45397</v>
      </c>
      <c r="L1355" s="18">
        <v>45397</v>
      </c>
      <c r="M1355" s="18">
        <v>46491</v>
      </c>
      <c r="N1355" s="1">
        <v>1</v>
      </c>
      <c r="O1355" s="19">
        <v>17722.099999999999</v>
      </c>
      <c r="P1355" s="18">
        <v>46491</v>
      </c>
      <c r="Q1355" s="19"/>
      <c r="R1355" s="772"/>
      <c r="S1355" s="18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 spans="1:38" ht="12.75" customHeight="1">
      <c r="A1356" s="15">
        <v>1356</v>
      </c>
      <c r="B1356" s="736" t="s">
        <v>3086</v>
      </c>
      <c r="C1356" s="16" t="s">
        <v>4110</v>
      </c>
      <c r="D1356" s="2" t="s">
        <v>3110</v>
      </c>
      <c r="E1356" s="2" t="s">
        <v>3117</v>
      </c>
      <c r="F1356" s="2" t="s">
        <v>4111</v>
      </c>
      <c r="G1356" s="17">
        <v>107999</v>
      </c>
      <c r="H1356" s="2" t="s">
        <v>3982</v>
      </c>
      <c r="I1356" s="2" t="s">
        <v>4112</v>
      </c>
      <c r="J1356" s="2" t="s">
        <v>4112</v>
      </c>
      <c r="K1356" s="18">
        <v>45379</v>
      </c>
      <c r="L1356" s="18">
        <v>45383</v>
      </c>
      <c r="M1356" s="18">
        <v>2958465</v>
      </c>
      <c r="N1356" s="1">
        <v>6</v>
      </c>
      <c r="O1356" s="19">
        <v>770</v>
      </c>
      <c r="P1356" s="18">
        <v>2958465</v>
      </c>
      <c r="Q1356" s="19"/>
      <c r="R1356" s="772"/>
      <c r="S1356" s="18"/>
      <c r="T1356" s="2" t="s">
        <v>4113</v>
      </c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 spans="1:38" ht="12.75" customHeight="1">
      <c r="A1357" s="15">
        <v>1357</v>
      </c>
      <c r="B1357" s="742" t="s">
        <v>1555</v>
      </c>
      <c r="C1357" s="16" t="s">
        <v>4114</v>
      </c>
      <c r="D1357" s="2" t="s">
        <v>3110</v>
      </c>
      <c r="E1357" s="2" t="s">
        <v>3123</v>
      </c>
      <c r="F1357" s="2" t="s">
        <v>4115</v>
      </c>
      <c r="G1357" s="17">
        <v>241245</v>
      </c>
      <c r="H1357" s="2" t="s">
        <v>250</v>
      </c>
      <c r="I1357" s="2" t="s">
        <v>4116</v>
      </c>
      <c r="J1357" s="2" t="s">
        <v>4117</v>
      </c>
      <c r="K1357" s="18">
        <v>45402</v>
      </c>
      <c r="L1357" s="18">
        <v>45402</v>
      </c>
      <c r="M1357" s="18">
        <v>45767</v>
      </c>
      <c r="N1357" s="1">
        <v>1</v>
      </c>
      <c r="O1357" s="19">
        <v>372000</v>
      </c>
      <c r="P1357" s="18">
        <v>45767</v>
      </c>
      <c r="Q1357" s="19">
        <v>372000</v>
      </c>
      <c r="R1357" s="772" t="s">
        <v>4118</v>
      </c>
      <c r="S1357" s="18">
        <v>45402</v>
      </c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 spans="1:38" ht="12.75" customHeight="1">
      <c r="A1358" s="15">
        <v>1358</v>
      </c>
      <c r="B1358" s="742" t="s">
        <v>3086</v>
      </c>
      <c r="C1358" s="16" t="s">
        <v>4119</v>
      </c>
      <c r="D1358" s="2" t="s">
        <v>3094</v>
      </c>
      <c r="E1358" s="2" t="s">
        <v>3095</v>
      </c>
      <c r="F1358" s="81" t="s">
        <v>3306</v>
      </c>
      <c r="G1358" s="17">
        <v>47528371</v>
      </c>
      <c r="H1358" s="2" t="s">
        <v>189</v>
      </c>
      <c r="I1358" s="2" t="s">
        <v>4120</v>
      </c>
      <c r="J1358" s="2" t="s">
        <v>4121</v>
      </c>
      <c r="K1358" s="18">
        <v>45397</v>
      </c>
      <c r="L1358" s="18">
        <v>45398</v>
      </c>
      <c r="M1358" s="18">
        <v>46858</v>
      </c>
      <c r="N1358" s="1">
        <v>6</v>
      </c>
      <c r="O1358" s="19">
        <v>0</v>
      </c>
      <c r="P1358" s="18">
        <v>46858</v>
      </c>
      <c r="Q1358" s="19">
        <v>0</v>
      </c>
      <c r="R1358" s="772" t="s">
        <v>4122</v>
      </c>
      <c r="S1358" s="18">
        <v>45398</v>
      </c>
      <c r="T1358" s="2" t="s">
        <v>4123</v>
      </c>
      <c r="U1358" s="105">
        <v>3</v>
      </c>
      <c r="V1358" s="2"/>
      <c r="W1358" s="2" t="s">
        <v>4625</v>
      </c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 spans="1:38" ht="12.75" customHeight="1">
      <c r="A1359" s="15">
        <v>1359</v>
      </c>
      <c r="B1359" s="742" t="s">
        <v>3086</v>
      </c>
      <c r="C1359" s="16" t="s">
        <v>4124</v>
      </c>
      <c r="D1359" s="2" t="s">
        <v>3110</v>
      </c>
      <c r="E1359" s="2" t="s">
        <v>3144</v>
      </c>
      <c r="F1359" s="2" t="s">
        <v>3140</v>
      </c>
      <c r="G1359" s="17">
        <v>70891095</v>
      </c>
      <c r="H1359" s="2" t="s">
        <v>215</v>
      </c>
      <c r="I1359" s="2" t="s">
        <v>4125</v>
      </c>
      <c r="J1359" s="2" t="s">
        <v>4126</v>
      </c>
      <c r="K1359" s="18">
        <v>45273</v>
      </c>
      <c r="L1359" s="18">
        <v>45292</v>
      </c>
      <c r="M1359" s="18">
        <v>46752</v>
      </c>
      <c r="N1359" s="1">
        <v>4</v>
      </c>
      <c r="O1359" s="19">
        <v>0</v>
      </c>
      <c r="P1359" s="18">
        <v>46752</v>
      </c>
      <c r="Q1359" s="19"/>
      <c r="R1359" s="772"/>
      <c r="S1359" s="18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 spans="1:38" ht="12.75" customHeight="1">
      <c r="A1360" s="15">
        <v>1360</v>
      </c>
      <c r="B1360" s="742" t="s">
        <v>3086</v>
      </c>
      <c r="C1360" s="16" t="s">
        <v>4127</v>
      </c>
      <c r="D1360" s="2" t="s">
        <v>3094</v>
      </c>
      <c r="E1360" s="2" t="s">
        <v>3095</v>
      </c>
      <c r="F1360" s="81" t="s">
        <v>3315</v>
      </c>
      <c r="G1360" s="17">
        <v>47013974</v>
      </c>
      <c r="H1360" s="2" t="s">
        <v>189</v>
      </c>
      <c r="I1360" s="2" t="s">
        <v>4128</v>
      </c>
      <c r="J1360" s="2" t="s">
        <v>3315</v>
      </c>
      <c r="K1360" s="18">
        <v>45398</v>
      </c>
      <c r="L1360" s="18">
        <v>45398</v>
      </c>
      <c r="M1360" s="18">
        <v>46022</v>
      </c>
      <c r="N1360" s="1">
        <v>6</v>
      </c>
      <c r="O1360" s="19">
        <v>0</v>
      </c>
      <c r="P1360" s="18">
        <v>46022</v>
      </c>
      <c r="Q1360" s="19">
        <v>0</v>
      </c>
      <c r="R1360" s="772">
        <v>26506247.332003299</v>
      </c>
      <c r="S1360" s="18" t="s">
        <v>6280</v>
      </c>
      <c r="T1360" s="2" t="s">
        <v>4129</v>
      </c>
      <c r="U1360" s="105">
        <v>3</v>
      </c>
      <c r="V1360" s="2"/>
      <c r="W1360" s="2" t="s">
        <v>4625</v>
      </c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 spans="1:38" ht="12.75" customHeight="1">
      <c r="A1361" s="15">
        <v>1361</v>
      </c>
      <c r="B1361" s="742" t="s">
        <v>1555</v>
      </c>
      <c r="C1361" s="16" t="s">
        <v>4130</v>
      </c>
      <c r="D1361" s="2" t="s">
        <v>3087</v>
      </c>
      <c r="E1361" s="2" t="s">
        <v>3162</v>
      </c>
      <c r="F1361" s="2" t="s">
        <v>4131</v>
      </c>
      <c r="G1361" s="17">
        <v>10075</v>
      </c>
      <c r="H1361" s="96" t="s">
        <v>830</v>
      </c>
      <c r="I1361" s="2" t="s">
        <v>4132</v>
      </c>
      <c r="J1361" s="2" t="s">
        <v>4132</v>
      </c>
      <c r="K1361" s="18">
        <v>45378</v>
      </c>
      <c r="L1361" s="18">
        <v>45537</v>
      </c>
      <c r="M1361" s="18">
        <v>45551</v>
      </c>
      <c r="N1361" s="1">
        <v>7</v>
      </c>
      <c r="O1361" s="19">
        <v>0</v>
      </c>
      <c r="P1361" s="18">
        <v>45551</v>
      </c>
      <c r="Q1361" s="19"/>
      <c r="R1361" s="772"/>
      <c r="S1361" s="18"/>
      <c r="T1361" s="2"/>
      <c r="U1361" s="2"/>
      <c r="V1361" s="2" t="s">
        <v>4625</v>
      </c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 spans="1:38" ht="12.75" customHeight="1">
      <c r="A1362" s="15">
        <v>1362</v>
      </c>
      <c r="B1362" s="736" t="s">
        <v>1555</v>
      </c>
      <c r="C1362" s="16" t="s">
        <v>4133</v>
      </c>
      <c r="D1362" s="20" t="s">
        <v>3087</v>
      </c>
      <c r="E1362" s="2" t="s">
        <v>3162</v>
      </c>
      <c r="F1362" s="2" t="s">
        <v>3887</v>
      </c>
      <c r="G1362" s="17">
        <v>10705</v>
      </c>
      <c r="H1362" s="96" t="s">
        <v>830</v>
      </c>
      <c r="I1362" s="2" t="s">
        <v>4134</v>
      </c>
      <c r="J1362" s="2" t="s">
        <v>4134</v>
      </c>
      <c r="K1362" s="18">
        <v>45386</v>
      </c>
      <c r="L1362" s="18">
        <v>45411</v>
      </c>
      <c r="M1362" s="18">
        <v>45787</v>
      </c>
      <c r="N1362" s="1">
        <v>7</v>
      </c>
      <c r="O1362" s="19">
        <v>4000</v>
      </c>
      <c r="P1362" s="18">
        <v>45422</v>
      </c>
      <c r="Q1362" s="19"/>
      <c r="R1362" s="772"/>
      <c r="S1362" s="18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 spans="1:38" ht="12.75" customHeight="1">
      <c r="A1363" s="15">
        <v>1363</v>
      </c>
      <c r="B1363" s="736" t="s">
        <v>1555</v>
      </c>
      <c r="C1363" s="16" t="s">
        <v>4135</v>
      </c>
      <c r="D1363" s="20" t="s">
        <v>3087</v>
      </c>
      <c r="E1363" s="2" t="s">
        <v>3162</v>
      </c>
      <c r="F1363" s="2" t="s">
        <v>4136</v>
      </c>
      <c r="G1363" s="17">
        <v>10076</v>
      </c>
      <c r="H1363" s="96" t="s">
        <v>830</v>
      </c>
      <c r="I1363" s="2" t="s">
        <v>4137</v>
      </c>
      <c r="J1363" s="2" t="s">
        <v>4137</v>
      </c>
      <c r="K1363" s="18">
        <v>45387</v>
      </c>
      <c r="L1363" s="18">
        <v>45413</v>
      </c>
      <c r="M1363" s="18">
        <v>45429</v>
      </c>
      <c r="N1363" s="1">
        <v>7</v>
      </c>
      <c r="O1363" s="19">
        <v>0</v>
      </c>
      <c r="P1363" s="18">
        <v>45429</v>
      </c>
      <c r="Q1363" s="19"/>
      <c r="R1363" s="772"/>
      <c r="S1363" s="18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 spans="1:38" ht="12.75" customHeight="1">
      <c r="A1364" s="15">
        <v>1364</v>
      </c>
      <c r="B1364" s="742" t="s">
        <v>1555</v>
      </c>
      <c r="C1364" s="16" t="s">
        <v>4138</v>
      </c>
      <c r="D1364" s="2" t="s">
        <v>3087</v>
      </c>
      <c r="E1364" s="2" t="s">
        <v>3162</v>
      </c>
      <c r="F1364" s="2" t="s">
        <v>4139</v>
      </c>
      <c r="G1364" s="17">
        <v>10077</v>
      </c>
      <c r="H1364" s="96" t="s">
        <v>830</v>
      </c>
      <c r="I1364" s="2" t="s">
        <v>4140</v>
      </c>
      <c r="J1364" s="2" t="s">
        <v>4140</v>
      </c>
      <c r="K1364" s="18">
        <v>45387</v>
      </c>
      <c r="L1364" s="18">
        <v>45414</v>
      </c>
      <c r="M1364" s="18">
        <v>45540</v>
      </c>
      <c r="N1364" s="1">
        <v>7</v>
      </c>
      <c r="O1364" s="19">
        <v>0</v>
      </c>
      <c r="P1364" s="18">
        <v>45540</v>
      </c>
      <c r="Q1364" s="19"/>
      <c r="R1364" s="772"/>
      <c r="S1364" s="18"/>
      <c r="T1364" s="2"/>
      <c r="U1364" s="2"/>
      <c r="V1364" s="2" t="s">
        <v>4625</v>
      </c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 spans="1:38" ht="12.75" customHeight="1">
      <c r="A1365" s="15">
        <v>1365</v>
      </c>
      <c r="B1365" s="742" t="s">
        <v>1555</v>
      </c>
      <c r="C1365" s="16" t="s">
        <v>4141</v>
      </c>
      <c r="D1365" s="2" t="s">
        <v>3087</v>
      </c>
      <c r="E1365" s="2" t="s">
        <v>3162</v>
      </c>
      <c r="F1365" s="2" t="s">
        <v>4142</v>
      </c>
      <c r="G1365" s="17">
        <v>10078</v>
      </c>
      <c r="H1365" s="96" t="s">
        <v>830</v>
      </c>
      <c r="I1365" s="2" t="s">
        <v>4143</v>
      </c>
      <c r="J1365" s="2" t="s">
        <v>4143</v>
      </c>
      <c r="K1365" s="18">
        <v>45387</v>
      </c>
      <c r="L1365" s="18">
        <v>45452</v>
      </c>
      <c r="M1365" s="18">
        <v>45476</v>
      </c>
      <c r="N1365" s="1">
        <v>7</v>
      </c>
      <c r="O1365" s="19">
        <v>0</v>
      </c>
      <c r="P1365" s="18">
        <v>45476</v>
      </c>
      <c r="Q1365" s="19"/>
      <c r="R1365" s="772"/>
      <c r="S1365" s="18"/>
      <c r="T1365" s="2"/>
      <c r="U1365" s="2"/>
      <c r="V1365" s="2" t="s">
        <v>3091</v>
      </c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 spans="1:38" ht="12.75" customHeight="1">
      <c r="A1366" s="15">
        <v>1366</v>
      </c>
      <c r="B1366" s="742" t="s">
        <v>1555</v>
      </c>
      <c r="C1366" s="16" t="s">
        <v>4144</v>
      </c>
      <c r="D1366" s="2" t="s">
        <v>3087</v>
      </c>
      <c r="E1366" s="2" t="s">
        <v>3162</v>
      </c>
      <c r="F1366" s="2" t="s">
        <v>4145</v>
      </c>
      <c r="G1366" s="17">
        <v>10079</v>
      </c>
      <c r="H1366" s="96" t="s">
        <v>830</v>
      </c>
      <c r="I1366" s="2" t="s">
        <v>4146</v>
      </c>
      <c r="J1366" s="2" t="s">
        <v>4146</v>
      </c>
      <c r="K1366" s="18">
        <v>45387</v>
      </c>
      <c r="L1366" s="18">
        <v>45387</v>
      </c>
      <c r="M1366" s="18">
        <v>45535</v>
      </c>
      <c r="N1366" s="1">
        <v>7</v>
      </c>
      <c r="O1366" s="19">
        <v>0</v>
      </c>
      <c r="P1366" s="18">
        <v>45535</v>
      </c>
      <c r="Q1366" s="19"/>
      <c r="R1366" s="772"/>
      <c r="S1366" s="18"/>
      <c r="T1366" s="2"/>
      <c r="U1366" s="2"/>
      <c r="V1366" s="2" t="s">
        <v>4625</v>
      </c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 spans="1:38" ht="12.75" customHeight="1">
      <c r="A1367" s="15">
        <v>1367</v>
      </c>
      <c r="B1367" s="742" t="s">
        <v>1555</v>
      </c>
      <c r="C1367" s="16" t="s">
        <v>4147</v>
      </c>
      <c r="D1367" s="2" t="s">
        <v>3087</v>
      </c>
      <c r="E1367" s="2" t="s">
        <v>3162</v>
      </c>
      <c r="F1367" s="2" t="s">
        <v>4148</v>
      </c>
      <c r="G1367" s="17">
        <v>10080</v>
      </c>
      <c r="H1367" s="96" t="s">
        <v>830</v>
      </c>
      <c r="I1367" s="2" t="s">
        <v>4149</v>
      </c>
      <c r="J1367" s="2" t="s">
        <v>4149</v>
      </c>
      <c r="K1367" s="18">
        <v>45387</v>
      </c>
      <c r="L1367" s="18">
        <v>45387</v>
      </c>
      <c r="M1367" s="18">
        <v>45473</v>
      </c>
      <c r="N1367" s="1">
        <v>7</v>
      </c>
      <c r="O1367" s="19">
        <v>0</v>
      </c>
      <c r="P1367" s="18">
        <v>45473</v>
      </c>
      <c r="Q1367" s="19"/>
      <c r="R1367" s="772"/>
      <c r="S1367" s="18"/>
      <c r="T1367" s="2"/>
      <c r="U1367" s="2"/>
      <c r="V1367" s="2" t="s">
        <v>3091</v>
      </c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 spans="1:38" ht="12.75" customHeight="1">
      <c r="A1368" s="15">
        <v>1368</v>
      </c>
      <c r="B1368" s="742" t="s">
        <v>1555</v>
      </c>
      <c r="C1368" s="16" t="s">
        <v>4150</v>
      </c>
      <c r="D1368" s="2" t="s">
        <v>3087</v>
      </c>
      <c r="E1368" s="2" t="s">
        <v>3162</v>
      </c>
      <c r="F1368" s="2" t="s">
        <v>4151</v>
      </c>
      <c r="G1368" s="17">
        <v>10081</v>
      </c>
      <c r="H1368" s="96" t="s">
        <v>830</v>
      </c>
      <c r="I1368" s="2" t="s">
        <v>4152</v>
      </c>
      <c r="J1368" s="2" t="s">
        <v>4152</v>
      </c>
      <c r="K1368" s="18">
        <v>45386</v>
      </c>
      <c r="L1368" s="18">
        <v>45474</v>
      </c>
      <c r="M1368" s="18">
        <v>45504</v>
      </c>
      <c r="N1368" s="1">
        <v>7</v>
      </c>
      <c r="O1368" s="19">
        <v>0</v>
      </c>
      <c r="P1368" s="18">
        <v>45504</v>
      </c>
      <c r="Q1368" s="19"/>
      <c r="R1368" s="772"/>
      <c r="S1368" s="18"/>
      <c r="T1368" s="2"/>
      <c r="U1368" s="2"/>
      <c r="V1368" s="2" t="s">
        <v>4625</v>
      </c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 spans="1:38" ht="12.75" customHeight="1">
      <c r="A1369" s="15">
        <v>1369</v>
      </c>
      <c r="B1369" s="742" t="s">
        <v>1555</v>
      </c>
      <c r="C1369" s="16" t="s">
        <v>4153</v>
      </c>
      <c r="D1369" s="2" t="s">
        <v>3087</v>
      </c>
      <c r="E1369" s="2" t="s">
        <v>3162</v>
      </c>
      <c r="F1369" s="2" t="s">
        <v>4154</v>
      </c>
      <c r="G1369" s="17">
        <v>10082</v>
      </c>
      <c r="H1369" s="96" t="s">
        <v>830</v>
      </c>
      <c r="I1369" s="2" t="s">
        <v>4155</v>
      </c>
      <c r="J1369" s="2" t="s">
        <v>4155</v>
      </c>
      <c r="K1369" s="18">
        <v>45386</v>
      </c>
      <c r="L1369" s="18">
        <v>45474</v>
      </c>
      <c r="M1369" s="18">
        <v>45504</v>
      </c>
      <c r="N1369" s="1">
        <v>7</v>
      </c>
      <c r="O1369" s="19">
        <v>0</v>
      </c>
      <c r="P1369" s="18">
        <v>45504</v>
      </c>
      <c r="Q1369" s="19"/>
      <c r="R1369" s="772"/>
      <c r="S1369" s="18"/>
      <c r="T1369" s="2"/>
      <c r="U1369" s="2"/>
      <c r="V1369" s="2" t="s">
        <v>4625</v>
      </c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 spans="1:38" ht="12.75" customHeight="1">
      <c r="A1370" s="15">
        <v>1370</v>
      </c>
      <c r="B1370" s="742" t="s">
        <v>1555</v>
      </c>
      <c r="C1370" s="16" t="s">
        <v>4156</v>
      </c>
      <c r="D1370" s="2" t="s">
        <v>3087</v>
      </c>
      <c r="E1370" s="2" t="s">
        <v>3162</v>
      </c>
      <c r="F1370" s="2" t="s">
        <v>4157</v>
      </c>
      <c r="G1370" s="17">
        <v>7694</v>
      </c>
      <c r="H1370" s="96" t="s">
        <v>830</v>
      </c>
      <c r="I1370" s="2" t="s">
        <v>4158</v>
      </c>
      <c r="J1370" s="2" t="s">
        <v>4158</v>
      </c>
      <c r="K1370" s="18">
        <v>45386</v>
      </c>
      <c r="L1370" s="18">
        <v>45386</v>
      </c>
      <c r="M1370" s="18">
        <v>45535</v>
      </c>
      <c r="N1370" s="1">
        <v>7</v>
      </c>
      <c r="O1370" s="19">
        <v>0</v>
      </c>
      <c r="P1370" s="18">
        <v>45535</v>
      </c>
      <c r="Q1370" s="19"/>
      <c r="R1370" s="772"/>
      <c r="S1370" s="18"/>
      <c r="T1370" s="2"/>
      <c r="U1370" s="2"/>
      <c r="V1370" s="2" t="s">
        <v>4625</v>
      </c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 spans="1:38" ht="12.75" customHeight="1">
      <c r="A1371" s="15">
        <v>1371</v>
      </c>
      <c r="B1371" s="742" t="s">
        <v>1555</v>
      </c>
      <c r="C1371" s="16" t="s">
        <v>4159</v>
      </c>
      <c r="D1371" s="2" t="s">
        <v>3087</v>
      </c>
      <c r="E1371" s="2" t="s">
        <v>3162</v>
      </c>
      <c r="F1371" s="2" t="s">
        <v>4160</v>
      </c>
      <c r="G1371" s="17">
        <v>10083</v>
      </c>
      <c r="H1371" s="96" t="s">
        <v>830</v>
      </c>
      <c r="I1371" s="2" t="s">
        <v>4161</v>
      </c>
      <c r="J1371" s="2" t="s">
        <v>4161</v>
      </c>
      <c r="K1371" s="18">
        <v>45387</v>
      </c>
      <c r="L1371" s="18">
        <v>45474</v>
      </c>
      <c r="M1371" s="18">
        <v>45535</v>
      </c>
      <c r="N1371" s="1">
        <v>7</v>
      </c>
      <c r="O1371" s="19">
        <v>0</v>
      </c>
      <c r="P1371" s="18">
        <v>45535</v>
      </c>
      <c r="Q1371" s="19"/>
      <c r="R1371" s="772"/>
      <c r="S1371" s="18"/>
      <c r="T1371" s="2"/>
      <c r="U1371" s="2"/>
      <c r="V1371" s="2" t="s">
        <v>4625</v>
      </c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 spans="1:38" ht="12.75" customHeight="1">
      <c r="A1372" s="15">
        <v>1372</v>
      </c>
      <c r="B1372" s="736" t="s">
        <v>1555</v>
      </c>
      <c r="C1372" s="16" t="s">
        <v>4162</v>
      </c>
      <c r="D1372" s="20" t="s">
        <v>3087</v>
      </c>
      <c r="E1372" s="2" t="s">
        <v>3197</v>
      </c>
      <c r="F1372" s="2" t="s">
        <v>4163</v>
      </c>
      <c r="G1372" s="17">
        <v>25701576</v>
      </c>
      <c r="H1372" s="2" t="s">
        <v>546</v>
      </c>
      <c r="I1372" s="2" t="s">
        <v>4164</v>
      </c>
      <c r="J1372" s="2" t="s">
        <v>4165</v>
      </c>
      <c r="K1372" s="18">
        <v>45356</v>
      </c>
      <c r="L1372" s="18">
        <v>45356</v>
      </c>
      <c r="M1372" s="18">
        <v>45419</v>
      </c>
      <c r="N1372" s="1">
        <v>7</v>
      </c>
      <c r="O1372" s="19">
        <v>4157820</v>
      </c>
      <c r="P1372" s="18">
        <v>45419</v>
      </c>
      <c r="Q1372" s="19">
        <v>4157802</v>
      </c>
      <c r="R1372" s="772" t="s">
        <v>4166</v>
      </c>
      <c r="S1372" s="18">
        <v>45370</v>
      </c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 spans="1:38" ht="12.75" customHeight="1">
      <c r="A1373" s="15">
        <v>1373</v>
      </c>
      <c r="B1373" s="736" t="s">
        <v>3086</v>
      </c>
      <c r="C1373" s="16" t="s">
        <v>4167</v>
      </c>
      <c r="D1373" s="2" t="s">
        <v>3094</v>
      </c>
      <c r="E1373" s="2" t="s">
        <v>3095</v>
      </c>
      <c r="F1373" s="81" t="s">
        <v>4168</v>
      </c>
      <c r="G1373" s="17">
        <v>2183714</v>
      </c>
      <c r="H1373" s="2" t="s">
        <v>4169</v>
      </c>
      <c r="I1373" s="655" t="s">
        <v>4170</v>
      </c>
      <c r="J1373" s="2" t="s">
        <v>4170</v>
      </c>
      <c r="K1373" s="18">
        <v>45355</v>
      </c>
      <c r="L1373" s="18">
        <v>45355</v>
      </c>
      <c r="M1373" s="18">
        <v>46815</v>
      </c>
      <c r="N1373" s="1">
        <v>6</v>
      </c>
      <c r="O1373" s="19">
        <v>7000</v>
      </c>
      <c r="P1373" s="18">
        <v>46815</v>
      </c>
      <c r="Q1373" s="19">
        <v>0</v>
      </c>
      <c r="R1373" s="772" t="s">
        <v>4171</v>
      </c>
      <c r="S1373" s="18">
        <v>45356</v>
      </c>
      <c r="T1373" s="2"/>
      <c r="U1373" s="105">
        <v>3</v>
      </c>
      <c r="V1373" s="2"/>
      <c r="W1373" s="2" t="s">
        <v>4625</v>
      </c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 spans="1:38" ht="12.75" customHeight="1">
      <c r="A1374" s="15">
        <v>1374</v>
      </c>
      <c r="B1374" s="742" t="s">
        <v>3086</v>
      </c>
      <c r="C1374" s="16" t="s">
        <v>4172</v>
      </c>
      <c r="D1374" s="2" t="s">
        <v>3110</v>
      </c>
      <c r="E1374" s="2" t="s">
        <v>3144</v>
      </c>
      <c r="F1374" s="2" t="s">
        <v>3140</v>
      </c>
      <c r="G1374" s="17">
        <v>70891095</v>
      </c>
      <c r="H1374" s="2" t="s">
        <v>215</v>
      </c>
      <c r="I1374" s="2" t="s">
        <v>4173</v>
      </c>
      <c r="J1374" s="2" t="s">
        <v>4173</v>
      </c>
      <c r="K1374" s="18">
        <v>45103</v>
      </c>
      <c r="L1374" s="18">
        <v>45108</v>
      </c>
      <c r="M1374" s="18">
        <v>46568</v>
      </c>
      <c r="N1374" s="1">
        <v>4</v>
      </c>
      <c r="O1374" s="19"/>
      <c r="P1374" s="18"/>
      <c r="Q1374" s="19"/>
      <c r="R1374" s="772"/>
      <c r="S1374" s="18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 spans="1:38" ht="12.75" customHeight="1">
      <c r="A1375" s="15">
        <v>1375</v>
      </c>
      <c r="B1375" s="736" t="s">
        <v>1555</v>
      </c>
      <c r="C1375" s="16" t="s">
        <v>4174</v>
      </c>
      <c r="D1375" s="20" t="s">
        <v>3087</v>
      </c>
      <c r="E1375" s="2" t="s">
        <v>3103</v>
      </c>
      <c r="F1375" s="2" t="s">
        <v>3250</v>
      </c>
      <c r="G1375" s="17">
        <v>60162694</v>
      </c>
      <c r="H1375" s="2" t="s">
        <v>180</v>
      </c>
      <c r="I1375" s="2" t="s">
        <v>4175</v>
      </c>
      <c r="J1375" s="2" t="s">
        <v>4175</v>
      </c>
      <c r="K1375" s="18">
        <v>45393</v>
      </c>
      <c r="L1375" s="18">
        <v>45398</v>
      </c>
      <c r="M1375" s="18">
        <v>45398</v>
      </c>
      <c r="N1375" s="1">
        <v>7</v>
      </c>
      <c r="O1375" s="19">
        <v>0</v>
      </c>
      <c r="P1375" s="18">
        <v>45398</v>
      </c>
      <c r="Q1375" s="19"/>
      <c r="R1375" s="772"/>
      <c r="S1375" s="18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 spans="1:38" ht="12.75" customHeight="1">
      <c r="A1376" s="15">
        <v>1376</v>
      </c>
      <c r="B1376" s="742" t="s">
        <v>1555</v>
      </c>
      <c r="C1376" s="16" t="s">
        <v>4176</v>
      </c>
      <c r="D1376" s="2" t="s">
        <v>3087</v>
      </c>
      <c r="E1376" s="2" t="s">
        <v>3162</v>
      </c>
      <c r="F1376" s="2" t="s">
        <v>4177</v>
      </c>
      <c r="G1376" s="17">
        <v>10085</v>
      </c>
      <c r="H1376" s="96" t="s">
        <v>830</v>
      </c>
      <c r="I1376" s="2" t="s">
        <v>4178</v>
      </c>
      <c r="J1376" s="2" t="s">
        <v>4178</v>
      </c>
      <c r="K1376" s="18">
        <v>45391</v>
      </c>
      <c r="L1376" s="18">
        <v>45474</v>
      </c>
      <c r="M1376" s="18">
        <v>45504</v>
      </c>
      <c r="N1376" s="1">
        <v>7</v>
      </c>
      <c r="O1376" s="19">
        <v>0</v>
      </c>
      <c r="P1376" s="18">
        <v>45504</v>
      </c>
      <c r="Q1376" s="19"/>
      <c r="R1376" s="772"/>
      <c r="S1376" s="18"/>
      <c r="T1376" s="2"/>
      <c r="U1376" s="2"/>
      <c r="V1376" s="2" t="s">
        <v>4625</v>
      </c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 spans="1:38" ht="12.75" customHeight="1">
      <c r="A1377" s="15">
        <v>1377</v>
      </c>
      <c r="B1377" s="742" t="s">
        <v>1555</v>
      </c>
      <c r="C1377" s="16" t="s">
        <v>4179</v>
      </c>
      <c r="D1377" s="2" t="s">
        <v>3087</v>
      </c>
      <c r="E1377" s="2" t="s">
        <v>3162</v>
      </c>
      <c r="F1377" s="2" t="s">
        <v>4180</v>
      </c>
      <c r="G1377" s="17">
        <v>10086</v>
      </c>
      <c r="H1377" s="96" t="s">
        <v>830</v>
      </c>
      <c r="I1377" s="2" t="s">
        <v>4181</v>
      </c>
      <c r="J1377" s="2" t="s">
        <v>4181</v>
      </c>
      <c r="K1377" s="18">
        <v>45391</v>
      </c>
      <c r="L1377" s="18">
        <v>45481</v>
      </c>
      <c r="M1377" s="18">
        <v>45504</v>
      </c>
      <c r="N1377" s="1">
        <v>7</v>
      </c>
      <c r="O1377" s="19">
        <v>0</v>
      </c>
      <c r="P1377" s="18">
        <v>45504</v>
      </c>
      <c r="Q1377" s="19"/>
      <c r="R1377" s="772"/>
      <c r="S1377" s="18"/>
      <c r="T1377" s="2"/>
      <c r="U1377" s="2"/>
      <c r="V1377" s="2" t="s">
        <v>4625</v>
      </c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 spans="1:38" ht="12.75" customHeight="1">
      <c r="A1378" s="15">
        <v>1378</v>
      </c>
      <c r="B1378" s="742" t="s">
        <v>1555</v>
      </c>
      <c r="C1378" s="16" t="s">
        <v>4182</v>
      </c>
      <c r="D1378" s="2" t="s">
        <v>3087</v>
      </c>
      <c r="E1378" s="2" t="s">
        <v>3162</v>
      </c>
      <c r="F1378" s="2" t="s">
        <v>4183</v>
      </c>
      <c r="G1378" s="17">
        <v>10087</v>
      </c>
      <c r="H1378" s="96" t="s">
        <v>830</v>
      </c>
      <c r="I1378" s="2" t="s">
        <v>4184</v>
      </c>
      <c r="J1378" s="2" t="s">
        <v>4184</v>
      </c>
      <c r="K1378" s="18">
        <v>45391</v>
      </c>
      <c r="L1378" s="18">
        <v>45413</v>
      </c>
      <c r="M1378" s="18">
        <v>45535</v>
      </c>
      <c r="N1378" s="1">
        <v>7</v>
      </c>
      <c r="O1378" s="19">
        <v>0</v>
      </c>
      <c r="P1378" s="18">
        <v>45535</v>
      </c>
      <c r="Q1378" s="19"/>
      <c r="R1378" s="772"/>
      <c r="S1378" s="18"/>
      <c r="T1378" s="2"/>
      <c r="U1378" s="2"/>
      <c r="V1378" s="2" t="s">
        <v>4625</v>
      </c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 spans="1:38" ht="12.75" customHeight="1">
      <c r="A1379" s="15">
        <v>1379</v>
      </c>
      <c r="B1379" s="742" t="s">
        <v>1555</v>
      </c>
      <c r="C1379" s="16" t="s">
        <v>4185</v>
      </c>
      <c r="D1379" s="2" t="s">
        <v>3087</v>
      </c>
      <c r="E1379" s="2" t="s">
        <v>3162</v>
      </c>
      <c r="F1379" s="2" t="s">
        <v>4186</v>
      </c>
      <c r="G1379" s="17">
        <v>10088</v>
      </c>
      <c r="H1379" s="96" t="s">
        <v>830</v>
      </c>
      <c r="I1379" s="2" t="s">
        <v>4187</v>
      </c>
      <c r="J1379" s="2" t="s">
        <v>4187</v>
      </c>
      <c r="K1379" s="18">
        <v>45393</v>
      </c>
      <c r="L1379" s="18">
        <v>45413</v>
      </c>
      <c r="M1379" s="18">
        <v>45595</v>
      </c>
      <c r="N1379" s="1">
        <v>7</v>
      </c>
      <c r="O1379" s="19">
        <v>7000</v>
      </c>
      <c r="P1379" s="18">
        <v>45595</v>
      </c>
      <c r="Q1379" s="19"/>
      <c r="R1379" s="772"/>
      <c r="S1379" s="18"/>
      <c r="T1379" s="2"/>
      <c r="U1379" s="2"/>
      <c r="V1379" s="2" t="s">
        <v>4625</v>
      </c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 spans="1:38" ht="12.75" customHeight="1">
      <c r="A1380" s="15">
        <v>1380</v>
      </c>
      <c r="B1380" s="742" t="s">
        <v>1555</v>
      </c>
      <c r="C1380" s="16" t="s">
        <v>4188</v>
      </c>
      <c r="D1380" s="2" t="s">
        <v>3087</v>
      </c>
      <c r="E1380" s="2" t="s">
        <v>3162</v>
      </c>
      <c r="F1380" s="2" t="s">
        <v>4189</v>
      </c>
      <c r="G1380" s="17">
        <v>10089</v>
      </c>
      <c r="H1380" s="96" t="s">
        <v>830</v>
      </c>
      <c r="I1380" s="2" t="s">
        <v>4190</v>
      </c>
      <c r="J1380" s="2" t="s">
        <v>4190</v>
      </c>
      <c r="K1380" s="18">
        <v>45393</v>
      </c>
      <c r="L1380" s="18">
        <v>45425</v>
      </c>
      <c r="M1380" s="18">
        <v>45550</v>
      </c>
      <c r="N1380" s="1">
        <v>7</v>
      </c>
      <c r="O1380" s="19">
        <v>6000</v>
      </c>
      <c r="P1380" s="18">
        <v>45550</v>
      </c>
      <c r="Q1380" s="19"/>
      <c r="R1380" s="772"/>
      <c r="S1380" s="18"/>
      <c r="T1380" s="2"/>
      <c r="U1380" s="2"/>
      <c r="V1380" s="2" t="s">
        <v>4625</v>
      </c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 spans="1:38" ht="12.75" customHeight="1">
      <c r="A1381" s="15">
        <v>1381</v>
      </c>
      <c r="B1381" s="736" t="s">
        <v>1555</v>
      </c>
      <c r="C1381" s="16" t="s">
        <v>4191</v>
      </c>
      <c r="D1381" s="2" t="s">
        <v>3110</v>
      </c>
      <c r="E1381" s="2" t="s">
        <v>3117</v>
      </c>
      <c r="F1381" s="2" t="s">
        <v>6139</v>
      </c>
      <c r="G1381" s="17">
        <v>7980027</v>
      </c>
      <c r="H1381" s="2" t="s">
        <v>4107</v>
      </c>
      <c r="I1381" s="2" t="s">
        <v>4192</v>
      </c>
      <c r="J1381" s="2" t="s">
        <v>4192</v>
      </c>
      <c r="K1381" s="18">
        <v>38126</v>
      </c>
      <c r="L1381" s="18">
        <v>38126</v>
      </c>
      <c r="M1381" s="18">
        <v>45396</v>
      </c>
      <c r="N1381" s="1">
        <v>6</v>
      </c>
      <c r="O1381" s="19">
        <v>7983.6</v>
      </c>
      <c r="P1381" s="18">
        <v>45396</v>
      </c>
      <c r="Q1381" s="19"/>
      <c r="R1381" s="772"/>
      <c r="S1381" s="18"/>
      <c r="T1381" s="2"/>
      <c r="U1381" s="2"/>
      <c r="V1381" s="2" t="s">
        <v>3091</v>
      </c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 spans="1:38" ht="12.75" customHeight="1">
      <c r="A1382" s="15">
        <v>1382</v>
      </c>
      <c r="B1382" s="736" t="s">
        <v>1555</v>
      </c>
      <c r="C1382" s="16" t="s">
        <v>4193</v>
      </c>
      <c r="D1382" s="2" t="s">
        <v>3087</v>
      </c>
      <c r="E1382" s="2" t="s">
        <v>4854</v>
      </c>
      <c r="F1382" s="2" t="s">
        <v>3395</v>
      </c>
      <c r="G1382" s="17">
        <v>28467299</v>
      </c>
      <c r="H1382" s="2" t="s">
        <v>4194</v>
      </c>
      <c r="I1382" s="2" t="s">
        <v>4195</v>
      </c>
      <c r="J1382" s="2" t="s">
        <v>4194</v>
      </c>
      <c r="K1382" s="18">
        <v>45407</v>
      </c>
      <c r="L1382" s="18">
        <v>45408</v>
      </c>
      <c r="M1382" s="18">
        <v>45792</v>
      </c>
      <c r="N1382" s="1">
        <v>7</v>
      </c>
      <c r="O1382" s="19">
        <v>2407900</v>
      </c>
      <c r="P1382" s="18">
        <v>45792</v>
      </c>
      <c r="Q1382" s="19">
        <v>2407900</v>
      </c>
      <c r="R1382" s="772" t="s">
        <v>4196</v>
      </c>
      <c r="S1382" s="18">
        <v>45408</v>
      </c>
      <c r="T1382" s="2" t="s">
        <v>4197</v>
      </c>
      <c r="U1382" s="2"/>
      <c r="V1382" s="2" t="s">
        <v>4625</v>
      </c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 spans="1:38" ht="12.75" customHeight="1">
      <c r="A1383" s="15">
        <v>1383</v>
      </c>
      <c r="B1383" s="736" t="s">
        <v>1555</v>
      </c>
      <c r="C1383" s="16" t="s">
        <v>4198</v>
      </c>
      <c r="D1383" s="2" t="s">
        <v>3110</v>
      </c>
      <c r="E1383" s="2" t="s">
        <v>4199</v>
      </c>
      <c r="F1383" s="2" t="s">
        <v>3258</v>
      </c>
      <c r="G1383" s="17">
        <v>49534971</v>
      </c>
      <c r="H1383" s="2" t="s">
        <v>4200</v>
      </c>
      <c r="I1383" s="2" t="s">
        <v>4201</v>
      </c>
      <c r="J1383" s="2" t="s">
        <v>4202</v>
      </c>
      <c r="K1383" s="18">
        <v>45399</v>
      </c>
      <c r="L1383" s="18">
        <v>45399</v>
      </c>
      <c r="M1383" s="18">
        <v>45399</v>
      </c>
      <c r="N1383" s="1">
        <v>7</v>
      </c>
      <c r="O1383" s="19">
        <v>0</v>
      </c>
      <c r="P1383" s="18">
        <v>45399</v>
      </c>
      <c r="Q1383" s="19">
        <v>0</v>
      </c>
      <c r="R1383" s="772" t="s">
        <v>4203</v>
      </c>
      <c r="S1383" s="18">
        <v>45400</v>
      </c>
      <c r="T1383" s="2"/>
      <c r="U1383" s="2"/>
      <c r="V1383" s="2" t="s">
        <v>3091</v>
      </c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 spans="1:38" ht="12.75" customHeight="1">
      <c r="A1384" s="15">
        <v>1384</v>
      </c>
      <c r="B1384" s="742" t="s">
        <v>3086</v>
      </c>
      <c r="C1384" s="16" t="s">
        <v>4204</v>
      </c>
      <c r="D1384" s="2" t="s">
        <v>3110</v>
      </c>
      <c r="E1384" s="2" t="s">
        <v>4205</v>
      </c>
      <c r="F1384" s="2" t="s">
        <v>4206</v>
      </c>
      <c r="G1384" s="17">
        <v>17323886</v>
      </c>
      <c r="H1384" s="2" t="s">
        <v>4207</v>
      </c>
      <c r="I1384" s="2" t="s">
        <v>4208</v>
      </c>
      <c r="J1384" s="2" t="s">
        <v>4209</v>
      </c>
      <c r="K1384" s="18">
        <v>45456</v>
      </c>
      <c r="L1384" s="18">
        <v>45658</v>
      </c>
      <c r="M1384" s="18">
        <v>46022</v>
      </c>
      <c r="N1384" s="1">
        <v>1</v>
      </c>
      <c r="O1384" s="19">
        <v>677323.5</v>
      </c>
      <c r="P1384" s="18">
        <v>46022</v>
      </c>
      <c r="Q1384" s="19"/>
      <c r="R1384" s="772"/>
      <c r="S1384" s="18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 spans="1:38" ht="12.75" customHeight="1">
      <c r="A1385" s="15">
        <v>1385</v>
      </c>
      <c r="B1385" s="736" t="s">
        <v>3086</v>
      </c>
      <c r="C1385" s="16" t="s">
        <v>4210</v>
      </c>
      <c r="D1385" s="2" t="s">
        <v>3110</v>
      </c>
      <c r="E1385" s="2" t="s">
        <v>3117</v>
      </c>
      <c r="F1385" s="2" t="s">
        <v>3719</v>
      </c>
      <c r="G1385" s="17">
        <v>4260431</v>
      </c>
      <c r="H1385" s="2" t="s">
        <v>3982</v>
      </c>
      <c r="I1385" s="2" t="s">
        <v>4211</v>
      </c>
      <c r="J1385" s="2" t="s">
        <v>4212</v>
      </c>
      <c r="K1385" s="18">
        <v>45412</v>
      </c>
      <c r="L1385" s="18">
        <v>45413</v>
      </c>
      <c r="M1385" s="18">
        <v>46142</v>
      </c>
      <c r="N1385" s="1">
        <v>1</v>
      </c>
      <c r="O1385" s="19">
        <v>544500</v>
      </c>
      <c r="P1385" s="18">
        <v>46142</v>
      </c>
      <c r="Q1385" s="19">
        <v>544500</v>
      </c>
      <c r="R1385" s="772" t="s">
        <v>4213</v>
      </c>
      <c r="S1385" s="18">
        <v>45413</v>
      </c>
      <c r="T1385" s="2" t="s">
        <v>4214</v>
      </c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 spans="1:38" ht="12.75" customHeight="1">
      <c r="A1386" s="15">
        <v>1386</v>
      </c>
      <c r="B1386" s="736" t="s">
        <v>1555</v>
      </c>
      <c r="C1386" s="16" t="s">
        <v>4215</v>
      </c>
      <c r="D1386" s="2" t="s">
        <v>3094</v>
      </c>
      <c r="E1386" s="2" t="s">
        <v>3197</v>
      </c>
      <c r="F1386" s="2" t="s">
        <v>3478</v>
      </c>
      <c r="G1386" s="17">
        <v>27094987</v>
      </c>
      <c r="H1386" s="2" t="s">
        <v>546</v>
      </c>
      <c r="I1386" s="655" t="s">
        <v>4216</v>
      </c>
      <c r="J1386" s="2" t="s">
        <v>4217</v>
      </c>
      <c r="K1386" s="18">
        <v>45400</v>
      </c>
      <c r="L1386" s="18">
        <v>45400</v>
      </c>
      <c r="M1386" s="18">
        <v>45473</v>
      </c>
      <c r="N1386" s="1">
        <v>7</v>
      </c>
      <c r="O1386" s="19">
        <v>616567.6</v>
      </c>
      <c r="P1386" s="18">
        <v>45473</v>
      </c>
      <c r="Q1386" s="19">
        <v>616567.6</v>
      </c>
      <c r="R1386" s="772" t="s">
        <v>4218</v>
      </c>
      <c r="S1386" s="18">
        <v>45401</v>
      </c>
      <c r="T1386" s="2"/>
      <c r="U1386" s="105">
        <v>12</v>
      </c>
      <c r="V1386" s="2"/>
      <c r="W1386" s="2" t="s">
        <v>4625</v>
      </c>
      <c r="X1386" s="2" t="s">
        <v>4694</v>
      </c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 spans="1:38" ht="12.75" customHeight="1">
      <c r="A1387" s="15">
        <v>1387</v>
      </c>
      <c r="B1387" s="736" t="s">
        <v>1555</v>
      </c>
      <c r="C1387" s="16" t="s">
        <v>4219</v>
      </c>
      <c r="D1387" s="2" t="s">
        <v>3087</v>
      </c>
      <c r="E1387" s="2" t="s">
        <v>3103</v>
      </c>
      <c r="F1387" s="2" t="s">
        <v>4220</v>
      </c>
      <c r="G1387" s="17">
        <v>873489</v>
      </c>
      <c r="H1387" s="2" t="s">
        <v>180</v>
      </c>
      <c r="I1387" s="2" t="s">
        <v>4221</v>
      </c>
      <c r="J1387" s="2" t="s">
        <v>4221</v>
      </c>
      <c r="K1387" s="18">
        <v>45398</v>
      </c>
      <c r="L1387" s="18">
        <v>45415</v>
      </c>
      <c r="M1387" s="18">
        <v>45415</v>
      </c>
      <c r="N1387" s="1">
        <v>7</v>
      </c>
      <c r="O1387" s="19">
        <v>0</v>
      </c>
      <c r="P1387" s="18">
        <v>45415</v>
      </c>
      <c r="Q1387" s="19"/>
      <c r="R1387" s="772"/>
      <c r="S1387" s="18"/>
      <c r="T1387" s="2"/>
      <c r="U1387" s="2"/>
      <c r="V1387" s="2" t="s">
        <v>3091</v>
      </c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 spans="1:38" ht="12.75" customHeight="1">
      <c r="A1388" s="15">
        <v>1388</v>
      </c>
      <c r="B1388" s="736" t="s">
        <v>3086</v>
      </c>
      <c r="C1388" s="16" t="s">
        <v>4222</v>
      </c>
      <c r="D1388" s="2" t="s">
        <v>3094</v>
      </c>
      <c r="E1388" s="2" t="s">
        <v>3097</v>
      </c>
      <c r="F1388" s="2" t="s">
        <v>3237</v>
      </c>
      <c r="G1388" s="17">
        <v>61383082</v>
      </c>
      <c r="H1388" s="96" t="s">
        <v>830</v>
      </c>
      <c r="I1388" s="2" t="s">
        <v>4223</v>
      </c>
      <c r="J1388" s="2" t="s">
        <v>4223</v>
      </c>
      <c r="K1388" s="18">
        <v>45385</v>
      </c>
      <c r="L1388" s="18">
        <v>45385</v>
      </c>
      <c r="M1388" s="18">
        <v>45869</v>
      </c>
      <c r="N1388" s="1">
        <v>7</v>
      </c>
      <c r="O1388" s="19">
        <v>83000</v>
      </c>
      <c r="P1388" s="18">
        <v>45869</v>
      </c>
      <c r="Q1388" s="19">
        <v>83000</v>
      </c>
      <c r="R1388" s="772" t="s">
        <v>4224</v>
      </c>
      <c r="S1388" s="18">
        <v>45406</v>
      </c>
      <c r="T1388" s="2"/>
      <c r="U1388" s="2"/>
      <c r="V1388" s="2"/>
      <c r="W1388" s="2" t="s">
        <v>4625</v>
      </c>
      <c r="X1388" s="2"/>
      <c r="Y1388" s="2" t="s">
        <v>4749</v>
      </c>
      <c r="Z1388" s="2"/>
      <c r="AA1388" s="2"/>
      <c r="AB1388" s="2"/>
      <c r="AC1388" s="2"/>
      <c r="AD1388" s="2"/>
      <c r="AF1388" s="2"/>
      <c r="AG1388" s="2"/>
      <c r="AH1388" s="2"/>
      <c r="AI1388" s="2"/>
      <c r="AJ1388" s="2"/>
      <c r="AK1388" s="2"/>
      <c r="AL1388" s="2"/>
    </row>
    <row r="1389" spans="1:38" ht="12.75" customHeight="1">
      <c r="A1389" s="15">
        <v>1389</v>
      </c>
      <c r="B1389" s="736" t="s">
        <v>1555</v>
      </c>
      <c r="C1389" s="16" t="s">
        <v>4225</v>
      </c>
      <c r="D1389" s="2" t="s">
        <v>3116</v>
      </c>
      <c r="E1389" s="2" t="s">
        <v>3197</v>
      </c>
      <c r="F1389" s="2" t="s">
        <v>3423</v>
      </c>
      <c r="G1389" s="17">
        <v>27574032</v>
      </c>
      <c r="H1389" s="2" t="s">
        <v>546</v>
      </c>
      <c r="I1389" s="2" t="s">
        <v>4226</v>
      </c>
      <c r="J1389" s="2" t="s">
        <v>4227</v>
      </c>
      <c r="K1389" s="18">
        <v>45408</v>
      </c>
      <c r="L1389" s="18">
        <v>45408</v>
      </c>
      <c r="M1389" s="18">
        <v>45428</v>
      </c>
      <c r="N1389" s="1">
        <v>7</v>
      </c>
      <c r="O1389" s="19">
        <v>990869</v>
      </c>
      <c r="P1389" s="18">
        <v>45428</v>
      </c>
      <c r="Q1389" s="19">
        <v>990869</v>
      </c>
      <c r="R1389" s="772" t="s">
        <v>4228</v>
      </c>
      <c r="S1389" s="18">
        <v>45418</v>
      </c>
      <c r="T1389" s="2"/>
      <c r="U1389" s="2"/>
      <c r="V1389" s="2" t="s">
        <v>3091</v>
      </c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 spans="1:38" ht="12.75" customHeight="1">
      <c r="A1390" s="15">
        <v>1390</v>
      </c>
      <c r="B1390" s="736" t="s">
        <v>1555</v>
      </c>
      <c r="C1390" s="16" t="s">
        <v>4229</v>
      </c>
      <c r="D1390" s="2" t="s">
        <v>3087</v>
      </c>
      <c r="E1390" s="2" t="s">
        <v>3103</v>
      </c>
      <c r="F1390" s="2" t="s">
        <v>4230</v>
      </c>
      <c r="G1390" s="17">
        <v>1420054</v>
      </c>
      <c r="H1390" s="2" t="s">
        <v>180</v>
      </c>
      <c r="I1390" s="2" t="s">
        <v>4231</v>
      </c>
      <c r="J1390" s="2" t="s">
        <v>4231</v>
      </c>
      <c r="K1390" s="18">
        <v>45404</v>
      </c>
      <c r="L1390" s="18">
        <v>45409</v>
      </c>
      <c r="M1390" s="18">
        <v>45409</v>
      </c>
      <c r="N1390" s="1">
        <v>7</v>
      </c>
      <c r="O1390" s="19">
        <v>5000</v>
      </c>
      <c r="P1390" s="18">
        <v>45409</v>
      </c>
      <c r="Q1390" s="19"/>
      <c r="R1390" s="772"/>
      <c r="S1390" s="18"/>
      <c r="T1390" s="2"/>
      <c r="U1390" s="2"/>
      <c r="V1390" s="2" t="s">
        <v>3091</v>
      </c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 spans="1:38" ht="12.75" customHeight="1">
      <c r="A1391" s="15">
        <v>1391</v>
      </c>
      <c r="B1391" s="736" t="s">
        <v>1555</v>
      </c>
      <c r="C1391" s="16" t="s">
        <v>4232</v>
      </c>
      <c r="D1391" s="2" t="s">
        <v>3087</v>
      </c>
      <c r="E1391" s="2" t="s">
        <v>3103</v>
      </c>
      <c r="F1391" s="2" t="s">
        <v>4233</v>
      </c>
      <c r="G1391" s="17">
        <v>70941271</v>
      </c>
      <c r="H1391" s="2" t="s">
        <v>180</v>
      </c>
      <c r="I1391" s="2" t="s">
        <v>4234</v>
      </c>
      <c r="J1391" s="2" t="s">
        <v>4234</v>
      </c>
      <c r="K1391" s="18">
        <v>45401</v>
      </c>
      <c r="L1391" s="18">
        <v>45433</v>
      </c>
      <c r="M1391" s="18">
        <v>45433</v>
      </c>
      <c r="N1391" s="1">
        <v>7</v>
      </c>
      <c r="O1391" s="19">
        <v>0</v>
      </c>
      <c r="P1391" s="18">
        <v>45433</v>
      </c>
      <c r="Q1391" s="19"/>
      <c r="R1391" s="772"/>
      <c r="S1391" s="18"/>
      <c r="T1391" s="2"/>
      <c r="U1391" s="2"/>
      <c r="V1391" s="2" t="s">
        <v>3091</v>
      </c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 spans="1:38" ht="12.75" customHeight="1">
      <c r="A1392" s="15">
        <v>1392</v>
      </c>
      <c r="B1392" s="736" t="s">
        <v>1555</v>
      </c>
      <c r="C1392" s="16" t="s">
        <v>4235</v>
      </c>
      <c r="D1392" s="2" t="s">
        <v>3087</v>
      </c>
      <c r="E1392" s="2" t="s">
        <v>3103</v>
      </c>
      <c r="F1392" s="2" t="s">
        <v>3782</v>
      </c>
      <c r="G1392" s="17">
        <v>244180</v>
      </c>
      <c r="H1392" s="2" t="s">
        <v>180</v>
      </c>
      <c r="I1392" s="2" t="s">
        <v>4236</v>
      </c>
      <c r="J1392" s="2" t="s">
        <v>4236</v>
      </c>
      <c r="K1392" s="18">
        <v>45400</v>
      </c>
      <c r="L1392" s="18">
        <v>45427</v>
      </c>
      <c r="M1392" s="18">
        <v>45427</v>
      </c>
      <c r="N1392" s="1">
        <v>7</v>
      </c>
      <c r="O1392" s="19">
        <v>0</v>
      </c>
      <c r="P1392" s="18">
        <v>45427</v>
      </c>
      <c r="Q1392" s="19"/>
      <c r="R1392" s="772"/>
      <c r="S1392" s="18"/>
      <c r="T1392" s="2"/>
      <c r="U1392" s="2"/>
      <c r="V1392" s="2" t="s">
        <v>3091</v>
      </c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 spans="1:38" ht="12.75" customHeight="1">
      <c r="A1393" s="15">
        <v>1393</v>
      </c>
      <c r="B1393" s="736" t="s">
        <v>1555</v>
      </c>
      <c r="C1393" s="16" t="s">
        <v>4237</v>
      </c>
      <c r="D1393" s="2" t="s">
        <v>3087</v>
      </c>
      <c r="E1393" s="2" t="s">
        <v>3103</v>
      </c>
      <c r="F1393" s="2" t="s">
        <v>3686</v>
      </c>
      <c r="G1393" s="17">
        <v>7593961</v>
      </c>
      <c r="H1393" s="2" t="s">
        <v>180</v>
      </c>
      <c r="I1393" s="2" t="s">
        <v>4238</v>
      </c>
      <c r="J1393" s="2" t="s">
        <v>4238</v>
      </c>
      <c r="K1393" s="18">
        <v>45398</v>
      </c>
      <c r="L1393" s="18">
        <v>45430</v>
      </c>
      <c r="M1393" s="18">
        <v>45430</v>
      </c>
      <c r="N1393" s="1">
        <v>7</v>
      </c>
      <c r="O1393" s="19">
        <v>9240</v>
      </c>
      <c r="P1393" s="18">
        <v>45430</v>
      </c>
      <c r="Q1393" s="19"/>
      <c r="R1393" s="772"/>
      <c r="S1393" s="18"/>
      <c r="T1393" s="2"/>
      <c r="U1393" s="2"/>
      <c r="V1393" s="2" t="s">
        <v>3091</v>
      </c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 spans="1:38" ht="12.75" customHeight="1">
      <c r="A1394" s="15">
        <v>1394</v>
      </c>
      <c r="B1394" s="742" t="s">
        <v>1555</v>
      </c>
      <c r="C1394" s="16" t="s">
        <v>4239</v>
      </c>
      <c r="D1394" s="2" t="s">
        <v>3087</v>
      </c>
      <c r="E1394" s="2" t="s">
        <v>3162</v>
      </c>
      <c r="F1394" s="2" t="s">
        <v>4131</v>
      </c>
      <c r="G1394" s="17">
        <v>10075</v>
      </c>
      <c r="H1394" s="96" t="s">
        <v>830</v>
      </c>
      <c r="I1394" s="2" t="s">
        <v>4240</v>
      </c>
      <c r="J1394" s="2" t="s">
        <v>4240</v>
      </c>
      <c r="K1394" s="18">
        <v>45404</v>
      </c>
      <c r="L1394" s="18">
        <v>45552</v>
      </c>
      <c r="M1394" s="18">
        <v>45558</v>
      </c>
      <c r="N1394" s="1">
        <v>7</v>
      </c>
      <c r="O1394" s="19">
        <v>2500</v>
      </c>
      <c r="P1394" s="18">
        <v>45558</v>
      </c>
      <c r="Q1394" s="19"/>
      <c r="R1394" s="772"/>
      <c r="S1394" s="18"/>
      <c r="T1394" s="2"/>
      <c r="U1394" s="2"/>
      <c r="V1394" s="2" t="s">
        <v>4625</v>
      </c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 spans="1:38" ht="12.75" customHeight="1">
      <c r="A1395" s="15">
        <v>1395</v>
      </c>
      <c r="B1395" s="742" t="s">
        <v>1555</v>
      </c>
      <c r="C1395" s="16" t="s">
        <v>4241</v>
      </c>
      <c r="D1395" s="2" t="s">
        <v>3087</v>
      </c>
      <c r="E1395" s="2" t="s">
        <v>3162</v>
      </c>
      <c r="F1395" s="2" t="s">
        <v>4095</v>
      </c>
      <c r="G1395" s="17">
        <v>10070</v>
      </c>
      <c r="H1395" s="96" t="s">
        <v>830</v>
      </c>
      <c r="I1395" s="2" t="s">
        <v>4242</v>
      </c>
      <c r="J1395" s="2" t="s">
        <v>4242</v>
      </c>
      <c r="K1395" s="18">
        <v>45401</v>
      </c>
      <c r="L1395" s="18">
        <v>45544</v>
      </c>
      <c r="M1395" s="18">
        <v>45548</v>
      </c>
      <c r="N1395" s="1">
        <v>7</v>
      </c>
      <c r="O1395" s="19">
        <v>2500</v>
      </c>
      <c r="P1395" s="18">
        <v>45548</v>
      </c>
      <c r="Q1395" s="19"/>
      <c r="R1395" s="772"/>
      <c r="S1395" s="18"/>
      <c r="T1395" s="2"/>
      <c r="U1395" s="2"/>
      <c r="V1395" s="2" t="s">
        <v>4625</v>
      </c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 spans="1:38" ht="12.75" customHeight="1">
      <c r="A1396" s="15">
        <v>1396</v>
      </c>
      <c r="B1396" s="736" t="s">
        <v>1555</v>
      </c>
      <c r="C1396" s="16" t="s">
        <v>4243</v>
      </c>
      <c r="D1396" s="2" t="s">
        <v>3087</v>
      </c>
      <c r="E1396" s="2" t="s">
        <v>3162</v>
      </c>
      <c r="F1396" s="2" t="s">
        <v>4244</v>
      </c>
      <c r="G1396" s="17">
        <v>10101</v>
      </c>
      <c r="H1396" s="96" t="s">
        <v>830</v>
      </c>
      <c r="I1396" s="2" t="s">
        <v>4245</v>
      </c>
      <c r="J1396" s="2" t="s">
        <v>4245</v>
      </c>
      <c r="K1396" s="18">
        <v>45406</v>
      </c>
      <c r="L1396" s="18">
        <v>45444</v>
      </c>
      <c r="M1396" s="18">
        <v>45473</v>
      </c>
      <c r="N1396" s="1">
        <v>7</v>
      </c>
      <c r="O1396" s="19">
        <v>0</v>
      </c>
      <c r="P1396" s="18">
        <v>45473</v>
      </c>
      <c r="Q1396" s="19"/>
      <c r="R1396" s="772"/>
      <c r="S1396" s="18"/>
      <c r="T1396" s="2"/>
      <c r="U1396" s="2"/>
      <c r="V1396" s="2" t="s">
        <v>3091</v>
      </c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 spans="1:38" ht="12.75" customHeight="1">
      <c r="A1397" s="15">
        <v>1397</v>
      </c>
      <c r="B1397" s="736" t="s">
        <v>1555</v>
      </c>
      <c r="C1397" s="16" t="s">
        <v>4246</v>
      </c>
      <c r="D1397" s="2" t="s">
        <v>3087</v>
      </c>
      <c r="E1397" s="2" t="s">
        <v>3103</v>
      </c>
      <c r="F1397" s="2" t="s">
        <v>3677</v>
      </c>
      <c r="G1397" s="17">
        <v>8509760</v>
      </c>
      <c r="H1397" s="2" t="s">
        <v>180</v>
      </c>
      <c r="I1397" s="2" t="s">
        <v>4247</v>
      </c>
      <c r="J1397" s="2" t="s">
        <v>4247</v>
      </c>
      <c r="K1397" s="18">
        <v>45406</v>
      </c>
      <c r="L1397" s="18">
        <v>45437</v>
      </c>
      <c r="M1397" s="18">
        <v>45437</v>
      </c>
      <c r="N1397" s="1">
        <v>7</v>
      </c>
      <c r="O1397" s="19">
        <v>0</v>
      </c>
      <c r="P1397" s="18">
        <v>45437</v>
      </c>
      <c r="Q1397" s="19"/>
      <c r="R1397" s="772"/>
      <c r="S1397" s="18"/>
      <c r="T1397" s="2"/>
      <c r="U1397" s="2"/>
      <c r="V1397" s="2" t="s">
        <v>3091</v>
      </c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 spans="1:38" ht="12.75" customHeight="1">
      <c r="A1398" s="15">
        <v>1398</v>
      </c>
      <c r="B1398" s="742" t="s">
        <v>1555</v>
      </c>
      <c r="C1398" s="16" t="s">
        <v>4248</v>
      </c>
      <c r="D1398" s="2" t="s">
        <v>3087</v>
      </c>
      <c r="E1398" s="2" t="s">
        <v>3162</v>
      </c>
      <c r="F1398" s="2" t="s">
        <v>4249</v>
      </c>
      <c r="G1398" s="17">
        <v>10102</v>
      </c>
      <c r="H1398" s="96" t="s">
        <v>830</v>
      </c>
      <c r="I1398" s="2" t="s">
        <v>4250</v>
      </c>
      <c r="J1398" s="2" t="s">
        <v>4250</v>
      </c>
      <c r="K1398" s="18">
        <v>45404</v>
      </c>
      <c r="L1398" s="18">
        <v>45474</v>
      </c>
      <c r="M1398" s="18">
        <v>45535</v>
      </c>
      <c r="N1398" s="1">
        <v>7</v>
      </c>
      <c r="O1398" s="19">
        <v>9000</v>
      </c>
      <c r="P1398" s="18">
        <v>45535</v>
      </c>
      <c r="Q1398" s="19"/>
      <c r="R1398" s="772"/>
      <c r="S1398" s="18"/>
      <c r="T1398" s="2"/>
      <c r="U1398" s="2"/>
      <c r="V1398" s="2" t="s">
        <v>4625</v>
      </c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 spans="1:38" ht="12.75" customHeight="1">
      <c r="A1399" s="15">
        <v>1399</v>
      </c>
      <c r="B1399" s="736" t="s">
        <v>3086</v>
      </c>
      <c r="C1399" s="16" t="s">
        <v>4251</v>
      </c>
      <c r="D1399" s="2" t="s">
        <v>3116</v>
      </c>
      <c r="E1399" s="2" t="s">
        <v>3202</v>
      </c>
      <c r="F1399" s="2" t="s">
        <v>3249</v>
      </c>
      <c r="G1399" s="17">
        <v>60193336</v>
      </c>
      <c r="H1399" s="2" t="s">
        <v>385</v>
      </c>
      <c r="I1399" s="2" t="s">
        <v>4252</v>
      </c>
      <c r="J1399" s="2" t="s">
        <v>4253</v>
      </c>
      <c r="K1399" s="18">
        <v>45418</v>
      </c>
      <c r="L1399" s="18">
        <v>45418</v>
      </c>
      <c r="M1399" s="18">
        <v>45782</v>
      </c>
      <c r="N1399" s="1">
        <v>1</v>
      </c>
      <c r="O1399" s="19">
        <v>0</v>
      </c>
      <c r="P1399" s="18">
        <v>45782</v>
      </c>
      <c r="Q1399" s="19">
        <v>0</v>
      </c>
      <c r="R1399" s="772">
        <v>26721391.3107333</v>
      </c>
      <c r="S1399" s="18" t="s">
        <v>5669</v>
      </c>
      <c r="T1399" s="2"/>
      <c r="U1399" s="3">
        <v>3</v>
      </c>
      <c r="V1399" s="2" t="s">
        <v>4625</v>
      </c>
      <c r="W1399" s="2" t="s">
        <v>4625</v>
      </c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 spans="1:38" ht="12.75" customHeight="1">
      <c r="A1400" s="15">
        <v>1400</v>
      </c>
      <c r="B1400" s="736" t="s">
        <v>1555</v>
      </c>
      <c r="C1400" s="16" t="s">
        <v>4254</v>
      </c>
      <c r="D1400" s="2" t="s">
        <v>3087</v>
      </c>
      <c r="E1400" s="2" t="s">
        <v>3103</v>
      </c>
      <c r="F1400" s="2" t="s">
        <v>3815</v>
      </c>
      <c r="G1400" s="17">
        <v>239402</v>
      </c>
      <c r="H1400" s="2" t="s">
        <v>180</v>
      </c>
      <c r="I1400" s="2" t="s">
        <v>4255</v>
      </c>
      <c r="J1400" s="2" t="s">
        <v>4255</v>
      </c>
      <c r="K1400" s="18">
        <v>45411</v>
      </c>
      <c r="L1400" s="18">
        <v>45429</v>
      </c>
      <c r="M1400" s="18">
        <v>45429</v>
      </c>
      <c r="N1400" s="1">
        <v>7</v>
      </c>
      <c r="O1400" s="19">
        <v>0</v>
      </c>
      <c r="P1400" s="18">
        <v>45429</v>
      </c>
      <c r="Q1400" s="19"/>
      <c r="R1400" s="772"/>
      <c r="S1400" s="18"/>
      <c r="T1400" s="2"/>
      <c r="U1400" s="2"/>
      <c r="V1400" s="2" t="s">
        <v>3091</v>
      </c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 spans="1:38" ht="12.75" customHeight="1">
      <c r="A1401" s="15">
        <v>1401</v>
      </c>
      <c r="B1401" s="736" t="s">
        <v>1555</v>
      </c>
      <c r="C1401" s="16" t="s">
        <v>4256</v>
      </c>
      <c r="D1401" s="2" t="s">
        <v>3087</v>
      </c>
      <c r="E1401" s="2" t="s">
        <v>3103</v>
      </c>
      <c r="F1401" s="2" t="s">
        <v>4257</v>
      </c>
      <c r="G1401" s="17">
        <v>70951829</v>
      </c>
      <c r="H1401" s="2" t="s">
        <v>180</v>
      </c>
      <c r="I1401" s="2" t="s">
        <v>4258</v>
      </c>
      <c r="J1401" s="2" t="s">
        <v>4258</v>
      </c>
      <c r="K1401" s="18">
        <v>45411</v>
      </c>
      <c r="L1401" s="18">
        <v>45416</v>
      </c>
      <c r="M1401" s="18">
        <v>45416</v>
      </c>
      <c r="N1401" s="1">
        <v>7</v>
      </c>
      <c r="O1401" s="19">
        <v>0</v>
      </c>
      <c r="P1401" s="18">
        <v>45416</v>
      </c>
      <c r="Q1401" s="19"/>
      <c r="R1401" s="772"/>
      <c r="S1401" s="18"/>
      <c r="T1401" s="2"/>
      <c r="U1401" s="2"/>
      <c r="V1401" s="2" t="s">
        <v>3091</v>
      </c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 spans="1:38" ht="12.75" customHeight="1">
      <c r="A1402" s="15">
        <v>1402</v>
      </c>
      <c r="B1402" s="736" t="s">
        <v>1555</v>
      </c>
      <c r="C1402" s="16" t="s">
        <v>4259</v>
      </c>
      <c r="D1402" s="2" t="s">
        <v>3087</v>
      </c>
      <c r="E1402" s="2" t="s">
        <v>3162</v>
      </c>
      <c r="F1402" s="2" t="s">
        <v>4136</v>
      </c>
      <c r="G1402" s="17">
        <v>10076</v>
      </c>
      <c r="H1402" s="96" t="s">
        <v>830</v>
      </c>
      <c r="I1402" s="2" t="s">
        <v>4260</v>
      </c>
      <c r="J1402" s="2" t="s">
        <v>4260</v>
      </c>
      <c r="K1402" s="18">
        <v>45407</v>
      </c>
      <c r="L1402" s="18">
        <v>45444</v>
      </c>
      <c r="M1402" s="18">
        <v>45473</v>
      </c>
      <c r="N1402" s="1">
        <v>7</v>
      </c>
      <c r="O1402" s="19">
        <v>2500</v>
      </c>
      <c r="P1402" s="18">
        <v>45473</v>
      </c>
      <c r="Q1402" s="19"/>
      <c r="R1402" s="772"/>
      <c r="S1402" s="18"/>
      <c r="T1402" s="2"/>
      <c r="U1402" s="2"/>
      <c r="V1402" s="2" t="s">
        <v>3091</v>
      </c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 spans="1:38" ht="12.75" customHeight="1">
      <c r="A1403" s="15">
        <v>1403</v>
      </c>
      <c r="B1403" s="736" t="s">
        <v>1555</v>
      </c>
      <c r="C1403" s="16" t="s">
        <v>4261</v>
      </c>
      <c r="D1403" s="2" t="s">
        <v>3087</v>
      </c>
      <c r="E1403" s="2" t="s">
        <v>3103</v>
      </c>
      <c r="F1403" s="2" t="s">
        <v>4262</v>
      </c>
      <c r="G1403" s="17">
        <v>234923</v>
      </c>
      <c r="H1403" s="2" t="s">
        <v>180</v>
      </c>
      <c r="I1403" s="2" t="s">
        <v>4263</v>
      </c>
      <c r="J1403" s="2" t="s">
        <v>4263</v>
      </c>
      <c r="K1403" s="18">
        <v>45414</v>
      </c>
      <c r="L1403" s="18">
        <v>45427</v>
      </c>
      <c r="M1403" s="18">
        <v>45427</v>
      </c>
      <c r="N1403" s="1">
        <v>7</v>
      </c>
      <c r="O1403" s="19">
        <v>0</v>
      </c>
      <c r="P1403" s="18">
        <v>45427</v>
      </c>
      <c r="Q1403" s="19"/>
      <c r="R1403" s="772"/>
      <c r="S1403" s="18"/>
      <c r="T1403" s="2"/>
      <c r="U1403" s="2"/>
      <c r="V1403" s="2" t="s">
        <v>3091</v>
      </c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 spans="1:38" ht="12.75" customHeight="1">
      <c r="A1404" s="15">
        <v>1404</v>
      </c>
      <c r="B1404" s="736" t="s">
        <v>1555</v>
      </c>
      <c r="C1404" s="16" t="s">
        <v>4264</v>
      </c>
      <c r="D1404" s="2" t="s">
        <v>3087</v>
      </c>
      <c r="E1404" s="2" t="s">
        <v>3103</v>
      </c>
      <c r="F1404" s="2" t="s">
        <v>4057</v>
      </c>
      <c r="G1404" s="17">
        <v>19609914</v>
      </c>
      <c r="H1404" s="2" t="s">
        <v>180</v>
      </c>
      <c r="I1404" s="2" t="s">
        <v>4265</v>
      </c>
      <c r="J1404" s="2" t="s">
        <v>4265</v>
      </c>
      <c r="K1404" s="18">
        <v>45414</v>
      </c>
      <c r="L1404" s="18">
        <v>45424</v>
      </c>
      <c r="M1404" s="18">
        <v>45424</v>
      </c>
      <c r="N1404" s="1">
        <v>7</v>
      </c>
      <c r="O1404" s="19">
        <v>5730</v>
      </c>
      <c r="P1404" s="18">
        <v>45424</v>
      </c>
      <c r="Q1404" s="19"/>
      <c r="R1404" s="772"/>
      <c r="S1404" s="18"/>
      <c r="T1404" s="2"/>
      <c r="U1404" s="2"/>
      <c r="V1404" s="2" t="s">
        <v>3091</v>
      </c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 spans="1:38" ht="12.75" customHeight="1">
      <c r="A1405" s="15">
        <v>1405</v>
      </c>
      <c r="B1405" s="736" t="s">
        <v>1555</v>
      </c>
      <c r="C1405" s="16" t="s">
        <v>4266</v>
      </c>
      <c r="D1405" s="2" t="s">
        <v>3087</v>
      </c>
      <c r="E1405" s="2" t="s">
        <v>3103</v>
      </c>
      <c r="F1405" s="2" t="s">
        <v>4267</v>
      </c>
      <c r="G1405" s="17">
        <v>640689</v>
      </c>
      <c r="H1405" s="2" t="s">
        <v>180</v>
      </c>
      <c r="I1405" s="2" t="s">
        <v>4268</v>
      </c>
      <c r="J1405" s="2" t="s">
        <v>4268</v>
      </c>
      <c r="K1405" s="18">
        <v>45418</v>
      </c>
      <c r="L1405" s="18">
        <v>45444</v>
      </c>
      <c r="M1405" s="18">
        <v>45444</v>
      </c>
      <c r="N1405" s="1">
        <v>7</v>
      </c>
      <c r="O1405" s="19">
        <v>0</v>
      </c>
      <c r="P1405" s="18">
        <v>45444</v>
      </c>
      <c r="Q1405" s="19"/>
      <c r="R1405" s="772"/>
      <c r="S1405" s="18"/>
      <c r="T1405" s="2"/>
      <c r="U1405" s="2"/>
      <c r="V1405" s="2" t="s">
        <v>3091</v>
      </c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 spans="1:38" ht="12.75" customHeight="1">
      <c r="A1406" s="15">
        <v>1406</v>
      </c>
      <c r="B1406" s="736" t="s">
        <v>1555</v>
      </c>
      <c r="C1406" s="16" t="s">
        <v>4269</v>
      </c>
      <c r="D1406" s="2" t="s">
        <v>3087</v>
      </c>
      <c r="E1406" s="2" t="s">
        <v>3103</v>
      </c>
      <c r="F1406" s="2" t="s">
        <v>4270</v>
      </c>
      <c r="G1406" s="17">
        <v>9327</v>
      </c>
      <c r="H1406" s="2" t="s">
        <v>180</v>
      </c>
      <c r="I1406" s="2" t="s">
        <v>4271</v>
      </c>
      <c r="J1406" s="2" t="s">
        <v>4271</v>
      </c>
      <c r="K1406" s="18">
        <v>45418</v>
      </c>
      <c r="L1406" s="18">
        <v>45459</v>
      </c>
      <c r="M1406" s="18">
        <v>45459</v>
      </c>
      <c r="N1406" s="1">
        <v>7</v>
      </c>
      <c r="O1406" s="19">
        <v>0</v>
      </c>
      <c r="P1406" s="18">
        <v>45459</v>
      </c>
      <c r="Q1406" s="19"/>
      <c r="R1406" s="772"/>
      <c r="S1406" s="18"/>
      <c r="T1406" s="2"/>
      <c r="U1406" s="2"/>
      <c r="V1406" s="2" t="s">
        <v>3091</v>
      </c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 spans="1:38" ht="12.75" customHeight="1">
      <c r="A1407" s="15">
        <v>1407</v>
      </c>
      <c r="B1407" s="736" t="s">
        <v>1555</v>
      </c>
      <c r="C1407" s="16" t="s">
        <v>4272</v>
      </c>
      <c r="D1407" s="2" t="s">
        <v>3087</v>
      </c>
      <c r="E1407" s="2" t="s">
        <v>3162</v>
      </c>
      <c r="F1407" s="2" t="s">
        <v>4273</v>
      </c>
      <c r="G1407" s="17">
        <v>10166</v>
      </c>
      <c r="H1407" s="96" t="s">
        <v>830</v>
      </c>
      <c r="I1407" s="2" t="s">
        <v>4274</v>
      </c>
      <c r="J1407" s="2" t="s">
        <v>4274</v>
      </c>
      <c r="K1407" s="18">
        <v>45414</v>
      </c>
      <c r="L1407" s="18">
        <v>45449</v>
      </c>
      <c r="M1407" s="18">
        <v>45457</v>
      </c>
      <c r="N1407" s="1">
        <v>7</v>
      </c>
      <c r="O1407" s="19">
        <v>2500</v>
      </c>
      <c r="P1407" s="18">
        <v>45457</v>
      </c>
      <c r="Q1407" s="19"/>
      <c r="R1407" s="772"/>
      <c r="S1407" s="18"/>
      <c r="T1407" s="2"/>
      <c r="U1407" s="2"/>
      <c r="V1407" s="2" t="s">
        <v>3091</v>
      </c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 spans="1:38" ht="12.75" customHeight="1">
      <c r="A1408" s="15">
        <v>1408</v>
      </c>
      <c r="B1408" s="736" t="s">
        <v>1555</v>
      </c>
      <c r="C1408" s="16" t="s">
        <v>4275</v>
      </c>
      <c r="D1408" s="2" t="s">
        <v>3094</v>
      </c>
      <c r="E1408" s="2" t="s">
        <v>3162</v>
      </c>
      <c r="F1408" s="2" t="s">
        <v>4276</v>
      </c>
      <c r="G1408" s="17">
        <v>24200166</v>
      </c>
      <c r="H1408" s="96" t="s">
        <v>830</v>
      </c>
      <c r="I1408" s="2" t="s">
        <v>4277</v>
      </c>
      <c r="J1408" s="2" t="s">
        <v>4277</v>
      </c>
      <c r="K1408" s="18">
        <v>45406</v>
      </c>
      <c r="L1408" s="18">
        <v>45481</v>
      </c>
      <c r="M1408" s="18">
        <v>45494</v>
      </c>
      <c r="N1408" s="1">
        <v>7</v>
      </c>
      <c r="O1408" s="19">
        <v>6000</v>
      </c>
      <c r="P1408" s="18">
        <v>45494</v>
      </c>
      <c r="Q1408" s="19"/>
      <c r="R1408" s="772"/>
      <c r="S1408" s="18"/>
      <c r="T1408" s="2"/>
      <c r="U1408" s="2"/>
      <c r="V1408" s="2" t="s">
        <v>3091</v>
      </c>
      <c r="W1408" s="2"/>
      <c r="X1408" s="2"/>
      <c r="Y1408" s="2"/>
      <c r="Z1408" s="2"/>
      <c r="AA1408" s="2"/>
      <c r="AB1408" s="2"/>
      <c r="AC1408" s="2"/>
      <c r="AD1408" s="2"/>
      <c r="AF1408" s="2"/>
      <c r="AG1408" s="2"/>
      <c r="AH1408" s="2"/>
      <c r="AI1408" s="2"/>
      <c r="AJ1408" s="2"/>
      <c r="AK1408" s="2"/>
      <c r="AL1408" s="2"/>
    </row>
    <row r="1409" spans="1:38" ht="12.75" customHeight="1">
      <c r="A1409" s="15">
        <v>1409</v>
      </c>
      <c r="B1409" s="736" t="s">
        <v>3086</v>
      </c>
      <c r="C1409" s="16" t="s">
        <v>4278</v>
      </c>
      <c r="D1409" s="2" t="s">
        <v>3094</v>
      </c>
      <c r="E1409" s="2" t="s">
        <v>3095</v>
      </c>
      <c r="F1409" s="81" t="s">
        <v>3627</v>
      </c>
      <c r="G1409" s="17">
        <v>24174319</v>
      </c>
      <c r="H1409" s="2" t="s">
        <v>4169</v>
      </c>
      <c r="I1409" s="2" t="s">
        <v>4279</v>
      </c>
      <c r="J1409" s="2" t="s">
        <v>4280</v>
      </c>
      <c r="K1409" s="18">
        <v>45432</v>
      </c>
      <c r="L1409" s="18">
        <v>45432</v>
      </c>
      <c r="M1409" s="18">
        <v>46892</v>
      </c>
      <c r="N1409" s="1">
        <v>6</v>
      </c>
      <c r="O1409" s="19">
        <v>0</v>
      </c>
      <c r="P1409" s="18">
        <v>46892</v>
      </c>
      <c r="Q1409" s="19">
        <v>0</v>
      </c>
      <c r="R1409" s="772" t="s">
        <v>4281</v>
      </c>
      <c r="S1409" s="18">
        <v>45432</v>
      </c>
      <c r="T1409" s="2" t="s">
        <v>4282</v>
      </c>
      <c r="U1409" s="105">
        <v>3</v>
      </c>
      <c r="V1409" s="2"/>
      <c r="W1409" s="2" t="s">
        <v>4625</v>
      </c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 spans="1:38" ht="12.75" customHeight="1">
      <c r="A1410" s="15">
        <v>1410</v>
      </c>
      <c r="B1410" s="736" t="s">
        <v>3086</v>
      </c>
      <c r="C1410" s="16" t="s">
        <v>4283</v>
      </c>
      <c r="D1410" s="2" t="s">
        <v>3094</v>
      </c>
      <c r="E1410" s="2" t="s">
        <v>3095</v>
      </c>
      <c r="F1410" s="81" t="s">
        <v>3454</v>
      </c>
      <c r="G1410" s="17">
        <v>27256391</v>
      </c>
      <c r="H1410" s="2" t="s">
        <v>4169</v>
      </c>
      <c r="I1410" s="2" t="s">
        <v>4284</v>
      </c>
      <c r="J1410" s="2" t="s">
        <v>4285</v>
      </c>
      <c r="K1410" s="18">
        <v>45432</v>
      </c>
      <c r="L1410" s="18">
        <v>45432</v>
      </c>
      <c r="M1410" s="18">
        <v>46892</v>
      </c>
      <c r="N1410" s="1">
        <v>6</v>
      </c>
      <c r="O1410" s="19">
        <v>0</v>
      </c>
      <c r="P1410" s="18">
        <v>46892</v>
      </c>
      <c r="Q1410" s="19">
        <v>0</v>
      </c>
      <c r="R1410" s="772" t="s">
        <v>4286</v>
      </c>
      <c r="S1410" s="18">
        <v>45432</v>
      </c>
      <c r="T1410" s="2" t="s">
        <v>4287</v>
      </c>
      <c r="U1410" s="105">
        <v>3</v>
      </c>
      <c r="V1410" s="2"/>
      <c r="W1410" s="2" t="s">
        <v>4625</v>
      </c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 spans="1:38" ht="12.75" customHeight="1">
      <c r="A1411" s="15">
        <v>1411</v>
      </c>
      <c r="B1411" s="736" t="s">
        <v>1555</v>
      </c>
      <c r="C1411" s="16" t="s">
        <v>4288</v>
      </c>
      <c r="D1411" s="2" t="s">
        <v>3110</v>
      </c>
      <c r="E1411" s="2" t="s">
        <v>3197</v>
      </c>
      <c r="F1411" s="2" t="s">
        <v>3201</v>
      </c>
      <c r="G1411" s="17">
        <v>64509214</v>
      </c>
      <c r="H1411" s="2" t="s">
        <v>546</v>
      </c>
      <c r="I1411" s="2" t="s">
        <v>4289</v>
      </c>
      <c r="J1411" s="2" t="s">
        <v>4290</v>
      </c>
      <c r="K1411" s="18">
        <v>45432</v>
      </c>
      <c r="L1411" s="18">
        <v>45432</v>
      </c>
      <c r="M1411" s="18">
        <v>45707</v>
      </c>
      <c r="N1411" s="1">
        <v>7</v>
      </c>
      <c r="O1411" s="19">
        <v>12694110</v>
      </c>
      <c r="P1411" s="18">
        <v>45707</v>
      </c>
      <c r="Q1411" s="19">
        <v>12694110</v>
      </c>
      <c r="R1411" s="772" t="s">
        <v>4291</v>
      </c>
      <c r="S1411" s="18">
        <v>45432</v>
      </c>
      <c r="T1411" s="2" t="s">
        <v>4292</v>
      </c>
      <c r="U1411" s="2"/>
      <c r="V1411" s="2"/>
      <c r="W1411" s="2"/>
      <c r="X1411" s="2"/>
      <c r="Y1411" s="2" t="s">
        <v>4787</v>
      </c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 spans="1:38" ht="12.75" customHeight="1">
      <c r="A1412" s="15">
        <v>1412</v>
      </c>
      <c r="B1412" s="742" t="s">
        <v>1555</v>
      </c>
      <c r="C1412" s="16" t="s">
        <v>4293</v>
      </c>
      <c r="D1412" s="15" t="s">
        <v>3087</v>
      </c>
      <c r="E1412" s="2" t="s">
        <v>4294</v>
      </c>
      <c r="F1412" s="2" t="s">
        <v>4060</v>
      </c>
      <c r="G1412" s="17">
        <v>10060</v>
      </c>
      <c r="H1412" s="96" t="s">
        <v>830</v>
      </c>
      <c r="I1412" s="2" t="s">
        <v>4295</v>
      </c>
      <c r="J1412" s="2" t="s">
        <v>4295</v>
      </c>
      <c r="K1412" s="18">
        <v>45419</v>
      </c>
      <c r="L1412" s="18">
        <v>45538</v>
      </c>
      <c r="M1412" s="18">
        <v>45559</v>
      </c>
      <c r="N1412" s="1">
        <v>7</v>
      </c>
      <c r="O1412" s="19">
        <v>2500</v>
      </c>
      <c r="P1412" s="18">
        <v>45559</v>
      </c>
      <c r="Q1412" s="19"/>
      <c r="R1412" s="772"/>
      <c r="S1412" s="18"/>
      <c r="T1412" s="2"/>
      <c r="U1412" s="2"/>
      <c r="V1412" s="2" t="s">
        <v>4625</v>
      </c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 spans="1:38" ht="12.75" customHeight="1">
      <c r="A1413" s="15">
        <v>1413</v>
      </c>
      <c r="B1413" s="742" t="s">
        <v>1555</v>
      </c>
      <c r="C1413" s="16" t="s">
        <v>4296</v>
      </c>
      <c r="D1413" s="15" t="s">
        <v>3087</v>
      </c>
      <c r="E1413" s="2" t="s">
        <v>4294</v>
      </c>
      <c r="F1413" s="2" t="s">
        <v>4297</v>
      </c>
      <c r="G1413" s="17">
        <v>10175</v>
      </c>
      <c r="H1413" s="96" t="s">
        <v>830</v>
      </c>
      <c r="I1413" s="2" t="s">
        <v>4298</v>
      </c>
      <c r="J1413" s="2" t="s">
        <v>4298</v>
      </c>
      <c r="K1413" s="18">
        <v>45425</v>
      </c>
      <c r="L1413" s="18">
        <v>45505</v>
      </c>
      <c r="M1413" s="18">
        <v>45535</v>
      </c>
      <c r="N1413" s="1">
        <v>7</v>
      </c>
      <c r="O1413" s="19">
        <v>0</v>
      </c>
      <c r="P1413" s="18">
        <v>45535</v>
      </c>
      <c r="Q1413" s="19"/>
      <c r="R1413" s="772"/>
      <c r="S1413" s="18"/>
      <c r="T1413" s="2"/>
      <c r="U1413" s="2"/>
      <c r="V1413" s="2" t="s">
        <v>4625</v>
      </c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 spans="1:38" ht="12.75" customHeight="1">
      <c r="A1414" s="15">
        <v>1414</v>
      </c>
      <c r="B1414" s="736" t="s">
        <v>1555</v>
      </c>
      <c r="C1414" s="16" t="s">
        <v>4299</v>
      </c>
      <c r="D1414" s="15" t="s">
        <v>3087</v>
      </c>
      <c r="E1414" s="2" t="s">
        <v>4294</v>
      </c>
      <c r="F1414" s="2" t="s">
        <v>4300</v>
      </c>
      <c r="G1414" s="17">
        <v>10176</v>
      </c>
      <c r="H1414" s="96" t="s">
        <v>830</v>
      </c>
      <c r="I1414" s="2" t="s">
        <v>4301</v>
      </c>
      <c r="J1414" s="2" t="s">
        <v>4301</v>
      </c>
      <c r="K1414" s="18">
        <v>45418</v>
      </c>
      <c r="L1414" s="18">
        <v>45425</v>
      </c>
      <c r="M1414" s="18">
        <v>45427</v>
      </c>
      <c r="N1414" s="1">
        <v>7</v>
      </c>
      <c r="O1414" s="19">
        <v>1500</v>
      </c>
      <c r="P1414" s="18">
        <v>45427</v>
      </c>
      <c r="Q1414" s="19"/>
      <c r="R1414" s="772"/>
      <c r="S1414" s="18"/>
      <c r="T1414" s="2"/>
      <c r="U1414" s="2"/>
      <c r="V1414" s="2" t="s">
        <v>3091</v>
      </c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 spans="1:38" ht="12.75" customHeight="1">
      <c r="A1415" s="15">
        <v>1415</v>
      </c>
      <c r="B1415" s="736" t="s">
        <v>1555</v>
      </c>
      <c r="C1415" s="16" t="s">
        <v>4302</v>
      </c>
      <c r="D1415" s="15" t="s">
        <v>3087</v>
      </c>
      <c r="E1415" s="2" t="s">
        <v>3811</v>
      </c>
      <c r="F1415" s="2" t="s">
        <v>3152</v>
      </c>
      <c r="G1415" s="17">
        <v>70885371</v>
      </c>
      <c r="H1415" s="2" t="s">
        <v>180</v>
      </c>
      <c r="I1415" s="2" t="s">
        <v>4303</v>
      </c>
      <c r="J1415" s="2" t="s">
        <v>4303</v>
      </c>
      <c r="K1415" s="18">
        <v>45415</v>
      </c>
      <c r="L1415" s="18">
        <v>45458</v>
      </c>
      <c r="M1415" s="18">
        <v>45459</v>
      </c>
      <c r="N1415" s="1">
        <v>7</v>
      </c>
      <c r="O1415" s="19">
        <v>0</v>
      </c>
      <c r="P1415" s="18">
        <v>45459</v>
      </c>
      <c r="Q1415" s="19"/>
      <c r="R1415" s="772"/>
      <c r="S1415" s="18"/>
      <c r="T1415" s="2"/>
      <c r="U1415" s="2"/>
      <c r="V1415" s="2" t="s">
        <v>3091</v>
      </c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 spans="1:38" ht="12.75" customHeight="1">
      <c r="A1416" s="15">
        <v>1416</v>
      </c>
      <c r="B1416" s="736" t="s">
        <v>1555</v>
      </c>
      <c r="C1416" s="16" t="s">
        <v>4304</v>
      </c>
      <c r="D1416" s="15" t="s">
        <v>3087</v>
      </c>
      <c r="E1416" s="2" t="s">
        <v>3811</v>
      </c>
      <c r="F1416" s="2" t="s">
        <v>3152</v>
      </c>
      <c r="G1416" s="17">
        <v>70885371</v>
      </c>
      <c r="H1416" s="2" t="s">
        <v>180</v>
      </c>
      <c r="I1416" s="2" t="s">
        <v>4305</v>
      </c>
      <c r="J1416" s="2" t="s">
        <v>4305</v>
      </c>
      <c r="K1416" s="18">
        <v>45414</v>
      </c>
      <c r="L1416" s="18">
        <v>45428</v>
      </c>
      <c r="M1416" s="18">
        <v>45428</v>
      </c>
      <c r="N1416" s="1">
        <v>7</v>
      </c>
      <c r="O1416" s="19">
        <v>0</v>
      </c>
      <c r="P1416" s="18">
        <v>45428</v>
      </c>
      <c r="Q1416" s="19"/>
      <c r="R1416" s="772"/>
      <c r="S1416" s="18"/>
      <c r="T1416" s="2"/>
      <c r="U1416" s="2"/>
      <c r="V1416" s="2" t="s">
        <v>3091</v>
      </c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 spans="1:38" ht="12.75" customHeight="1">
      <c r="A1417" s="15">
        <v>1417</v>
      </c>
      <c r="B1417" s="736" t="s">
        <v>1555</v>
      </c>
      <c r="C1417" s="16" t="s">
        <v>4306</v>
      </c>
      <c r="D1417" s="15" t="s">
        <v>3087</v>
      </c>
      <c r="E1417" s="2" t="s">
        <v>3811</v>
      </c>
      <c r="F1417" s="2" t="s">
        <v>4307</v>
      </c>
      <c r="G1417" s="17">
        <v>236993</v>
      </c>
      <c r="H1417" s="2" t="s">
        <v>180</v>
      </c>
      <c r="I1417" s="2" t="s">
        <v>4308</v>
      </c>
      <c r="J1417" s="2" t="s">
        <v>4308</v>
      </c>
      <c r="K1417" s="18">
        <v>45429</v>
      </c>
      <c r="L1417" s="18">
        <v>45437</v>
      </c>
      <c r="M1417" s="18">
        <v>45437</v>
      </c>
      <c r="N1417" s="1">
        <v>7</v>
      </c>
      <c r="O1417" s="19">
        <v>0</v>
      </c>
      <c r="P1417" s="18">
        <v>45437</v>
      </c>
      <c r="Q1417" s="19"/>
      <c r="R1417" s="772"/>
      <c r="S1417" s="18"/>
      <c r="T1417" s="2"/>
      <c r="U1417" s="2"/>
      <c r="V1417" s="2" t="s">
        <v>3091</v>
      </c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 spans="1:38" ht="12.75" customHeight="1">
      <c r="A1418" s="15">
        <v>1418</v>
      </c>
      <c r="B1418" s="736" t="s">
        <v>3086</v>
      </c>
      <c r="C1418" s="16" t="s">
        <v>4309</v>
      </c>
      <c r="D1418" s="3" t="s">
        <v>3087</v>
      </c>
      <c r="E1418" s="2" t="s">
        <v>3202</v>
      </c>
      <c r="F1418" s="2" t="s">
        <v>3286</v>
      </c>
      <c r="G1418" s="17">
        <v>47675934</v>
      </c>
      <c r="H1418" s="2" t="s">
        <v>385</v>
      </c>
      <c r="I1418" s="2" t="s">
        <v>4310</v>
      </c>
      <c r="J1418" s="2" t="s">
        <v>4311</v>
      </c>
      <c r="K1418" s="18">
        <v>45440</v>
      </c>
      <c r="L1418" s="18">
        <v>45441</v>
      </c>
      <c r="M1418" s="18">
        <v>46535</v>
      </c>
      <c r="N1418" s="1">
        <v>6</v>
      </c>
      <c r="O1418" s="19">
        <v>156800</v>
      </c>
      <c r="P1418" s="18">
        <v>46535</v>
      </c>
      <c r="Q1418" s="19">
        <v>156800</v>
      </c>
      <c r="R1418" s="772" t="s">
        <v>4312</v>
      </c>
      <c r="S1418" s="18">
        <v>45441</v>
      </c>
      <c r="T1418" s="2"/>
      <c r="U1418" s="2">
        <v>3</v>
      </c>
      <c r="V1418" s="2" t="s">
        <v>4625</v>
      </c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 spans="1:38" ht="12.75" customHeight="1">
      <c r="A1419" s="15">
        <v>1419</v>
      </c>
      <c r="B1419" s="736" t="s">
        <v>1555</v>
      </c>
      <c r="C1419" s="16" t="s">
        <v>4313</v>
      </c>
      <c r="D1419" s="15" t="s">
        <v>3087</v>
      </c>
      <c r="E1419" s="2" t="s">
        <v>3811</v>
      </c>
      <c r="F1419" s="2" t="s">
        <v>4314</v>
      </c>
      <c r="G1419" s="17">
        <v>244309</v>
      </c>
      <c r="H1419" s="2" t="s">
        <v>180</v>
      </c>
      <c r="I1419" s="2" t="s">
        <v>4315</v>
      </c>
      <c r="J1419" s="2" t="s">
        <v>4315</v>
      </c>
      <c r="K1419" s="18">
        <v>45432</v>
      </c>
      <c r="L1419" s="18">
        <v>45442</v>
      </c>
      <c r="M1419" s="18">
        <v>45442</v>
      </c>
      <c r="N1419" s="1">
        <v>7</v>
      </c>
      <c r="O1419" s="19">
        <v>0</v>
      </c>
      <c r="P1419" s="18">
        <v>45442</v>
      </c>
      <c r="Q1419" s="19"/>
      <c r="R1419" s="772"/>
      <c r="S1419" s="18"/>
      <c r="T1419" s="2"/>
      <c r="U1419" s="2"/>
      <c r="V1419" s="2" t="s">
        <v>3091</v>
      </c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 spans="1:38" ht="12.75" customHeight="1">
      <c r="A1420" s="15">
        <v>1420</v>
      </c>
      <c r="B1420" s="736" t="s">
        <v>1555</v>
      </c>
      <c r="C1420" s="16" t="s">
        <v>4316</v>
      </c>
      <c r="D1420" s="15" t="s">
        <v>3087</v>
      </c>
      <c r="E1420" s="2" t="s">
        <v>4294</v>
      </c>
      <c r="F1420" s="2" t="s">
        <v>4317</v>
      </c>
      <c r="G1420" s="17">
        <v>8736</v>
      </c>
      <c r="H1420" s="96" t="s">
        <v>830</v>
      </c>
      <c r="I1420" s="2" t="s">
        <v>4318</v>
      </c>
      <c r="J1420" s="2" t="s">
        <v>4318</v>
      </c>
      <c r="K1420" s="18">
        <v>45432</v>
      </c>
      <c r="L1420" s="18">
        <v>45444</v>
      </c>
      <c r="M1420" s="18">
        <v>45473</v>
      </c>
      <c r="N1420" s="1">
        <v>7</v>
      </c>
      <c r="O1420" s="19">
        <v>1500</v>
      </c>
      <c r="P1420" s="18">
        <v>45473</v>
      </c>
      <c r="Q1420" s="19"/>
      <c r="R1420" s="772"/>
      <c r="S1420" s="18"/>
      <c r="T1420" s="2"/>
      <c r="U1420" s="2"/>
      <c r="V1420" s="2" t="s">
        <v>3091</v>
      </c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 spans="1:38" ht="12.75" customHeight="1">
      <c r="A1421" s="15">
        <v>1421</v>
      </c>
      <c r="B1421" s="736" t="s">
        <v>1555</v>
      </c>
      <c r="C1421" s="16" t="s">
        <v>4319</v>
      </c>
      <c r="D1421" s="15" t="s">
        <v>3087</v>
      </c>
      <c r="E1421" s="2" t="s">
        <v>4294</v>
      </c>
      <c r="F1421" s="2" t="s">
        <v>4320</v>
      </c>
      <c r="G1421" s="17">
        <v>10180</v>
      </c>
      <c r="H1421" s="96" t="s">
        <v>830</v>
      </c>
      <c r="I1421" s="2" t="s">
        <v>4321</v>
      </c>
      <c r="J1421" s="2" t="s">
        <v>4321</v>
      </c>
      <c r="K1421" s="18">
        <v>45426</v>
      </c>
      <c r="L1421" s="18">
        <v>45432</v>
      </c>
      <c r="M1421" s="18">
        <v>45460</v>
      </c>
      <c r="N1421" s="1">
        <v>7</v>
      </c>
      <c r="O1421" s="19">
        <v>2500</v>
      </c>
      <c r="P1421" s="18">
        <v>45460</v>
      </c>
      <c r="Q1421" s="19"/>
      <c r="R1421" s="772"/>
      <c r="S1421" s="18"/>
      <c r="T1421" s="2"/>
      <c r="U1421" s="2"/>
      <c r="V1421" s="2" t="s">
        <v>3091</v>
      </c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 spans="1:38" ht="12.75" customHeight="1">
      <c r="A1422" s="15">
        <v>1422</v>
      </c>
      <c r="B1422" s="742" t="s">
        <v>1555</v>
      </c>
      <c r="C1422" s="16" t="s">
        <v>4322</v>
      </c>
      <c r="D1422" s="15" t="s">
        <v>3087</v>
      </c>
      <c r="E1422" s="2" t="s">
        <v>4294</v>
      </c>
      <c r="F1422" s="2" t="s">
        <v>4145</v>
      </c>
      <c r="G1422" s="17">
        <v>10079</v>
      </c>
      <c r="H1422" s="96" t="s">
        <v>830</v>
      </c>
      <c r="I1422" s="2" t="s">
        <v>4323</v>
      </c>
      <c r="J1422" s="2" t="s">
        <v>4323</v>
      </c>
      <c r="K1422" s="18">
        <v>45427</v>
      </c>
      <c r="L1422" s="18">
        <v>45427</v>
      </c>
      <c r="M1422" s="18">
        <v>45535</v>
      </c>
      <c r="N1422" s="1">
        <v>7</v>
      </c>
      <c r="O1422" s="19">
        <v>2500</v>
      </c>
      <c r="P1422" s="18">
        <v>45535</v>
      </c>
      <c r="Q1422" s="19"/>
      <c r="R1422" s="772"/>
      <c r="S1422" s="18"/>
      <c r="T1422" s="2"/>
      <c r="U1422" s="2"/>
      <c r="V1422" s="2" t="s">
        <v>4625</v>
      </c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 spans="1:38" ht="12.75" customHeight="1">
      <c r="A1423" s="15">
        <v>1423</v>
      </c>
      <c r="B1423" s="736" t="s">
        <v>1555</v>
      </c>
      <c r="C1423" s="16" t="s">
        <v>4324</v>
      </c>
      <c r="D1423" s="15" t="s">
        <v>3087</v>
      </c>
      <c r="E1423" s="2" t="s">
        <v>3811</v>
      </c>
      <c r="F1423" s="2" t="s">
        <v>4325</v>
      </c>
      <c r="G1423" s="17">
        <v>75033062</v>
      </c>
      <c r="H1423" s="2" t="s">
        <v>180</v>
      </c>
      <c r="I1423" s="2" t="s">
        <v>4326</v>
      </c>
      <c r="J1423" s="2" t="s">
        <v>4326</v>
      </c>
      <c r="K1423" s="18">
        <v>45429</v>
      </c>
      <c r="L1423" s="18">
        <v>45447</v>
      </c>
      <c r="M1423" s="18">
        <v>45456</v>
      </c>
      <c r="N1423" s="1">
        <v>7</v>
      </c>
      <c r="O1423" s="19">
        <v>0</v>
      </c>
      <c r="P1423" s="18">
        <v>45456</v>
      </c>
      <c r="Q1423" s="19"/>
      <c r="R1423" s="772"/>
      <c r="S1423" s="18"/>
      <c r="T1423" s="2"/>
      <c r="U1423" s="2"/>
      <c r="V1423" s="2" t="s">
        <v>3091</v>
      </c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 spans="1:38" ht="12.75" customHeight="1">
      <c r="A1424" s="15">
        <v>1424</v>
      </c>
      <c r="B1424" s="736" t="s">
        <v>1555</v>
      </c>
      <c r="C1424" s="16" t="s">
        <v>4327</v>
      </c>
      <c r="D1424" s="15" t="s">
        <v>3087</v>
      </c>
      <c r="E1424" s="2" t="s">
        <v>4294</v>
      </c>
      <c r="F1424" s="2" t="s">
        <v>4160</v>
      </c>
      <c r="G1424" s="17">
        <v>10083</v>
      </c>
      <c r="H1424" s="96" t="s">
        <v>830</v>
      </c>
      <c r="I1424" s="2" t="s">
        <v>4328</v>
      </c>
      <c r="J1424" s="2" t="s">
        <v>4328</v>
      </c>
      <c r="K1424" s="18">
        <v>45429</v>
      </c>
      <c r="L1424" s="18">
        <v>45467</v>
      </c>
      <c r="M1424" s="18">
        <v>45471</v>
      </c>
      <c r="N1424" s="1">
        <v>7</v>
      </c>
      <c r="O1424" s="19">
        <v>2500</v>
      </c>
      <c r="P1424" s="18">
        <v>45471</v>
      </c>
      <c r="Q1424" s="19"/>
      <c r="R1424" s="772"/>
      <c r="S1424" s="18"/>
      <c r="T1424" s="2"/>
      <c r="U1424" s="2"/>
      <c r="V1424" s="2" t="s">
        <v>3091</v>
      </c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 spans="1:38" ht="12.75" customHeight="1">
      <c r="A1425" s="15">
        <v>1425</v>
      </c>
      <c r="B1425" s="736" t="s">
        <v>1555</v>
      </c>
      <c r="C1425" s="16" t="s">
        <v>4329</v>
      </c>
      <c r="D1425" s="15" t="s">
        <v>3087</v>
      </c>
      <c r="E1425" s="2" t="s">
        <v>4294</v>
      </c>
      <c r="F1425" s="2" t="s">
        <v>4330</v>
      </c>
      <c r="G1425" s="17">
        <v>10182</v>
      </c>
      <c r="H1425" s="96" t="s">
        <v>830</v>
      </c>
      <c r="I1425" s="2" t="s">
        <v>4331</v>
      </c>
      <c r="J1425" s="2" t="s">
        <v>4331</v>
      </c>
      <c r="K1425" s="18">
        <v>45429</v>
      </c>
      <c r="L1425" s="18">
        <v>45429</v>
      </c>
      <c r="M1425" s="18">
        <v>45657</v>
      </c>
      <c r="N1425" s="1">
        <v>7</v>
      </c>
      <c r="O1425" s="19">
        <v>3500</v>
      </c>
      <c r="P1425" s="18">
        <v>45657</v>
      </c>
      <c r="Q1425" s="19"/>
      <c r="R1425" s="772"/>
      <c r="S1425" s="18"/>
      <c r="T1425" s="2"/>
      <c r="U1425" s="2"/>
      <c r="V1425" s="2" t="s">
        <v>4625</v>
      </c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 spans="1:38" ht="12.75" customHeight="1">
      <c r="A1426" s="15">
        <v>1426</v>
      </c>
      <c r="B1426" s="742" t="s">
        <v>1555</v>
      </c>
      <c r="C1426" s="16" t="s">
        <v>4332</v>
      </c>
      <c r="D1426" s="15" t="s">
        <v>3087</v>
      </c>
      <c r="E1426" s="2" t="s">
        <v>4294</v>
      </c>
      <c r="F1426" s="2" t="s">
        <v>4154</v>
      </c>
      <c r="G1426" s="17">
        <v>10082</v>
      </c>
      <c r="H1426" s="96" t="s">
        <v>830</v>
      </c>
      <c r="I1426" s="2" t="s">
        <v>4333</v>
      </c>
      <c r="J1426" s="2" t="s">
        <v>4333</v>
      </c>
      <c r="K1426" s="18">
        <v>45794</v>
      </c>
      <c r="L1426" s="18">
        <v>45544</v>
      </c>
      <c r="M1426" s="18">
        <v>45548</v>
      </c>
      <c r="N1426" s="1">
        <v>7</v>
      </c>
      <c r="O1426" s="19">
        <v>2500</v>
      </c>
      <c r="P1426" s="18">
        <v>45548</v>
      </c>
      <c r="Q1426" s="19"/>
      <c r="R1426" s="772"/>
      <c r="S1426" s="18"/>
      <c r="T1426" s="2"/>
      <c r="U1426" s="2"/>
      <c r="V1426" s="2" t="s">
        <v>4625</v>
      </c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 spans="1:38" ht="12.75" customHeight="1">
      <c r="A1427" s="15">
        <v>1427</v>
      </c>
      <c r="B1427" s="742" t="s">
        <v>1555</v>
      </c>
      <c r="C1427" s="16" t="s">
        <v>4334</v>
      </c>
      <c r="D1427" s="15" t="s">
        <v>3087</v>
      </c>
      <c r="E1427" s="2" t="s">
        <v>4294</v>
      </c>
      <c r="F1427" s="2" t="s">
        <v>4335</v>
      </c>
      <c r="G1427" s="17">
        <v>10183</v>
      </c>
      <c r="H1427" s="96" t="s">
        <v>830</v>
      </c>
      <c r="I1427" s="2" t="s">
        <v>4336</v>
      </c>
      <c r="J1427" s="2" t="s">
        <v>4336</v>
      </c>
      <c r="K1427" s="18">
        <v>45427</v>
      </c>
      <c r="L1427" s="18">
        <v>45505</v>
      </c>
      <c r="M1427" s="18">
        <v>45565</v>
      </c>
      <c r="N1427" s="1">
        <v>7</v>
      </c>
      <c r="O1427" s="19">
        <v>7500</v>
      </c>
      <c r="P1427" s="18">
        <v>45565</v>
      </c>
      <c r="Q1427" s="19"/>
      <c r="R1427" s="772"/>
      <c r="S1427" s="18"/>
      <c r="T1427" s="2"/>
      <c r="U1427" s="2"/>
      <c r="V1427" s="2" t="s">
        <v>4625</v>
      </c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 spans="1:38" ht="12.75" customHeight="1">
      <c r="A1428" s="15">
        <v>1428</v>
      </c>
      <c r="B1428" s="736" t="s">
        <v>3086</v>
      </c>
      <c r="C1428" s="16" t="s">
        <v>4337</v>
      </c>
      <c r="D1428" s="2" t="s">
        <v>3116</v>
      </c>
      <c r="E1428" s="2" t="s">
        <v>3117</v>
      </c>
      <c r="F1428" s="2" t="s">
        <v>4338</v>
      </c>
      <c r="G1428" s="17">
        <v>25112775</v>
      </c>
      <c r="H1428" s="2" t="s">
        <v>3982</v>
      </c>
      <c r="I1428" s="2" t="s">
        <v>4339</v>
      </c>
      <c r="J1428" s="2" t="s">
        <v>4340</v>
      </c>
      <c r="K1428" s="18">
        <v>45460</v>
      </c>
      <c r="L1428" s="18">
        <v>45460</v>
      </c>
      <c r="M1428" s="18">
        <v>45688</v>
      </c>
      <c r="N1428" s="1">
        <v>1</v>
      </c>
      <c r="O1428" s="19">
        <v>543169</v>
      </c>
      <c r="P1428" s="18">
        <v>45688</v>
      </c>
      <c r="Q1428" s="19">
        <v>543169</v>
      </c>
      <c r="R1428" s="772" t="s">
        <v>4341</v>
      </c>
      <c r="S1428" s="18">
        <v>45460</v>
      </c>
      <c r="T1428" s="2"/>
      <c r="U1428" s="3">
        <v>3</v>
      </c>
      <c r="V1428" s="2" t="s">
        <v>4625</v>
      </c>
      <c r="W1428" s="2" t="s">
        <v>4625</v>
      </c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 spans="1:38" ht="12.75" customHeight="1">
      <c r="A1429" s="15">
        <v>1429</v>
      </c>
      <c r="B1429" s="736" t="s">
        <v>3086</v>
      </c>
      <c r="C1429" s="16" t="s">
        <v>5239</v>
      </c>
      <c r="D1429" s="2" t="s">
        <v>3116</v>
      </c>
      <c r="E1429" s="2" t="s">
        <v>3117</v>
      </c>
      <c r="F1429" s="2" t="s">
        <v>4338</v>
      </c>
      <c r="G1429" s="17">
        <v>25112775</v>
      </c>
      <c r="H1429" s="2" t="s">
        <v>1905</v>
      </c>
      <c r="I1429" s="2" t="s">
        <v>5240</v>
      </c>
      <c r="J1429" s="2" t="s">
        <v>5240</v>
      </c>
      <c r="K1429" s="18">
        <v>45660</v>
      </c>
      <c r="L1429" s="18">
        <v>45664</v>
      </c>
      <c r="M1429" s="18">
        <v>45688</v>
      </c>
      <c r="N1429" s="1">
        <v>7</v>
      </c>
      <c r="O1429" s="19">
        <v>50000</v>
      </c>
      <c r="P1429" s="18">
        <v>45688</v>
      </c>
      <c r="Q1429" s="19">
        <v>50000</v>
      </c>
      <c r="R1429" s="772" t="s">
        <v>5241</v>
      </c>
      <c r="S1429" s="18">
        <v>45664</v>
      </c>
      <c r="T1429" s="2"/>
      <c r="U1429" s="3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 spans="1:38" ht="12.75" customHeight="1">
      <c r="A1430" s="15">
        <v>1430</v>
      </c>
      <c r="B1430" s="736" t="s">
        <v>3086</v>
      </c>
      <c r="C1430" s="16" t="s">
        <v>4353</v>
      </c>
      <c r="D1430" s="2" t="s">
        <v>3110</v>
      </c>
      <c r="E1430" s="2" t="s">
        <v>3228</v>
      </c>
      <c r="F1430" s="2" t="s">
        <v>3266</v>
      </c>
      <c r="G1430" s="17">
        <v>49356089</v>
      </c>
      <c r="H1430" s="2" t="s">
        <v>245</v>
      </c>
      <c r="I1430" s="2" t="s">
        <v>4342</v>
      </c>
      <c r="J1430" s="2" t="s">
        <v>4354</v>
      </c>
      <c r="K1430" s="18">
        <v>45439</v>
      </c>
      <c r="L1430" s="18">
        <v>45444</v>
      </c>
      <c r="M1430" s="18">
        <v>46173</v>
      </c>
      <c r="N1430" s="1">
        <v>1</v>
      </c>
      <c r="O1430" s="19">
        <v>72960</v>
      </c>
      <c r="P1430" s="18">
        <v>46173</v>
      </c>
      <c r="Q1430" s="19">
        <v>0</v>
      </c>
      <c r="R1430" s="772" t="s">
        <v>4343</v>
      </c>
      <c r="S1430" s="18">
        <v>45440</v>
      </c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 spans="1:38" ht="12.75" customHeight="1">
      <c r="A1431" s="15">
        <v>1431</v>
      </c>
      <c r="B1431" s="736" t="s">
        <v>1555</v>
      </c>
      <c r="C1431" s="16" t="s">
        <v>4355</v>
      </c>
      <c r="D1431" s="2" t="s">
        <v>4667</v>
      </c>
      <c r="E1431" s="2" t="s">
        <v>3197</v>
      </c>
      <c r="F1431" s="2" t="s">
        <v>4344</v>
      </c>
      <c r="G1431" s="17">
        <v>27399478</v>
      </c>
      <c r="H1431" s="2" t="s">
        <v>546</v>
      </c>
      <c r="I1431" s="2" t="s">
        <v>4668</v>
      </c>
      <c r="J1431" s="2" t="s">
        <v>4345</v>
      </c>
      <c r="K1431" s="18">
        <v>45454</v>
      </c>
      <c r="L1431" s="18">
        <v>45454</v>
      </c>
      <c r="M1431" s="18">
        <v>45530</v>
      </c>
      <c r="N1431" s="1">
        <v>7</v>
      </c>
      <c r="O1431" s="19">
        <v>1626240</v>
      </c>
      <c r="P1431" s="18">
        <v>45530</v>
      </c>
      <c r="Q1431" s="19">
        <v>1626240</v>
      </c>
      <c r="R1431" s="772" t="s">
        <v>4346</v>
      </c>
      <c r="S1431" s="18">
        <v>45454</v>
      </c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 spans="1:38" ht="12.75" customHeight="1">
      <c r="A1432" s="15">
        <v>1432</v>
      </c>
      <c r="B1432" s="736" t="s">
        <v>1555</v>
      </c>
      <c r="C1432" s="16" t="s">
        <v>4356</v>
      </c>
      <c r="D1432" s="2" t="s">
        <v>3110</v>
      </c>
      <c r="E1432" s="2" t="s">
        <v>3117</v>
      </c>
      <c r="F1432" s="2" t="s">
        <v>4347</v>
      </c>
      <c r="G1432" s="17">
        <v>28895452</v>
      </c>
      <c r="H1432" s="2" t="s">
        <v>3982</v>
      </c>
      <c r="I1432" s="2" t="s">
        <v>4348</v>
      </c>
      <c r="J1432" s="2" t="s">
        <v>4349</v>
      </c>
      <c r="K1432" s="18">
        <v>45449</v>
      </c>
      <c r="L1432" s="18">
        <v>45449</v>
      </c>
      <c r="M1432" s="18">
        <v>45533</v>
      </c>
      <c r="N1432" s="1">
        <v>6</v>
      </c>
      <c r="O1432" s="19">
        <v>290400</v>
      </c>
      <c r="P1432" s="18">
        <v>45533</v>
      </c>
      <c r="Q1432" s="19">
        <v>290400</v>
      </c>
      <c r="R1432" s="772" t="s">
        <v>4350</v>
      </c>
      <c r="S1432" s="18">
        <v>45449</v>
      </c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 spans="1:38" ht="12.75" customHeight="1">
      <c r="A1433" s="15">
        <v>1433</v>
      </c>
      <c r="B1433" s="736" t="s">
        <v>3086</v>
      </c>
      <c r="C1433" s="16" t="s">
        <v>4357</v>
      </c>
      <c r="D1433" s="2" t="s">
        <v>3116</v>
      </c>
      <c r="E1433" s="2" t="s">
        <v>3891</v>
      </c>
      <c r="F1433" s="2" t="s">
        <v>4351</v>
      </c>
      <c r="G1433" s="17">
        <v>7064</v>
      </c>
      <c r="H1433" s="2" t="s">
        <v>186</v>
      </c>
      <c r="I1433" s="2" t="s">
        <v>4358</v>
      </c>
      <c r="J1433" s="2" t="s">
        <v>4352</v>
      </c>
      <c r="K1433" s="18">
        <v>45442</v>
      </c>
      <c r="L1433" s="18">
        <v>45442</v>
      </c>
      <c r="M1433" s="18">
        <v>46137</v>
      </c>
      <c r="N1433" s="1"/>
      <c r="O1433" s="19"/>
      <c r="P1433" s="18">
        <v>46137</v>
      </c>
      <c r="Q1433" s="19"/>
      <c r="R1433" s="772"/>
      <c r="S1433" s="18"/>
      <c r="T1433" s="2"/>
      <c r="U1433" s="3">
        <v>3</v>
      </c>
      <c r="V1433" s="2" t="s">
        <v>4625</v>
      </c>
      <c r="W1433" s="2" t="s">
        <v>4625</v>
      </c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 spans="1:38" ht="12.75" customHeight="1">
      <c r="A1434" s="15">
        <v>1434</v>
      </c>
      <c r="B1434" s="736" t="s">
        <v>1555</v>
      </c>
      <c r="C1434" s="16" t="s">
        <v>4359</v>
      </c>
      <c r="D1434" s="2" t="s">
        <v>3110</v>
      </c>
      <c r="E1434" s="2" t="s">
        <v>3197</v>
      </c>
      <c r="F1434" s="2" t="s">
        <v>3549</v>
      </c>
      <c r="G1434" s="17">
        <v>25710427</v>
      </c>
      <c r="H1434" s="2" t="s">
        <v>546</v>
      </c>
      <c r="I1434" s="2" t="s">
        <v>4360</v>
      </c>
      <c r="J1434" s="2" t="s">
        <v>4361</v>
      </c>
      <c r="K1434" s="18">
        <v>45442</v>
      </c>
      <c r="L1434" s="18">
        <v>45442</v>
      </c>
      <c r="M1434" s="18">
        <v>45443</v>
      </c>
      <c r="N1434" s="1">
        <v>7</v>
      </c>
      <c r="O1434" s="19">
        <v>4894450</v>
      </c>
      <c r="P1434" s="18">
        <v>45443</v>
      </c>
      <c r="Q1434" s="19">
        <v>4894450</v>
      </c>
      <c r="R1434" s="772" t="s">
        <v>4362</v>
      </c>
      <c r="S1434" s="18">
        <v>45442</v>
      </c>
      <c r="T1434" s="2"/>
      <c r="U1434" s="2"/>
      <c r="V1434" s="2" t="s">
        <v>4625</v>
      </c>
      <c r="W1434" s="2" t="s">
        <v>4625</v>
      </c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 spans="1:38" ht="12.75" customHeight="1">
      <c r="A1435" s="15">
        <v>1435</v>
      </c>
      <c r="B1435" s="736" t="s">
        <v>1555</v>
      </c>
      <c r="C1435" s="16" t="s">
        <v>4363</v>
      </c>
      <c r="D1435" s="2" t="s">
        <v>3110</v>
      </c>
      <c r="E1435" s="2" t="s">
        <v>3369</v>
      </c>
      <c r="F1435" s="2" t="s">
        <v>3628</v>
      </c>
      <c r="G1435" s="17">
        <v>24154041</v>
      </c>
      <c r="H1435" s="2" t="s">
        <v>482</v>
      </c>
      <c r="I1435" s="2" t="s">
        <v>4364</v>
      </c>
      <c r="J1435" s="2" t="s">
        <v>4365</v>
      </c>
      <c r="K1435" s="18">
        <v>45448</v>
      </c>
      <c r="L1435" s="18">
        <v>45449</v>
      </c>
      <c r="M1435" s="18">
        <v>45468</v>
      </c>
      <c r="N1435" s="1">
        <v>7</v>
      </c>
      <c r="O1435" s="19">
        <v>266200</v>
      </c>
      <c r="P1435" s="18">
        <v>45468</v>
      </c>
      <c r="Q1435" s="19">
        <v>266200</v>
      </c>
      <c r="R1435" s="772" t="s">
        <v>4366</v>
      </c>
      <c r="S1435" s="18">
        <v>45449</v>
      </c>
      <c r="T1435" s="2" t="s">
        <v>4367</v>
      </c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 spans="1:38" ht="12.75" customHeight="1">
      <c r="A1436" s="15">
        <v>1436</v>
      </c>
      <c r="B1436" s="736" t="s">
        <v>3086</v>
      </c>
      <c r="C1436" s="16" t="s">
        <v>4368</v>
      </c>
      <c r="D1436" s="2" t="s">
        <v>3094</v>
      </c>
      <c r="E1436" s="2" t="s">
        <v>3095</v>
      </c>
      <c r="F1436" s="81" t="s">
        <v>4369</v>
      </c>
      <c r="G1436" s="17">
        <v>75145774</v>
      </c>
      <c r="H1436" s="2" t="s">
        <v>3982</v>
      </c>
      <c r="I1436" s="2" t="s">
        <v>4370</v>
      </c>
      <c r="J1436" s="2" t="s">
        <v>4371</v>
      </c>
      <c r="K1436" s="18">
        <v>45448</v>
      </c>
      <c r="L1436" s="18">
        <v>45449</v>
      </c>
      <c r="M1436" s="18">
        <v>46909</v>
      </c>
      <c r="N1436" s="1">
        <v>6</v>
      </c>
      <c r="O1436" s="19">
        <v>800</v>
      </c>
      <c r="P1436" s="18">
        <v>46909</v>
      </c>
      <c r="Q1436" s="19">
        <v>0</v>
      </c>
      <c r="R1436" s="772" t="s">
        <v>4372</v>
      </c>
      <c r="S1436" s="18">
        <v>45449</v>
      </c>
      <c r="T1436" s="2"/>
      <c r="U1436" s="105">
        <v>3</v>
      </c>
      <c r="V1436" s="2"/>
      <c r="W1436" s="2" t="s">
        <v>4625</v>
      </c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 spans="1:38" ht="12.75" customHeight="1">
      <c r="A1437" s="15">
        <v>1437</v>
      </c>
      <c r="B1437" s="736" t="s">
        <v>3086</v>
      </c>
      <c r="C1437" s="16" t="s">
        <v>4373</v>
      </c>
      <c r="D1437" s="2" t="s">
        <v>3087</v>
      </c>
      <c r="E1437" s="2" t="s">
        <v>3669</v>
      </c>
      <c r="F1437" s="2" t="s">
        <v>4374</v>
      </c>
      <c r="G1437" s="17">
        <v>70208611</v>
      </c>
      <c r="H1437" s="2" t="s">
        <v>482</v>
      </c>
      <c r="I1437" s="2" t="s">
        <v>4375</v>
      </c>
      <c r="J1437" s="2" t="s">
        <v>4376</v>
      </c>
      <c r="K1437" s="18">
        <v>45446</v>
      </c>
      <c r="L1437" s="18">
        <v>45446</v>
      </c>
      <c r="M1437" s="18" t="s">
        <v>3414</v>
      </c>
      <c r="N1437" s="1">
        <v>7</v>
      </c>
      <c r="O1437" s="19">
        <v>48900</v>
      </c>
      <c r="P1437" s="18" t="s">
        <v>3414</v>
      </c>
      <c r="Q1437" s="19"/>
      <c r="R1437" s="772"/>
      <c r="S1437" s="18"/>
      <c r="T1437" s="2"/>
      <c r="U1437" s="2"/>
      <c r="V1437" s="2" t="s">
        <v>4625</v>
      </c>
      <c r="W1437" s="2"/>
      <c r="X1437" s="2"/>
      <c r="Y1437" s="2"/>
      <c r="Z1437" s="2" t="s">
        <v>4737</v>
      </c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 spans="1:38" ht="12.75" customHeight="1">
      <c r="A1438" s="15">
        <v>1438</v>
      </c>
      <c r="B1438" s="736" t="s">
        <v>1555</v>
      </c>
      <c r="C1438" s="16" t="s">
        <v>4377</v>
      </c>
      <c r="D1438" s="2" t="s">
        <v>3087</v>
      </c>
      <c r="E1438" s="2" t="s">
        <v>3811</v>
      </c>
      <c r="F1438" s="2" t="s">
        <v>3868</v>
      </c>
      <c r="G1438" s="17">
        <v>66729</v>
      </c>
      <c r="H1438" s="2" t="s">
        <v>180</v>
      </c>
      <c r="I1438" s="2" t="s">
        <v>4378</v>
      </c>
      <c r="J1438" s="2" t="s">
        <v>4379</v>
      </c>
      <c r="K1438" s="18">
        <v>45439</v>
      </c>
      <c r="L1438" s="18">
        <v>45460</v>
      </c>
      <c r="M1438" s="18">
        <v>45460</v>
      </c>
      <c r="N1438" s="1">
        <v>7</v>
      </c>
      <c r="O1438" s="19">
        <v>0</v>
      </c>
      <c r="P1438" s="18">
        <v>45460</v>
      </c>
      <c r="Q1438" s="19"/>
      <c r="R1438" s="772"/>
      <c r="S1438" s="18"/>
      <c r="T1438" s="2"/>
      <c r="U1438" s="2"/>
      <c r="V1438" s="2" t="s">
        <v>3091</v>
      </c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 spans="1:38" ht="12.75" customHeight="1">
      <c r="A1439" s="15">
        <v>1439</v>
      </c>
      <c r="B1439" s="742" t="s">
        <v>1555</v>
      </c>
      <c r="C1439" s="16" t="s">
        <v>4380</v>
      </c>
      <c r="D1439" s="2" t="s">
        <v>3087</v>
      </c>
      <c r="E1439" s="2" t="s">
        <v>3811</v>
      </c>
      <c r="F1439" s="2" t="s">
        <v>3859</v>
      </c>
      <c r="G1439" s="17">
        <v>231401</v>
      </c>
      <c r="H1439" s="2" t="s">
        <v>180</v>
      </c>
      <c r="I1439" s="2" t="s">
        <v>4381</v>
      </c>
      <c r="J1439" s="2" t="s">
        <v>4382</v>
      </c>
      <c r="K1439" s="18">
        <v>45434</v>
      </c>
      <c r="L1439" s="18">
        <v>45535</v>
      </c>
      <c r="M1439" s="18">
        <v>45535</v>
      </c>
      <c r="N1439" s="1">
        <v>7</v>
      </c>
      <c r="O1439" s="19">
        <v>0</v>
      </c>
      <c r="P1439" s="18">
        <v>45535</v>
      </c>
      <c r="Q1439" s="19"/>
      <c r="R1439" s="772"/>
      <c r="S1439" s="18"/>
      <c r="T1439" s="2"/>
      <c r="U1439" s="2"/>
      <c r="V1439" s="2" t="s">
        <v>4625</v>
      </c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 spans="1:38" ht="12.75" customHeight="1">
      <c r="A1440" s="15">
        <v>1440</v>
      </c>
      <c r="B1440" s="736" t="s">
        <v>1555</v>
      </c>
      <c r="C1440" s="16" t="s">
        <v>4383</v>
      </c>
      <c r="D1440" s="2" t="s">
        <v>3087</v>
      </c>
      <c r="E1440" s="2" t="s">
        <v>3811</v>
      </c>
      <c r="F1440" s="2" t="s">
        <v>3859</v>
      </c>
      <c r="G1440" s="17">
        <v>231402</v>
      </c>
      <c r="H1440" s="2" t="s">
        <v>180</v>
      </c>
      <c r="I1440" s="2" t="s">
        <v>4384</v>
      </c>
      <c r="J1440" s="2" t="s">
        <v>4385</v>
      </c>
      <c r="K1440" s="18">
        <v>45434</v>
      </c>
      <c r="L1440" s="18">
        <v>45444</v>
      </c>
      <c r="M1440" s="18">
        <v>45444</v>
      </c>
      <c r="N1440" s="1">
        <v>7</v>
      </c>
      <c r="O1440" s="19">
        <v>0</v>
      </c>
      <c r="P1440" s="18">
        <v>45444</v>
      </c>
      <c r="Q1440" s="19"/>
      <c r="R1440" s="772"/>
      <c r="S1440" s="18"/>
      <c r="T1440" s="2"/>
      <c r="U1440" s="2"/>
      <c r="V1440" s="2" t="s">
        <v>3091</v>
      </c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 spans="1:38" ht="12.75" customHeight="1">
      <c r="A1441" s="15">
        <v>1441</v>
      </c>
      <c r="B1441" s="736" t="s">
        <v>1555</v>
      </c>
      <c r="C1441" s="16" t="s">
        <v>4386</v>
      </c>
      <c r="D1441" s="2" t="s">
        <v>3087</v>
      </c>
      <c r="E1441" s="2" t="s">
        <v>3811</v>
      </c>
      <c r="F1441" s="2" t="s">
        <v>4387</v>
      </c>
      <c r="G1441" s="17">
        <v>16554582</v>
      </c>
      <c r="H1441" s="2" t="s">
        <v>180</v>
      </c>
      <c r="I1441" s="2" t="s">
        <v>4388</v>
      </c>
      <c r="J1441" s="2" t="s">
        <v>4389</v>
      </c>
      <c r="K1441" s="18">
        <v>45443</v>
      </c>
      <c r="L1441" s="18">
        <v>45444</v>
      </c>
      <c r="M1441" s="18">
        <v>45444</v>
      </c>
      <c r="N1441" s="1">
        <v>7</v>
      </c>
      <c r="O1441" s="19">
        <v>0</v>
      </c>
      <c r="P1441" s="18">
        <v>45444</v>
      </c>
      <c r="Q1441" s="19"/>
      <c r="R1441" s="772"/>
      <c r="S1441" s="18"/>
      <c r="T1441" s="2"/>
      <c r="U1441" s="2"/>
      <c r="V1441" s="2" t="s">
        <v>3091</v>
      </c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 spans="1:38" ht="12.75" customHeight="1">
      <c r="A1442" s="15">
        <v>1442</v>
      </c>
      <c r="B1442" s="742" t="s">
        <v>1555</v>
      </c>
      <c r="C1442" s="16" t="s">
        <v>4390</v>
      </c>
      <c r="D1442" s="2" t="s">
        <v>3087</v>
      </c>
      <c r="E1442" s="2" t="s">
        <v>3811</v>
      </c>
      <c r="F1442" s="2" t="s">
        <v>4391</v>
      </c>
      <c r="G1442" s="17">
        <v>64733378</v>
      </c>
      <c r="H1442" s="2" t="s">
        <v>180</v>
      </c>
      <c r="I1442" s="2" t="s">
        <v>4392</v>
      </c>
      <c r="J1442" s="2" t="s">
        <v>4393</v>
      </c>
      <c r="K1442" s="18">
        <v>45435</v>
      </c>
      <c r="L1442" s="18">
        <v>45514</v>
      </c>
      <c r="M1442" s="18">
        <v>45514</v>
      </c>
      <c r="N1442" s="1">
        <v>7</v>
      </c>
      <c r="O1442" s="19">
        <v>0</v>
      </c>
      <c r="P1442" s="18">
        <v>45514</v>
      </c>
      <c r="Q1442" s="19"/>
      <c r="R1442" s="772"/>
      <c r="S1442" s="18"/>
      <c r="T1442" s="2"/>
      <c r="U1442" s="2"/>
      <c r="V1442" s="2" t="s">
        <v>4625</v>
      </c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 spans="1:38" ht="12.75" customHeight="1">
      <c r="A1443" s="15">
        <v>1443</v>
      </c>
      <c r="B1443" s="736" t="s">
        <v>1555</v>
      </c>
      <c r="C1443" s="16" t="s">
        <v>4394</v>
      </c>
      <c r="D1443" s="2" t="s">
        <v>3087</v>
      </c>
      <c r="E1443" s="2" t="s">
        <v>3811</v>
      </c>
      <c r="F1443" s="2" t="s">
        <v>4395</v>
      </c>
      <c r="G1443" s="17">
        <v>69764069</v>
      </c>
      <c r="H1443" s="2" t="s">
        <v>180</v>
      </c>
      <c r="I1443" s="2" t="s">
        <v>4396</v>
      </c>
      <c r="J1443" s="2" t="s">
        <v>4397</v>
      </c>
      <c r="K1443" s="18">
        <v>45443</v>
      </c>
      <c r="L1443" s="18">
        <v>45458</v>
      </c>
      <c r="M1443" s="18">
        <v>45458</v>
      </c>
      <c r="N1443" s="1">
        <v>7</v>
      </c>
      <c r="O1443" s="19">
        <v>0</v>
      </c>
      <c r="P1443" s="18">
        <v>45458</v>
      </c>
      <c r="Q1443" s="19"/>
      <c r="R1443" s="772"/>
      <c r="S1443" s="18"/>
      <c r="T1443" s="2"/>
      <c r="U1443" s="2"/>
      <c r="V1443" s="2" t="s">
        <v>3091</v>
      </c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 spans="1:38" ht="12.75" customHeight="1">
      <c r="A1444" s="15">
        <v>1444</v>
      </c>
      <c r="B1444" s="736" t="s">
        <v>1555</v>
      </c>
      <c r="C1444" s="16" t="s">
        <v>4398</v>
      </c>
      <c r="D1444" s="2" t="s">
        <v>3087</v>
      </c>
      <c r="E1444" s="2" t="s">
        <v>3811</v>
      </c>
      <c r="F1444" s="2" t="s">
        <v>3741</v>
      </c>
      <c r="G1444" s="17">
        <v>2167590</v>
      </c>
      <c r="H1444" s="2" t="s">
        <v>180</v>
      </c>
      <c r="I1444" s="2" t="s">
        <v>4399</v>
      </c>
      <c r="J1444" s="2" t="s">
        <v>4400</v>
      </c>
      <c r="K1444" s="18">
        <v>45440</v>
      </c>
      <c r="L1444" s="18">
        <v>45444</v>
      </c>
      <c r="M1444" s="18">
        <v>45444</v>
      </c>
      <c r="N1444" s="1">
        <v>7</v>
      </c>
      <c r="O1444" s="19">
        <v>0</v>
      </c>
      <c r="P1444" s="18">
        <v>45444</v>
      </c>
      <c r="Q1444" s="19"/>
      <c r="R1444" s="772"/>
      <c r="S1444" s="18"/>
      <c r="T1444" s="2"/>
      <c r="U1444" s="2"/>
      <c r="V1444" s="2" t="s">
        <v>3091</v>
      </c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 spans="1:38" ht="12.75" customHeight="1">
      <c r="A1445" s="15">
        <v>1445</v>
      </c>
      <c r="B1445" s="736" t="s">
        <v>1555</v>
      </c>
      <c r="C1445" s="16" t="s">
        <v>4401</v>
      </c>
      <c r="D1445" s="2" t="s">
        <v>3087</v>
      </c>
      <c r="E1445" s="2" t="s">
        <v>3811</v>
      </c>
      <c r="F1445" s="2" t="s">
        <v>4391</v>
      </c>
      <c r="G1445" s="17">
        <v>61884642</v>
      </c>
      <c r="H1445" s="2" t="s">
        <v>180</v>
      </c>
      <c r="I1445" s="2" t="s">
        <v>4402</v>
      </c>
      <c r="J1445" s="2" t="s">
        <v>4403</v>
      </c>
      <c r="K1445" s="18">
        <v>45446</v>
      </c>
      <c r="L1445" s="18">
        <v>45451</v>
      </c>
      <c r="M1445" s="18">
        <v>45451</v>
      </c>
      <c r="N1445" s="1">
        <v>7</v>
      </c>
      <c r="O1445" s="19">
        <v>0</v>
      </c>
      <c r="P1445" s="18">
        <v>45451</v>
      </c>
      <c r="Q1445" s="19"/>
      <c r="R1445" s="772"/>
      <c r="S1445" s="18"/>
      <c r="T1445" s="2"/>
      <c r="U1445" s="2"/>
      <c r="V1445" s="2" t="s">
        <v>3091</v>
      </c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 spans="1:38" ht="12.75" customHeight="1">
      <c r="A1446" s="15">
        <v>1446</v>
      </c>
      <c r="B1446" s="736" t="s">
        <v>1555</v>
      </c>
      <c r="C1446" s="16" t="s">
        <v>4404</v>
      </c>
      <c r="D1446" s="2" t="s">
        <v>3087</v>
      </c>
      <c r="E1446" s="2" t="s">
        <v>3811</v>
      </c>
      <c r="F1446" s="2" t="s">
        <v>4405</v>
      </c>
      <c r="G1446" s="17">
        <v>243132</v>
      </c>
      <c r="H1446" s="2" t="s">
        <v>180</v>
      </c>
      <c r="I1446" s="2" t="s">
        <v>4406</v>
      </c>
      <c r="J1446" s="2" t="s">
        <v>4407</v>
      </c>
      <c r="K1446" s="18">
        <v>45447</v>
      </c>
      <c r="L1446" s="18">
        <v>45450</v>
      </c>
      <c r="M1446" s="18">
        <v>45450</v>
      </c>
      <c r="N1446" s="1">
        <v>7</v>
      </c>
      <c r="O1446" s="19">
        <v>0</v>
      </c>
      <c r="P1446" s="18">
        <v>45450</v>
      </c>
      <c r="Q1446" s="19"/>
      <c r="R1446" s="772"/>
      <c r="S1446" s="18"/>
      <c r="T1446" s="2"/>
      <c r="U1446" s="2"/>
      <c r="V1446" s="2" t="s">
        <v>3091</v>
      </c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 spans="1:38" ht="12.75" customHeight="1">
      <c r="A1447" s="15">
        <v>1447</v>
      </c>
      <c r="B1447" s="736" t="s">
        <v>1555</v>
      </c>
      <c r="C1447" s="16" t="s">
        <v>4408</v>
      </c>
      <c r="D1447" s="2" t="s">
        <v>3087</v>
      </c>
      <c r="E1447" s="2" t="s">
        <v>3811</v>
      </c>
      <c r="F1447" s="2" t="s">
        <v>3836</v>
      </c>
      <c r="G1447" s="17">
        <v>235440</v>
      </c>
      <c r="H1447" s="2" t="s">
        <v>180</v>
      </c>
      <c r="I1447" s="2" t="s">
        <v>4409</v>
      </c>
      <c r="J1447" s="2" t="s">
        <v>4410</v>
      </c>
      <c r="K1447" s="18">
        <v>45447</v>
      </c>
      <c r="L1447" s="18">
        <v>45451</v>
      </c>
      <c r="M1447" s="18">
        <v>45451</v>
      </c>
      <c r="N1447" s="1">
        <v>7</v>
      </c>
      <c r="O1447" s="19">
        <v>0</v>
      </c>
      <c r="P1447" s="18">
        <v>45451</v>
      </c>
      <c r="Q1447" s="19"/>
      <c r="R1447" s="772"/>
      <c r="S1447" s="18"/>
      <c r="T1447" s="2"/>
      <c r="U1447" s="2"/>
      <c r="V1447" s="2" t="s">
        <v>3091</v>
      </c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 spans="1:38" ht="12.75" customHeight="1">
      <c r="A1448" s="15">
        <v>1448</v>
      </c>
      <c r="B1448" s="736" t="s">
        <v>1555</v>
      </c>
      <c r="C1448" s="16" t="s">
        <v>4411</v>
      </c>
      <c r="D1448" s="2" t="s">
        <v>3087</v>
      </c>
      <c r="E1448" s="2" t="s">
        <v>3811</v>
      </c>
      <c r="F1448" s="2" t="s">
        <v>4412</v>
      </c>
      <c r="G1448" s="17">
        <v>70886342</v>
      </c>
      <c r="H1448" s="2" t="s">
        <v>180</v>
      </c>
      <c r="I1448" s="2" t="s">
        <v>4413</v>
      </c>
      <c r="J1448" s="2" t="s">
        <v>4414</v>
      </c>
      <c r="K1448" s="18">
        <v>45448</v>
      </c>
      <c r="L1448" s="18">
        <v>45458</v>
      </c>
      <c r="M1448" s="18">
        <v>45458</v>
      </c>
      <c r="N1448" s="1">
        <v>7</v>
      </c>
      <c r="O1448" s="19">
        <v>0</v>
      </c>
      <c r="P1448" s="18">
        <v>45458</v>
      </c>
      <c r="Q1448" s="19"/>
      <c r="R1448" s="772"/>
      <c r="S1448" s="18"/>
      <c r="T1448" s="2"/>
      <c r="U1448" s="2"/>
      <c r="V1448" s="2" t="s">
        <v>3091</v>
      </c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 spans="1:38" ht="12.75" customHeight="1">
      <c r="A1449" s="15">
        <v>1449</v>
      </c>
      <c r="B1449" s="736" t="s">
        <v>1555</v>
      </c>
      <c r="C1449" s="16" t="s">
        <v>4415</v>
      </c>
      <c r="D1449" s="2" t="s">
        <v>3087</v>
      </c>
      <c r="E1449" s="2" t="s">
        <v>3811</v>
      </c>
      <c r="F1449" s="2" t="s">
        <v>3792</v>
      </c>
      <c r="G1449" s="17">
        <v>243272</v>
      </c>
      <c r="H1449" s="2" t="s">
        <v>180</v>
      </c>
      <c r="I1449" s="2" t="s">
        <v>4416</v>
      </c>
      <c r="J1449" s="2" t="s">
        <v>4417</v>
      </c>
      <c r="K1449" s="18">
        <v>45440</v>
      </c>
      <c r="L1449" s="18">
        <v>45464</v>
      </c>
      <c r="M1449" s="18">
        <v>45464</v>
      </c>
      <c r="N1449" s="1">
        <v>7</v>
      </c>
      <c r="O1449" s="19">
        <v>3000</v>
      </c>
      <c r="P1449" s="18">
        <v>45464</v>
      </c>
      <c r="Q1449" s="19"/>
      <c r="R1449" s="772"/>
      <c r="S1449" s="18"/>
      <c r="T1449" s="2"/>
      <c r="U1449" s="2"/>
      <c r="V1449" s="2" t="s">
        <v>3091</v>
      </c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 spans="1:38" ht="12.75" customHeight="1">
      <c r="A1450" s="15">
        <v>1450</v>
      </c>
      <c r="B1450" s="742" t="s">
        <v>1555</v>
      </c>
      <c r="C1450" s="16" t="s">
        <v>4418</v>
      </c>
      <c r="D1450" s="2" t="s">
        <v>3087</v>
      </c>
      <c r="E1450" s="2" t="s">
        <v>4294</v>
      </c>
      <c r="F1450" s="2" t="s">
        <v>4419</v>
      </c>
      <c r="G1450" s="17">
        <v>10240</v>
      </c>
      <c r="H1450" s="96" t="s">
        <v>830</v>
      </c>
      <c r="I1450" s="2" t="s">
        <v>4420</v>
      </c>
      <c r="J1450" s="2" t="s">
        <v>4421</v>
      </c>
      <c r="K1450" s="18">
        <v>45435</v>
      </c>
      <c r="L1450" s="18">
        <v>45444</v>
      </c>
      <c r="M1450" s="18">
        <v>45596</v>
      </c>
      <c r="N1450" s="1">
        <v>7</v>
      </c>
      <c r="O1450" s="19">
        <v>7000</v>
      </c>
      <c r="P1450" s="18">
        <v>45596</v>
      </c>
      <c r="Q1450" s="19"/>
      <c r="R1450" s="772"/>
      <c r="S1450" s="18"/>
      <c r="T1450" s="2"/>
      <c r="U1450" s="2"/>
      <c r="V1450" s="2" t="s">
        <v>4625</v>
      </c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</row>
    <row r="1451" spans="1:38" ht="12.75" customHeight="1">
      <c r="A1451" s="15">
        <v>1451</v>
      </c>
      <c r="B1451" s="742" t="s">
        <v>1555</v>
      </c>
      <c r="C1451" s="16" t="s">
        <v>4422</v>
      </c>
      <c r="D1451" s="2" t="s">
        <v>3087</v>
      </c>
      <c r="E1451" s="2" t="s">
        <v>4294</v>
      </c>
      <c r="F1451" s="2" t="s">
        <v>4092</v>
      </c>
      <c r="G1451" s="17">
        <v>10241</v>
      </c>
      <c r="H1451" s="96" t="s">
        <v>830</v>
      </c>
      <c r="I1451" s="2" t="s">
        <v>4423</v>
      </c>
      <c r="J1451" s="2" t="s">
        <v>4424</v>
      </c>
      <c r="K1451" s="18">
        <v>45448</v>
      </c>
      <c r="L1451" s="18">
        <v>45496</v>
      </c>
      <c r="M1451" s="18">
        <v>45547</v>
      </c>
      <c r="N1451" s="1">
        <v>7</v>
      </c>
      <c r="O1451" s="19">
        <v>2500</v>
      </c>
      <c r="P1451" s="18">
        <v>45547</v>
      </c>
      <c r="Q1451" s="19"/>
      <c r="R1451" s="772"/>
      <c r="S1451" s="18"/>
      <c r="T1451" s="2"/>
      <c r="U1451" s="2"/>
      <c r="V1451" s="2" t="s">
        <v>4625</v>
      </c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 spans="1:38" ht="12.75" customHeight="1">
      <c r="A1452" s="15">
        <v>1452</v>
      </c>
      <c r="B1452" s="736" t="s">
        <v>1555</v>
      </c>
      <c r="C1452" s="16" t="s">
        <v>4425</v>
      </c>
      <c r="D1452" s="2" t="s">
        <v>3110</v>
      </c>
      <c r="E1452" s="2" t="s">
        <v>3197</v>
      </c>
      <c r="F1452" s="2" t="s">
        <v>4426</v>
      </c>
      <c r="G1452" s="17">
        <v>47453702</v>
      </c>
      <c r="H1452" s="2" t="s">
        <v>546</v>
      </c>
      <c r="I1452" s="2" t="s">
        <v>4427</v>
      </c>
      <c r="J1452" s="2" t="s">
        <v>4428</v>
      </c>
      <c r="K1452" s="18">
        <v>45462</v>
      </c>
      <c r="L1452" s="18">
        <v>45462</v>
      </c>
      <c r="M1452" s="18">
        <v>45471</v>
      </c>
      <c r="N1452" s="1">
        <v>7</v>
      </c>
      <c r="O1452" s="19">
        <v>1294143.3999999999</v>
      </c>
      <c r="P1452" s="18">
        <v>45471</v>
      </c>
      <c r="Q1452" s="19">
        <v>1294143.3999999999</v>
      </c>
      <c r="R1452" s="772" t="s">
        <v>4429</v>
      </c>
      <c r="S1452" s="18">
        <v>45462</v>
      </c>
      <c r="T1452" s="2"/>
      <c r="U1452" s="2"/>
      <c r="V1452" s="2" t="s">
        <v>4625</v>
      </c>
      <c r="W1452" s="2" t="s">
        <v>4625</v>
      </c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</row>
    <row r="1453" spans="1:38" ht="13.2">
      <c r="A1453" s="15">
        <v>1453</v>
      </c>
      <c r="B1453" s="736" t="s">
        <v>1555</v>
      </c>
      <c r="C1453" s="16" t="s">
        <v>4430</v>
      </c>
      <c r="D1453" s="2" t="s">
        <v>3087</v>
      </c>
      <c r="E1453" s="2" t="s">
        <v>3369</v>
      </c>
      <c r="F1453" s="2" t="s">
        <v>4431</v>
      </c>
      <c r="G1453" s="17">
        <v>9698001</v>
      </c>
      <c r="H1453" s="2" t="s">
        <v>482</v>
      </c>
      <c r="I1453" s="2" t="s">
        <v>4432</v>
      </c>
      <c r="J1453" s="2" t="s">
        <v>4433</v>
      </c>
      <c r="K1453" s="18">
        <v>45462</v>
      </c>
      <c r="L1453" s="18">
        <v>45463</v>
      </c>
      <c r="M1453" s="18">
        <v>45838</v>
      </c>
      <c r="N1453" s="1">
        <v>7</v>
      </c>
      <c r="O1453" s="19">
        <v>832480</v>
      </c>
      <c r="P1453" s="18">
        <v>45838</v>
      </c>
      <c r="Q1453" s="19">
        <v>832480</v>
      </c>
      <c r="R1453" s="772" t="s">
        <v>4434</v>
      </c>
      <c r="S1453" s="18">
        <v>45463</v>
      </c>
      <c r="T1453" s="2"/>
      <c r="U1453" s="2"/>
      <c r="V1453" s="2" t="s">
        <v>4625</v>
      </c>
      <c r="W1453" s="2"/>
      <c r="Y1453" s="2"/>
      <c r="Z1453" s="2" t="s">
        <v>4737</v>
      </c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</row>
    <row r="1454" spans="1:38" ht="12.75" customHeight="1">
      <c r="A1454" s="15">
        <v>1454</v>
      </c>
      <c r="B1454" s="742" t="s">
        <v>1555</v>
      </c>
      <c r="C1454" s="16" t="s">
        <v>4435</v>
      </c>
      <c r="D1454" s="2" t="s">
        <v>3110</v>
      </c>
      <c r="E1454" s="2" t="s">
        <v>3228</v>
      </c>
      <c r="F1454" s="2" t="s">
        <v>4436</v>
      </c>
      <c r="G1454" s="17">
        <v>49550144</v>
      </c>
      <c r="H1454" s="2" t="s">
        <v>3257</v>
      </c>
      <c r="I1454" s="2" t="s">
        <v>4437</v>
      </c>
      <c r="J1454" s="2" t="s">
        <v>245</v>
      </c>
      <c r="K1454" s="18">
        <v>45455</v>
      </c>
      <c r="L1454" s="18">
        <v>45455</v>
      </c>
      <c r="M1454" s="18">
        <v>45930</v>
      </c>
      <c r="N1454" s="1">
        <v>1</v>
      </c>
      <c r="O1454" s="19">
        <v>15000</v>
      </c>
      <c r="P1454" s="18">
        <v>45930</v>
      </c>
      <c r="Q1454" s="19">
        <v>80000</v>
      </c>
      <c r="R1454" s="772" t="s">
        <v>4438</v>
      </c>
      <c r="S1454" s="18">
        <v>45455</v>
      </c>
      <c r="T1454" s="2" t="s">
        <v>4439</v>
      </c>
      <c r="U1454" s="2"/>
      <c r="V1454" s="2"/>
      <c r="W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</row>
    <row r="1455" spans="1:38" ht="12.75" customHeight="1">
      <c r="A1455" s="15">
        <v>1455</v>
      </c>
      <c r="B1455" s="742" t="s">
        <v>1555</v>
      </c>
      <c r="C1455" s="16" t="s">
        <v>4440</v>
      </c>
      <c r="D1455" s="2" t="s">
        <v>3110</v>
      </c>
      <c r="E1455" s="2" t="s">
        <v>3228</v>
      </c>
      <c r="F1455" s="2" t="s">
        <v>4436</v>
      </c>
      <c r="G1455" s="17">
        <v>49550144</v>
      </c>
      <c r="H1455" s="2" t="s">
        <v>3257</v>
      </c>
      <c r="I1455" s="2" t="s">
        <v>4441</v>
      </c>
      <c r="J1455" s="2" t="s">
        <v>245</v>
      </c>
      <c r="K1455" s="18">
        <v>45455</v>
      </c>
      <c r="L1455" s="18">
        <v>45455</v>
      </c>
      <c r="M1455" s="18">
        <v>2958465</v>
      </c>
      <c r="N1455" s="1">
        <v>1</v>
      </c>
      <c r="O1455" s="19">
        <v>6000</v>
      </c>
      <c r="P1455" s="18">
        <v>2958465</v>
      </c>
      <c r="Q1455" s="19"/>
      <c r="R1455" s="772"/>
      <c r="S1455" s="18"/>
      <c r="T1455" s="2" t="s">
        <v>4442</v>
      </c>
      <c r="U1455" s="2"/>
      <c r="V1455" s="2"/>
      <c r="W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</row>
    <row r="1456" spans="1:38" ht="12.75" customHeight="1">
      <c r="A1456" s="15">
        <v>1456</v>
      </c>
      <c r="B1456" s="742" t="s">
        <v>1555</v>
      </c>
      <c r="C1456" s="16" t="s">
        <v>4443</v>
      </c>
      <c r="D1456" s="2" t="s">
        <v>3168</v>
      </c>
      <c r="E1456" s="2" t="s">
        <v>3958</v>
      </c>
      <c r="F1456" s="2" t="s">
        <v>3310</v>
      </c>
      <c r="G1456" s="17">
        <v>47114983</v>
      </c>
      <c r="H1456" s="2" t="s">
        <v>4444</v>
      </c>
      <c r="I1456" s="2" t="s">
        <v>4445</v>
      </c>
      <c r="J1456" s="2" t="s">
        <v>4446</v>
      </c>
      <c r="K1456" s="18">
        <v>45460</v>
      </c>
      <c r="L1456" s="18">
        <v>45461</v>
      </c>
      <c r="M1456" s="18">
        <v>45657</v>
      </c>
      <c r="N1456" s="1">
        <v>6</v>
      </c>
      <c r="O1456" s="19">
        <v>0</v>
      </c>
      <c r="P1456" s="18">
        <v>45657</v>
      </c>
      <c r="Q1456" s="19">
        <v>0</v>
      </c>
      <c r="R1456" s="772" t="s">
        <v>4447</v>
      </c>
      <c r="S1456" s="18">
        <v>45461</v>
      </c>
      <c r="T1456" s="2"/>
      <c r="U1456" s="2">
        <v>3</v>
      </c>
      <c r="V1456" s="2" t="s">
        <v>4625</v>
      </c>
      <c r="W1456" s="2" t="s">
        <v>4625</v>
      </c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</row>
    <row r="1457" spans="1:38" ht="12.75" customHeight="1">
      <c r="A1457" s="15">
        <v>1457</v>
      </c>
      <c r="B1457" s="736" t="s">
        <v>3086</v>
      </c>
      <c r="C1457" s="16" t="s">
        <v>4448</v>
      </c>
      <c r="D1457" s="2" t="s">
        <v>3168</v>
      </c>
      <c r="E1457" s="2" t="s">
        <v>3958</v>
      </c>
      <c r="F1457" s="2" t="s">
        <v>3310</v>
      </c>
      <c r="G1457" s="17">
        <v>47114983</v>
      </c>
      <c r="H1457" s="2" t="s">
        <v>4444</v>
      </c>
      <c r="I1457" s="2" t="s">
        <v>4449</v>
      </c>
      <c r="J1457" s="2" t="s">
        <v>4450</v>
      </c>
      <c r="K1457" s="18">
        <v>45456</v>
      </c>
      <c r="L1457" s="18">
        <v>45461</v>
      </c>
      <c r="M1457" s="18">
        <v>2958465</v>
      </c>
      <c r="N1457" s="1">
        <v>6</v>
      </c>
      <c r="O1457" s="19">
        <v>100000</v>
      </c>
      <c r="P1457" s="18">
        <v>2958465</v>
      </c>
      <c r="Q1457" s="19">
        <v>0</v>
      </c>
      <c r="R1457" s="772" t="s">
        <v>4451</v>
      </c>
      <c r="S1457" s="18">
        <v>45461</v>
      </c>
      <c r="T1457" s="2"/>
      <c r="U1457" s="2">
        <v>3</v>
      </c>
      <c r="V1457" s="2" t="s">
        <v>4625</v>
      </c>
      <c r="W1457" s="2" t="s">
        <v>4625</v>
      </c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</row>
    <row r="1458" spans="1:38" ht="12.75" customHeight="1">
      <c r="A1458" s="15">
        <v>1458</v>
      </c>
      <c r="B1458" s="736" t="s">
        <v>3086</v>
      </c>
      <c r="C1458" s="16" t="s">
        <v>4452</v>
      </c>
      <c r="D1458" s="2" t="s">
        <v>3110</v>
      </c>
      <c r="E1458" s="2" t="s">
        <v>3228</v>
      </c>
      <c r="F1458" s="2" t="s">
        <v>3472</v>
      </c>
      <c r="G1458" s="17">
        <v>27167127</v>
      </c>
      <c r="H1458" s="2" t="s">
        <v>3257</v>
      </c>
      <c r="I1458" s="2" t="s">
        <v>4453</v>
      </c>
      <c r="J1458" s="2" t="s">
        <v>4454</v>
      </c>
      <c r="K1458" s="18">
        <v>45455</v>
      </c>
      <c r="L1458" s="18">
        <v>45474</v>
      </c>
      <c r="M1458" s="18">
        <v>46203</v>
      </c>
      <c r="N1458" s="1">
        <v>2</v>
      </c>
      <c r="O1458" s="19">
        <v>190000</v>
      </c>
      <c r="P1458" s="18">
        <v>46203</v>
      </c>
      <c r="Q1458" s="19">
        <v>190000</v>
      </c>
      <c r="R1458" s="772" t="s">
        <v>4455</v>
      </c>
      <c r="S1458" s="18">
        <v>45455</v>
      </c>
      <c r="T1458" s="2"/>
      <c r="U1458" s="2"/>
      <c r="V1458" s="2"/>
      <c r="W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 spans="1:38" ht="12.75" customHeight="1">
      <c r="A1459" s="15">
        <v>1459</v>
      </c>
      <c r="B1459" s="736" t="s">
        <v>3086</v>
      </c>
      <c r="C1459" s="16" t="s">
        <v>4456</v>
      </c>
      <c r="D1459" s="2" t="s">
        <v>3110</v>
      </c>
      <c r="E1459" s="2" t="s">
        <v>3228</v>
      </c>
      <c r="F1459" s="2" t="s">
        <v>3590</v>
      </c>
      <c r="G1459" s="17">
        <v>25085221</v>
      </c>
      <c r="H1459" s="2" t="s">
        <v>3257</v>
      </c>
      <c r="I1459" s="2" t="s">
        <v>4457</v>
      </c>
      <c r="J1459" s="2" t="s">
        <v>4454</v>
      </c>
      <c r="K1459" s="18">
        <v>45456</v>
      </c>
      <c r="L1459" s="18">
        <v>45456</v>
      </c>
      <c r="M1459" s="18">
        <v>46173</v>
      </c>
      <c r="N1459" s="1">
        <v>6</v>
      </c>
      <c r="O1459" s="19">
        <v>0</v>
      </c>
      <c r="P1459" s="18">
        <v>46173</v>
      </c>
      <c r="Q1459" s="19"/>
      <c r="R1459" s="772"/>
      <c r="S1459" s="18"/>
      <c r="T1459" s="2"/>
      <c r="U1459" s="2"/>
      <c r="V1459" s="2"/>
      <c r="W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 spans="1:38" ht="12.75" customHeight="1">
      <c r="A1460" s="15">
        <v>1460</v>
      </c>
      <c r="B1460" s="736" t="s">
        <v>3086</v>
      </c>
      <c r="C1460" s="16" t="s">
        <v>4458</v>
      </c>
      <c r="D1460" s="2" t="s">
        <v>3110</v>
      </c>
      <c r="E1460" s="2" t="s">
        <v>3117</v>
      </c>
      <c r="F1460" s="2" t="s">
        <v>3571</v>
      </c>
      <c r="G1460" s="17">
        <v>25458302</v>
      </c>
      <c r="H1460" s="2" t="s">
        <v>4207</v>
      </c>
      <c r="I1460" s="2" t="s">
        <v>4459</v>
      </c>
      <c r="J1460" s="2" t="s">
        <v>4209</v>
      </c>
      <c r="K1460" s="18">
        <v>45456</v>
      </c>
      <c r="L1460" s="18">
        <v>45658</v>
      </c>
      <c r="M1460" s="18">
        <v>46022</v>
      </c>
      <c r="N1460" s="1">
        <v>4</v>
      </c>
      <c r="O1460" s="19">
        <v>0</v>
      </c>
      <c r="P1460" s="18">
        <v>46022</v>
      </c>
      <c r="Q1460" s="19"/>
      <c r="R1460" s="772"/>
      <c r="S1460" s="18"/>
      <c r="T1460" s="2"/>
      <c r="U1460" s="2"/>
      <c r="V1460" s="2"/>
      <c r="W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</row>
    <row r="1461" spans="1:38" ht="12.75" customHeight="1">
      <c r="A1461" s="15">
        <v>1461</v>
      </c>
      <c r="B1461" s="736" t="s">
        <v>3086</v>
      </c>
      <c r="C1461" s="16" t="s">
        <v>4460</v>
      </c>
      <c r="D1461" s="2" t="s">
        <v>3110</v>
      </c>
      <c r="E1461" s="2" t="s">
        <v>3247</v>
      </c>
      <c r="F1461" s="2" t="s">
        <v>3248</v>
      </c>
      <c r="G1461" s="17">
        <v>60193492</v>
      </c>
      <c r="H1461" s="2" t="s">
        <v>4207</v>
      </c>
      <c r="I1461" s="2" t="s">
        <v>4461</v>
      </c>
      <c r="J1461" s="2" t="s">
        <v>4462</v>
      </c>
      <c r="K1461" s="18">
        <v>45456</v>
      </c>
      <c r="L1461" s="18">
        <v>45658</v>
      </c>
      <c r="M1461" s="18">
        <v>46022</v>
      </c>
      <c r="N1461" s="1">
        <v>4</v>
      </c>
      <c r="O1461" s="19">
        <v>0</v>
      </c>
      <c r="P1461" s="18">
        <v>46022</v>
      </c>
      <c r="Q1461" s="19"/>
      <c r="R1461" s="772"/>
      <c r="S1461" s="18"/>
      <c r="T1461" s="2"/>
      <c r="U1461" s="2"/>
      <c r="V1461" s="2"/>
      <c r="W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</row>
    <row r="1462" spans="1:38" ht="12.75" customHeight="1">
      <c r="A1462" s="15">
        <v>1462</v>
      </c>
      <c r="B1462" s="736" t="s">
        <v>1555</v>
      </c>
      <c r="C1462" s="16" t="s">
        <v>4463</v>
      </c>
      <c r="D1462" s="2" t="s">
        <v>3087</v>
      </c>
      <c r="E1462" s="2" t="s">
        <v>3811</v>
      </c>
      <c r="F1462" s="2" t="s">
        <v>4464</v>
      </c>
      <c r="G1462" s="17">
        <v>61632350</v>
      </c>
      <c r="H1462" s="2" t="s">
        <v>180</v>
      </c>
      <c r="I1462" s="2" t="s">
        <v>4465</v>
      </c>
      <c r="J1462" s="2" t="s">
        <v>4465</v>
      </c>
      <c r="K1462" s="18">
        <v>45449</v>
      </c>
      <c r="L1462" s="18">
        <v>45449</v>
      </c>
      <c r="M1462" s="18">
        <v>45449</v>
      </c>
      <c r="N1462" s="1">
        <v>7</v>
      </c>
      <c r="O1462" s="19">
        <v>0</v>
      </c>
      <c r="P1462" s="18">
        <v>45449</v>
      </c>
      <c r="Q1462" s="19"/>
      <c r="R1462" s="772"/>
      <c r="S1462" s="18"/>
      <c r="T1462" s="2"/>
      <c r="U1462" s="2"/>
      <c r="V1462" s="2" t="s">
        <v>3091</v>
      </c>
      <c r="W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 spans="1:38" ht="12.75" customHeight="1">
      <c r="A1463" s="15">
        <v>1463</v>
      </c>
      <c r="B1463" s="736" t="s">
        <v>1555</v>
      </c>
      <c r="C1463" s="16" t="s">
        <v>4466</v>
      </c>
      <c r="D1463" s="2" t="s">
        <v>3087</v>
      </c>
      <c r="E1463" s="2" t="s">
        <v>3811</v>
      </c>
      <c r="F1463" s="2" t="s">
        <v>4057</v>
      </c>
      <c r="G1463" s="17">
        <v>19609914</v>
      </c>
      <c r="H1463" s="2" t="s">
        <v>180</v>
      </c>
      <c r="I1463" s="2" t="s">
        <v>4467</v>
      </c>
      <c r="J1463" s="2" t="s">
        <v>4468</v>
      </c>
      <c r="K1463" s="18">
        <v>45454</v>
      </c>
      <c r="L1463" s="18">
        <v>45458</v>
      </c>
      <c r="M1463" s="18">
        <v>45458</v>
      </c>
      <c r="N1463" s="1">
        <v>7</v>
      </c>
      <c r="O1463" s="19">
        <v>5730</v>
      </c>
      <c r="P1463" s="18">
        <v>45458</v>
      </c>
      <c r="Q1463" s="19"/>
      <c r="R1463" s="772"/>
      <c r="S1463" s="18"/>
      <c r="T1463" s="2"/>
      <c r="U1463" s="2"/>
      <c r="V1463" s="2" t="s">
        <v>4625</v>
      </c>
      <c r="W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</row>
    <row r="1464" spans="1:38" ht="12.75" customHeight="1">
      <c r="A1464" s="15">
        <v>1464</v>
      </c>
      <c r="B1464" s="736" t="s">
        <v>1555</v>
      </c>
      <c r="C1464" s="16" t="s">
        <v>4469</v>
      </c>
      <c r="D1464" s="2" t="s">
        <v>3087</v>
      </c>
      <c r="E1464" s="2" t="s">
        <v>3811</v>
      </c>
      <c r="F1464" s="2" t="s">
        <v>3859</v>
      </c>
      <c r="G1464" s="17">
        <v>233129</v>
      </c>
      <c r="H1464" s="2" t="s">
        <v>180</v>
      </c>
      <c r="I1464" s="2" t="s">
        <v>4470</v>
      </c>
      <c r="J1464" s="2" t="s">
        <v>4470</v>
      </c>
      <c r="K1464" s="18">
        <v>45457</v>
      </c>
      <c r="L1464" s="18">
        <v>45457</v>
      </c>
      <c r="M1464" s="18">
        <v>45457</v>
      </c>
      <c r="N1464" s="1">
        <v>7</v>
      </c>
      <c r="O1464" s="19">
        <v>0</v>
      </c>
      <c r="P1464" s="18">
        <v>45457</v>
      </c>
      <c r="Q1464" s="19"/>
      <c r="R1464" s="772"/>
      <c r="S1464" s="18"/>
      <c r="T1464" s="2"/>
      <c r="U1464" s="2"/>
      <c r="V1464" s="2" t="s">
        <v>3091</v>
      </c>
      <c r="W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 spans="1:38" ht="12.75" customHeight="1">
      <c r="A1465" s="15">
        <v>1465</v>
      </c>
      <c r="B1465" s="742" t="s">
        <v>1555</v>
      </c>
      <c r="C1465" s="16" t="s">
        <v>4471</v>
      </c>
      <c r="D1465" s="2" t="s">
        <v>3087</v>
      </c>
      <c r="E1465" s="2" t="s">
        <v>4294</v>
      </c>
      <c r="F1465" s="2" t="s">
        <v>4177</v>
      </c>
      <c r="G1465" s="17">
        <v>10085</v>
      </c>
      <c r="H1465" s="96" t="s">
        <v>830</v>
      </c>
      <c r="I1465" s="2" t="s">
        <v>4472</v>
      </c>
      <c r="J1465" s="2" t="s">
        <v>4472</v>
      </c>
      <c r="K1465" s="18">
        <v>45455</v>
      </c>
      <c r="L1465" s="18">
        <v>45455</v>
      </c>
      <c r="M1465" s="18">
        <v>45535</v>
      </c>
      <c r="N1465" s="1">
        <v>7</v>
      </c>
      <c r="O1465" s="19">
        <v>2500</v>
      </c>
      <c r="P1465" s="18">
        <v>45535</v>
      </c>
      <c r="Q1465" s="19"/>
      <c r="R1465" s="772"/>
      <c r="S1465" s="18"/>
      <c r="T1465" s="2"/>
      <c r="U1465" s="2"/>
      <c r="V1465" s="2" t="s">
        <v>4625</v>
      </c>
      <c r="W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</row>
    <row r="1466" spans="1:38" ht="12.75" customHeight="1">
      <c r="A1466" s="15">
        <v>1466</v>
      </c>
      <c r="B1466" s="736" t="s">
        <v>1555</v>
      </c>
      <c r="C1466" s="16" t="s">
        <v>4473</v>
      </c>
      <c r="D1466" s="2" t="s">
        <v>3116</v>
      </c>
      <c r="E1466" s="2" t="s">
        <v>3117</v>
      </c>
      <c r="F1466" s="2" t="s">
        <v>4474</v>
      </c>
      <c r="G1466" s="17">
        <v>27177726</v>
      </c>
      <c r="H1466" s="2" t="s">
        <v>3982</v>
      </c>
      <c r="I1466" s="2" t="s">
        <v>4475</v>
      </c>
      <c r="J1466" s="2" t="s">
        <v>4476</v>
      </c>
      <c r="K1466" s="18">
        <v>45462</v>
      </c>
      <c r="L1466" s="18">
        <v>45462</v>
      </c>
      <c r="M1466" s="18">
        <v>45483</v>
      </c>
      <c r="N1466" s="1">
        <v>6</v>
      </c>
      <c r="O1466" s="19">
        <v>153670</v>
      </c>
      <c r="P1466" s="18">
        <v>45483</v>
      </c>
      <c r="Q1466" s="19">
        <v>153670</v>
      </c>
      <c r="R1466" s="772" t="s">
        <v>4477</v>
      </c>
      <c r="S1466" s="18">
        <v>45462</v>
      </c>
      <c r="T1466" s="2" t="s">
        <v>4478</v>
      </c>
      <c r="U1466" s="3">
        <v>3</v>
      </c>
      <c r="V1466" s="2" t="s">
        <v>4625</v>
      </c>
      <c r="W1466" s="2" t="s">
        <v>4625</v>
      </c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</row>
    <row r="1467" spans="1:38" ht="12.75" customHeight="1">
      <c r="A1467" s="15">
        <v>1467</v>
      </c>
      <c r="B1467" s="736" t="s">
        <v>1555</v>
      </c>
      <c r="C1467" s="16" t="s">
        <v>4479</v>
      </c>
      <c r="D1467" s="2" t="s">
        <v>3110</v>
      </c>
      <c r="E1467" s="2" t="s">
        <v>3117</v>
      </c>
      <c r="F1467" s="2" t="s">
        <v>4480</v>
      </c>
      <c r="G1467" s="17">
        <v>24152951</v>
      </c>
      <c r="H1467" s="2" t="s">
        <v>3982</v>
      </c>
      <c r="I1467" s="2" t="s">
        <v>4481</v>
      </c>
      <c r="J1467" s="2" t="s">
        <v>4482</v>
      </c>
      <c r="K1467" s="18">
        <v>45477</v>
      </c>
      <c r="L1467" s="18">
        <v>45478</v>
      </c>
      <c r="M1467" s="18">
        <v>45534</v>
      </c>
      <c r="N1467" s="1">
        <v>7</v>
      </c>
      <c r="O1467" s="19">
        <v>501516</v>
      </c>
      <c r="P1467" s="18">
        <v>45534</v>
      </c>
      <c r="Q1467" s="19">
        <v>501516</v>
      </c>
      <c r="R1467" s="772" t="s">
        <v>4483</v>
      </c>
      <c r="S1467" s="18">
        <v>45478</v>
      </c>
      <c r="T1467" s="2"/>
      <c r="U1467" s="2"/>
      <c r="V1467" s="2"/>
      <c r="W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 spans="1:38" ht="12.75" customHeight="1">
      <c r="A1468" s="15">
        <v>1468</v>
      </c>
      <c r="B1468" s="736" t="s">
        <v>3086</v>
      </c>
      <c r="C1468" s="16" t="s">
        <v>4484</v>
      </c>
      <c r="D1468" s="2" t="s">
        <v>3116</v>
      </c>
      <c r="E1468" s="2" t="s">
        <v>3891</v>
      </c>
      <c r="F1468" s="2" t="s">
        <v>4485</v>
      </c>
      <c r="G1468" s="17">
        <v>6947</v>
      </c>
      <c r="H1468" s="2" t="s">
        <v>186</v>
      </c>
      <c r="I1468" s="2" t="s">
        <v>4486</v>
      </c>
      <c r="J1468" s="2" t="s">
        <v>4487</v>
      </c>
      <c r="K1468" s="18">
        <v>45488</v>
      </c>
      <c r="L1468" s="18">
        <v>45488</v>
      </c>
      <c r="M1468" s="18">
        <v>2958465</v>
      </c>
      <c r="N1468" s="1">
        <v>4</v>
      </c>
      <c r="O1468" s="19">
        <v>0</v>
      </c>
      <c r="P1468" s="18">
        <v>2958465</v>
      </c>
      <c r="Q1468" s="19"/>
      <c r="R1468" s="772"/>
      <c r="S1468" s="18"/>
      <c r="T1468" s="2"/>
      <c r="U1468" s="3">
        <v>3</v>
      </c>
      <c r="V1468" s="2" t="s">
        <v>4625</v>
      </c>
      <c r="W1468" s="2" t="s">
        <v>4625</v>
      </c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 spans="1:38" ht="12.75" customHeight="1">
      <c r="A1469" s="15">
        <v>1469</v>
      </c>
      <c r="B1469" s="736" t="s">
        <v>3086</v>
      </c>
      <c r="C1469" s="16" t="s">
        <v>4488</v>
      </c>
      <c r="D1469" s="2" t="s">
        <v>3094</v>
      </c>
      <c r="E1469" s="2" t="s">
        <v>3095</v>
      </c>
      <c r="F1469" s="2" t="s">
        <v>3488</v>
      </c>
      <c r="G1469" s="17">
        <v>27085031</v>
      </c>
      <c r="H1469" s="2" t="s">
        <v>189</v>
      </c>
      <c r="I1469" s="2" t="s">
        <v>4489</v>
      </c>
      <c r="J1469" s="2" t="s">
        <v>4490</v>
      </c>
      <c r="K1469" s="18"/>
      <c r="L1469" s="18"/>
      <c r="M1469" s="18"/>
      <c r="N1469" s="1"/>
      <c r="O1469" s="19"/>
      <c r="P1469" s="18"/>
      <c r="Q1469" s="19"/>
      <c r="R1469" s="772"/>
      <c r="S1469" s="18"/>
      <c r="T1469" s="2"/>
      <c r="U1469" s="105"/>
      <c r="V1469" s="2"/>
      <c r="W1469" s="2" t="s">
        <v>4631</v>
      </c>
      <c r="Y1469" s="2" t="s">
        <v>5000</v>
      </c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 spans="1:38" ht="12.75" customHeight="1">
      <c r="A1470" s="15">
        <v>1470</v>
      </c>
      <c r="B1470" s="736" t="s">
        <v>3086</v>
      </c>
      <c r="C1470" s="16" t="s">
        <v>4491</v>
      </c>
      <c r="D1470" s="2" t="s">
        <v>3094</v>
      </c>
      <c r="E1470" s="2" t="s">
        <v>3095</v>
      </c>
      <c r="F1470" s="81" t="s">
        <v>3727</v>
      </c>
      <c r="G1470" s="17">
        <v>3508081</v>
      </c>
      <c r="H1470" s="2" t="s">
        <v>189</v>
      </c>
      <c r="I1470" s="2" t="s">
        <v>4492</v>
      </c>
      <c r="J1470" s="2" t="s">
        <v>4493</v>
      </c>
      <c r="K1470" s="18">
        <v>45510</v>
      </c>
      <c r="L1470" s="18">
        <v>45511</v>
      </c>
      <c r="M1470" s="18">
        <v>46971</v>
      </c>
      <c r="N1470" s="1"/>
      <c r="O1470" s="19"/>
      <c r="P1470" s="18">
        <v>46971</v>
      </c>
      <c r="Q1470" s="19"/>
      <c r="R1470" s="772" t="s">
        <v>4678</v>
      </c>
      <c r="S1470" s="18">
        <v>45511</v>
      </c>
      <c r="T1470" s="2"/>
      <c r="U1470" s="105">
        <v>3</v>
      </c>
      <c r="V1470" s="2"/>
      <c r="W1470" s="2" t="s">
        <v>4625</v>
      </c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 spans="1:38" ht="12.75" customHeight="1">
      <c r="A1471" s="15">
        <v>1471</v>
      </c>
      <c r="B1471" s="736" t="s">
        <v>3086</v>
      </c>
      <c r="C1471" s="16" t="s">
        <v>4494</v>
      </c>
      <c r="D1471" s="2" t="s">
        <v>3139</v>
      </c>
      <c r="E1471" s="2" t="s">
        <v>3144</v>
      </c>
      <c r="F1471" s="2" t="s">
        <v>4495</v>
      </c>
      <c r="G1471" s="17">
        <v>41197518</v>
      </c>
      <c r="H1471" s="2" t="s">
        <v>4496</v>
      </c>
      <c r="I1471" s="2" t="s">
        <v>4497</v>
      </c>
      <c r="J1471" s="2" t="s">
        <v>4498</v>
      </c>
      <c r="K1471" s="18">
        <v>45280</v>
      </c>
      <c r="L1471" s="18">
        <v>45292</v>
      </c>
      <c r="M1471" s="18">
        <v>47118</v>
      </c>
      <c r="N1471" s="1">
        <v>1</v>
      </c>
      <c r="O1471" s="19">
        <v>0</v>
      </c>
      <c r="P1471" s="18">
        <v>47118</v>
      </c>
      <c r="Q1471" s="19"/>
      <c r="R1471" s="772"/>
      <c r="S1471" s="18"/>
      <c r="T1471" s="2"/>
      <c r="U1471" s="2"/>
      <c r="V1471" s="2"/>
      <c r="W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</row>
    <row r="1472" spans="1:38" ht="12.75" customHeight="1">
      <c r="A1472" s="15">
        <v>1472</v>
      </c>
      <c r="B1472" s="736" t="s">
        <v>3086</v>
      </c>
      <c r="C1472" s="16" t="s">
        <v>4499</v>
      </c>
      <c r="D1472" s="2" t="s">
        <v>3139</v>
      </c>
      <c r="E1472" s="2" t="s">
        <v>3144</v>
      </c>
      <c r="F1472" s="2" t="s">
        <v>4500</v>
      </c>
      <c r="G1472" s="17">
        <v>47114975</v>
      </c>
      <c r="H1472" s="2" t="s">
        <v>4496</v>
      </c>
      <c r="I1472" s="2" t="s">
        <v>4501</v>
      </c>
      <c r="J1472" s="2" t="s">
        <v>4498</v>
      </c>
      <c r="K1472" s="18">
        <v>42674</v>
      </c>
      <c r="L1472" s="18">
        <v>42736</v>
      </c>
      <c r="M1472" s="18">
        <v>2958465</v>
      </c>
      <c r="N1472" s="1">
        <v>1</v>
      </c>
      <c r="O1472" s="19">
        <v>0</v>
      </c>
      <c r="P1472" s="18">
        <v>2958465</v>
      </c>
      <c r="Q1472" s="19"/>
      <c r="R1472" s="772"/>
      <c r="S1472" s="18"/>
      <c r="T1472" s="2"/>
      <c r="U1472" s="2"/>
      <c r="V1472" s="2"/>
      <c r="W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 spans="1:38" ht="12.75" customHeight="1">
      <c r="A1473" s="15">
        <v>1473</v>
      </c>
      <c r="B1473" s="736" t="s">
        <v>1555</v>
      </c>
      <c r="C1473" s="16" t="s">
        <v>4502</v>
      </c>
      <c r="D1473" s="2" t="s">
        <v>3139</v>
      </c>
      <c r="E1473" s="2" t="s">
        <v>3144</v>
      </c>
      <c r="F1473" s="2" t="s">
        <v>4503</v>
      </c>
      <c r="G1473" s="17">
        <v>47672234</v>
      </c>
      <c r="H1473" s="2" t="s">
        <v>4496</v>
      </c>
      <c r="I1473" s="2" t="s">
        <v>4504</v>
      </c>
      <c r="J1473" s="2" t="s">
        <v>4498</v>
      </c>
      <c r="K1473" s="18">
        <v>42727</v>
      </c>
      <c r="L1473" s="18">
        <v>42736</v>
      </c>
      <c r="M1473" s="18">
        <v>45657</v>
      </c>
      <c r="N1473" s="1">
        <v>1</v>
      </c>
      <c r="O1473" s="19">
        <v>0</v>
      </c>
      <c r="P1473" s="18">
        <v>45657</v>
      </c>
      <c r="Q1473" s="19"/>
      <c r="R1473" s="772"/>
      <c r="S1473" s="18"/>
      <c r="T1473" s="2"/>
      <c r="U1473" s="2"/>
      <c r="V1473" s="2"/>
      <c r="W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</row>
    <row r="1474" spans="1:38" ht="12.75" customHeight="1">
      <c r="A1474" s="15">
        <v>1474</v>
      </c>
      <c r="B1474" s="736" t="s">
        <v>3086</v>
      </c>
      <c r="C1474" s="16" t="s">
        <v>4505</v>
      </c>
      <c r="D1474" s="2" t="s">
        <v>3139</v>
      </c>
      <c r="E1474" s="2" t="s">
        <v>3144</v>
      </c>
      <c r="F1474" s="94" t="s">
        <v>3895</v>
      </c>
      <c r="G1474" s="17">
        <v>47114321</v>
      </c>
      <c r="H1474" s="2" t="s">
        <v>4496</v>
      </c>
      <c r="I1474" s="2" t="s">
        <v>4506</v>
      </c>
      <c r="J1474" s="2" t="s">
        <v>4498</v>
      </c>
      <c r="K1474" s="18">
        <v>39617</v>
      </c>
      <c r="L1474" s="18">
        <v>39448</v>
      </c>
      <c r="M1474" s="18">
        <v>2958465</v>
      </c>
      <c r="N1474" s="1">
        <v>1</v>
      </c>
      <c r="O1474" s="19">
        <v>0</v>
      </c>
      <c r="P1474" s="18">
        <v>2958465</v>
      </c>
      <c r="Q1474" s="19"/>
      <c r="R1474" s="772"/>
      <c r="S1474" s="18"/>
      <c r="T1474" s="2"/>
      <c r="U1474" s="2"/>
      <c r="V1474" s="2"/>
      <c r="W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 spans="1:38" ht="12.75" customHeight="1">
      <c r="A1475" s="15">
        <v>1475</v>
      </c>
      <c r="B1475" s="736" t="s">
        <v>3086</v>
      </c>
      <c r="C1475" s="16" t="s">
        <v>4507</v>
      </c>
      <c r="D1475" s="2" t="s">
        <v>3139</v>
      </c>
      <c r="E1475" s="2" t="s">
        <v>3144</v>
      </c>
      <c r="F1475" s="2" t="s">
        <v>3894</v>
      </c>
      <c r="G1475" s="17">
        <v>46354182</v>
      </c>
      <c r="H1475" s="2" t="s">
        <v>4496</v>
      </c>
      <c r="I1475" s="2" t="s">
        <v>4508</v>
      </c>
      <c r="J1475" s="2" t="s">
        <v>4498</v>
      </c>
      <c r="K1475" s="18">
        <v>41600</v>
      </c>
      <c r="L1475" s="18">
        <v>41640</v>
      </c>
      <c r="M1475" s="18">
        <v>2958465</v>
      </c>
      <c r="N1475" s="1">
        <v>1</v>
      </c>
      <c r="O1475" s="19">
        <v>0</v>
      </c>
      <c r="P1475" s="18">
        <v>2958465</v>
      </c>
      <c r="Q1475" s="19"/>
      <c r="R1475" s="772"/>
      <c r="S1475" s="18"/>
      <c r="T1475" s="2"/>
      <c r="U1475" s="2"/>
      <c r="V1475" s="2"/>
      <c r="W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 spans="1:38" ht="12.75" customHeight="1">
      <c r="A1476" s="15">
        <v>1476</v>
      </c>
      <c r="B1476" s="736" t="s">
        <v>1555</v>
      </c>
      <c r="C1476" s="16" t="s">
        <v>4509</v>
      </c>
      <c r="D1476" s="2" t="s">
        <v>3087</v>
      </c>
      <c r="E1476" s="2" t="s">
        <v>3811</v>
      </c>
      <c r="F1476" s="2" t="s">
        <v>4510</v>
      </c>
      <c r="G1476" s="17">
        <v>70565813</v>
      </c>
      <c r="H1476" s="2" t="s">
        <v>180</v>
      </c>
      <c r="I1476" s="2" t="s">
        <v>4511</v>
      </c>
      <c r="J1476" s="2" t="s">
        <v>4511</v>
      </c>
      <c r="K1476" s="18">
        <v>45463</v>
      </c>
      <c r="L1476" s="18">
        <v>45471</v>
      </c>
      <c r="M1476" s="18">
        <v>45472</v>
      </c>
      <c r="N1476" s="1">
        <v>7</v>
      </c>
      <c r="O1476" s="19">
        <v>25700</v>
      </c>
      <c r="P1476" s="18">
        <v>45472</v>
      </c>
      <c r="Q1476" s="19"/>
      <c r="R1476" s="772"/>
      <c r="S1476" s="18"/>
      <c r="T1476" s="2"/>
      <c r="U1476" s="2"/>
      <c r="V1476" s="2" t="s">
        <v>3091</v>
      </c>
      <c r="W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 spans="1:38" ht="12.75" customHeight="1">
      <c r="A1477" s="15">
        <v>1477</v>
      </c>
      <c r="B1477" s="736" t="s">
        <v>1555</v>
      </c>
      <c r="C1477" s="16" t="s">
        <v>4512</v>
      </c>
      <c r="D1477" s="2" t="s">
        <v>3087</v>
      </c>
      <c r="E1477" s="2" t="s">
        <v>3811</v>
      </c>
      <c r="F1477" s="2" t="s">
        <v>3683</v>
      </c>
      <c r="G1477" s="17">
        <v>7964943</v>
      </c>
      <c r="H1477" s="2" t="s">
        <v>180</v>
      </c>
      <c r="I1477" s="2" t="s">
        <v>4513</v>
      </c>
      <c r="J1477" s="2" t="s">
        <v>4513</v>
      </c>
      <c r="K1477" s="18">
        <v>45463</v>
      </c>
      <c r="L1477" s="18">
        <v>45486</v>
      </c>
      <c r="M1477" s="18">
        <v>45486</v>
      </c>
      <c r="N1477" s="1">
        <v>7</v>
      </c>
      <c r="O1477" s="19">
        <v>4000</v>
      </c>
      <c r="P1477" s="18">
        <v>45486</v>
      </c>
      <c r="Q1477" s="19"/>
      <c r="R1477" s="772"/>
      <c r="S1477" s="18"/>
      <c r="T1477" s="2"/>
      <c r="U1477" s="2"/>
      <c r="V1477" s="2" t="s">
        <v>4625</v>
      </c>
      <c r="W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</row>
    <row r="1478" spans="1:38" ht="12.75" customHeight="1">
      <c r="A1478" s="15">
        <v>1478</v>
      </c>
      <c r="B1478" s="736" t="s">
        <v>1555</v>
      </c>
      <c r="C1478" s="16" t="s">
        <v>4514</v>
      </c>
      <c r="D1478" s="2" t="s">
        <v>3087</v>
      </c>
      <c r="E1478" s="2" t="s">
        <v>4294</v>
      </c>
      <c r="F1478" s="2" t="s">
        <v>4515</v>
      </c>
      <c r="G1478" s="17">
        <v>9810</v>
      </c>
      <c r="H1478" s="96" t="s">
        <v>830</v>
      </c>
      <c r="I1478" s="2" t="s">
        <v>4516</v>
      </c>
      <c r="J1478" s="2" t="s">
        <v>4516</v>
      </c>
      <c r="K1478" s="18">
        <v>45429</v>
      </c>
      <c r="L1478" s="18">
        <v>45429</v>
      </c>
      <c r="M1478" s="18">
        <v>45535</v>
      </c>
      <c r="N1478" s="1">
        <v>7</v>
      </c>
      <c r="O1478" s="19">
        <v>3500</v>
      </c>
      <c r="P1478" s="18">
        <v>45535</v>
      </c>
      <c r="Q1478" s="19"/>
      <c r="R1478" s="772"/>
      <c r="S1478" s="18"/>
      <c r="T1478" s="2"/>
      <c r="U1478" s="2"/>
      <c r="V1478" s="2" t="s">
        <v>4625</v>
      </c>
      <c r="W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</row>
    <row r="1479" spans="1:38" ht="12.75" customHeight="1">
      <c r="A1479" s="15">
        <v>1479</v>
      </c>
      <c r="B1479" s="736" t="s">
        <v>1555</v>
      </c>
      <c r="C1479" s="16" t="s">
        <v>4517</v>
      </c>
      <c r="D1479" s="2" t="s">
        <v>3168</v>
      </c>
      <c r="E1479" s="2" t="s">
        <v>4854</v>
      </c>
      <c r="F1479" s="2" t="s">
        <v>4518</v>
      </c>
      <c r="G1479" s="17">
        <v>24715298</v>
      </c>
      <c r="H1479" s="2" t="s">
        <v>4194</v>
      </c>
      <c r="I1479" s="2" t="s">
        <v>4519</v>
      </c>
      <c r="J1479" s="2" t="s">
        <v>4194</v>
      </c>
      <c r="K1479" s="18">
        <v>45471</v>
      </c>
      <c r="L1479" s="18">
        <v>45471</v>
      </c>
      <c r="M1479" s="18">
        <v>45471</v>
      </c>
      <c r="N1479" s="1">
        <v>1</v>
      </c>
      <c r="O1479" s="19">
        <v>160000</v>
      </c>
      <c r="P1479" s="18">
        <v>45471</v>
      </c>
      <c r="Q1479" s="19">
        <v>160000</v>
      </c>
      <c r="R1479" s="772" t="s">
        <v>4520</v>
      </c>
      <c r="S1479" s="18">
        <v>45471</v>
      </c>
      <c r="T1479" s="2"/>
      <c r="U1479" s="2"/>
      <c r="V1479" s="2" t="s">
        <v>3091</v>
      </c>
      <c r="W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 spans="1:38" ht="12.75" customHeight="1">
      <c r="A1480" s="15">
        <v>1480</v>
      </c>
      <c r="B1480" s="736" t="s">
        <v>3086</v>
      </c>
      <c r="C1480" s="16" t="s">
        <v>4521</v>
      </c>
      <c r="D1480" s="2" t="s">
        <v>3121</v>
      </c>
      <c r="E1480" s="2" t="s">
        <v>3117</v>
      </c>
      <c r="F1480" s="2" t="s">
        <v>3613</v>
      </c>
      <c r="G1480" s="17">
        <v>24715299</v>
      </c>
      <c r="H1480" s="2" t="s">
        <v>3257</v>
      </c>
      <c r="I1480" s="2" t="s">
        <v>4522</v>
      </c>
      <c r="J1480" s="2" t="s">
        <v>4523</v>
      </c>
      <c r="K1480" s="18">
        <v>45470</v>
      </c>
      <c r="L1480" s="18">
        <v>45474</v>
      </c>
      <c r="M1480" s="18">
        <v>46934</v>
      </c>
      <c r="N1480" s="1">
        <v>1</v>
      </c>
      <c r="O1480" s="19">
        <v>864000</v>
      </c>
      <c r="P1480" s="18">
        <v>46934</v>
      </c>
      <c r="Q1480" s="19">
        <v>864000</v>
      </c>
      <c r="R1480" s="772" t="s">
        <v>4524</v>
      </c>
      <c r="S1480" s="18">
        <v>45470</v>
      </c>
      <c r="T1480" s="2"/>
      <c r="U1480" s="2">
        <v>6</v>
      </c>
      <c r="V1480" s="2" t="s">
        <v>4625</v>
      </c>
      <c r="W1480" s="2" t="s">
        <v>4625</v>
      </c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 spans="1:38" ht="12.75" customHeight="1">
      <c r="A1481" s="15">
        <v>1481</v>
      </c>
      <c r="B1481" s="736" t="s">
        <v>3086</v>
      </c>
      <c r="C1481" s="16" t="s">
        <v>4525</v>
      </c>
      <c r="D1481" s="2" t="s">
        <v>3139</v>
      </c>
      <c r="E1481" s="2" t="s">
        <v>3144</v>
      </c>
      <c r="F1481" s="2" t="s">
        <v>4526</v>
      </c>
      <c r="G1481" s="17">
        <v>47114304</v>
      </c>
      <c r="H1481" s="2" t="s">
        <v>4496</v>
      </c>
      <c r="I1481" s="2" t="s">
        <v>4527</v>
      </c>
      <c r="J1481" s="2" t="s">
        <v>4498</v>
      </c>
      <c r="K1481" s="18">
        <v>44655</v>
      </c>
      <c r="L1481" s="18">
        <v>44927</v>
      </c>
      <c r="M1481" s="18">
        <v>46752</v>
      </c>
      <c r="N1481" s="1">
        <v>1</v>
      </c>
      <c r="O1481" s="19">
        <v>0</v>
      </c>
      <c r="P1481" s="18">
        <v>46752</v>
      </c>
      <c r="Q1481" s="19"/>
      <c r="R1481" s="772"/>
      <c r="S1481" s="18"/>
      <c r="T1481" s="2"/>
      <c r="U1481" s="2"/>
      <c r="V1481" s="2"/>
      <c r="W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 spans="1:38" ht="12.75" customHeight="1">
      <c r="A1482" s="15">
        <v>1482</v>
      </c>
      <c r="B1482" s="736" t="s">
        <v>3086</v>
      </c>
      <c r="C1482" s="16" t="s">
        <v>4528</v>
      </c>
      <c r="D1482" s="2" t="s">
        <v>3139</v>
      </c>
      <c r="E1482" s="2" t="s">
        <v>3144</v>
      </c>
      <c r="F1482" s="2" t="s">
        <v>4529</v>
      </c>
      <c r="G1482" s="17">
        <v>47673036</v>
      </c>
      <c r="H1482" s="2" t="s">
        <v>4496</v>
      </c>
      <c r="I1482" s="2" t="s">
        <v>4530</v>
      </c>
      <c r="J1482" s="2" t="s">
        <v>4498</v>
      </c>
      <c r="K1482" s="18">
        <v>37792</v>
      </c>
      <c r="L1482" s="18">
        <v>37773</v>
      </c>
      <c r="M1482" s="18">
        <v>46904</v>
      </c>
      <c r="N1482" s="1">
        <v>1</v>
      </c>
      <c r="O1482" s="19">
        <v>0</v>
      </c>
      <c r="P1482" s="18">
        <v>46904</v>
      </c>
      <c r="Q1482" s="19"/>
      <c r="R1482" s="772"/>
      <c r="S1482" s="18"/>
      <c r="T1482" s="2"/>
      <c r="U1482" s="2"/>
      <c r="V1482" s="2"/>
      <c r="W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 spans="1:38" ht="12.75" customHeight="1">
      <c r="A1483" s="15">
        <v>1483</v>
      </c>
      <c r="B1483" s="736" t="s">
        <v>3086</v>
      </c>
      <c r="C1483" s="16" t="s">
        <v>4531</v>
      </c>
      <c r="D1483" s="2" t="s">
        <v>3087</v>
      </c>
      <c r="E1483" s="2" t="s">
        <v>3093</v>
      </c>
      <c r="F1483" s="2" t="s">
        <v>3873</v>
      </c>
      <c r="G1483" s="17">
        <v>64581</v>
      </c>
      <c r="H1483" s="96" t="s">
        <v>510</v>
      </c>
      <c r="I1483" s="2" t="s">
        <v>4532</v>
      </c>
      <c r="J1483" s="2" t="s">
        <v>4533</v>
      </c>
      <c r="K1483" s="18">
        <v>41501</v>
      </c>
      <c r="L1483" s="18">
        <v>41501</v>
      </c>
      <c r="M1483" s="18">
        <v>2958465</v>
      </c>
      <c r="N1483" s="1"/>
      <c r="O1483" s="19">
        <v>0</v>
      </c>
      <c r="P1483" s="18">
        <v>2958465</v>
      </c>
      <c r="Q1483" s="19"/>
      <c r="R1483" s="772"/>
      <c r="S1483" s="18"/>
      <c r="T1483" s="2"/>
      <c r="U1483" s="2">
        <v>3</v>
      </c>
      <c r="V1483" s="2" t="s">
        <v>4625</v>
      </c>
      <c r="W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</row>
    <row r="1484" spans="1:38" ht="12.75" customHeight="1">
      <c r="A1484" s="15">
        <v>1484</v>
      </c>
      <c r="B1484" s="736" t="s">
        <v>3086</v>
      </c>
      <c r="C1484" s="16" t="s">
        <v>4534</v>
      </c>
      <c r="D1484" s="2" t="s">
        <v>3121</v>
      </c>
      <c r="E1484" s="2" t="s">
        <v>3117</v>
      </c>
      <c r="F1484" s="2" t="s">
        <v>3671</v>
      </c>
      <c r="G1484" s="17">
        <v>9692142</v>
      </c>
      <c r="H1484" s="2" t="s">
        <v>3982</v>
      </c>
      <c r="I1484" s="2" t="s">
        <v>4535</v>
      </c>
      <c r="J1484" s="2" t="s">
        <v>4536</v>
      </c>
      <c r="K1484" s="18">
        <v>45495</v>
      </c>
      <c r="L1484" s="18">
        <v>45495</v>
      </c>
      <c r="M1484" s="18">
        <v>46955</v>
      </c>
      <c r="N1484" s="1">
        <v>6</v>
      </c>
      <c r="O1484" s="19">
        <v>2407900</v>
      </c>
      <c r="P1484" s="18">
        <v>46955</v>
      </c>
      <c r="Q1484" s="19">
        <v>2407900</v>
      </c>
      <c r="R1484" s="772" t="s">
        <v>4537</v>
      </c>
      <c r="S1484" s="18">
        <v>45496</v>
      </c>
      <c r="T1484" s="2"/>
      <c r="U1484" s="2">
        <v>6</v>
      </c>
      <c r="V1484" s="2" t="s">
        <v>4625</v>
      </c>
      <c r="W1484" s="2" t="s">
        <v>4625</v>
      </c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 spans="1:38" ht="12.75" customHeight="1">
      <c r="A1485" s="15">
        <v>1485</v>
      </c>
      <c r="B1485" s="736" t="s">
        <v>1555</v>
      </c>
      <c r="C1485" s="16" t="s">
        <v>4538</v>
      </c>
      <c r="D1485" s="2" t="s">
        <v>3087</v>
      </c>
      <c r="E1485" s="2" t="s">
        <v>4294</v>
      </c>
      <c r="F1485" s="2" t="s">
        <v>4151</v>
      </c>
      <c r="G1485" s="17">
        <v>10081</v>
      </c>
      <c r="H1485" s="96" t="s">
        <v>830</v>
      </c>
      <c r="I1485" s="2" t="s">
        <v>4539</v>
      </c>
      <c r="J1485" s="2" t="s">
        <v>4540</v>
      </c>
      <c r="K1485" s="18">
        <v>45464</v>
      </c>
      <c r="L1485" s="18">
        <v>45536</v>
      </c>
      <c r="M1485" s="18">
        <v>45565</v>
      </c>
      <c r="N1485" s="1">
        <v>7</v>
      </c>
      <c r="O1485" s="19">
        <v>2500</v>
      </c>
      <c r="P1485" s="18">
        <v>45565</v>
      </c>
      <c r="Q1485" s="19"/>
      <c r="R1485" s="772"/>
      <c r="S1485" s="18"/>
      <c r="T1485" s="2"/>
      <c r="U1485" s="2"/>
      <c r="V1485" s="2" t="s">
        <v>4625</v>
      </c>
      <c r="W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</row>
    <row r="1486" spans="1:38" ht="12.75" customHeight="1">
      <c r="A1486" s="15">
        <v>1486</v>
      </c>
      <c r="B1486" s="742" t="s">
        <v>1555</v>
      </c>
      <c r="C1486" s="16" t="s">
        <v>4541</v>
      </c>
      <c r="D1486" s="2" t="s">
        <v>3087</v>
      </c>
      <c r="E1486" s="2" t="s">
        <v>3103</v>
      </c>
      <c r="F1486" s="2" t="s">
        <v>4542</v>
      </c>
      <c r="G1486" s="17">
        <v>232904</v>
      </c>
      <c r="H1486" s="2" t="s">
        <v>180</v>
      </c>
      <c r="I1486" s="2" t="s">
        <v>4543</v>
      </c>
      <c r="J1486" s="2" t="s">
        <v>4544</v>
      </c>
      <c r="K1486" s="18">
        <v>45467</v>
      </c>
      <c r="L1486" s="18">
        <v>45467</v>
      </c>
      <c r="M1486" s="18">
        <v>45467</v>
      </c>
      <c r="N1486" s="1">
        <v>7</v>
      </c>
      <c r="O1486" s="19">
        <v>0</v>
      </c>
      <c r="P1486" s="18">
        <v>45467</v>
      </c>
      <c r="Q1486" s="19"/>
      <c r="R1486" s="772"/>
      <c r="S1486" s="18"/>
      <c r="T1486" s="2"/>
      <c r="U1486" s="2"/>
      <c r="V1486" s="2" t="s">
        <v>3091</v>
      </c>
      <c r="W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 spans="1:38" ht="12.75" customHeight="1">
      <c r="A1487" s="15">
        <v>1487</v>
      </c>
      <c r="B1487" s="742" t="s">
        <v>1555</v>
      </c>
      <c r="C1487" s="16" t="s">
        <v>4545</v>
      </c>
      <c r="D1487" s="2" t="s">
        <v>3110</v>
      </c>
      <c r="E1487" s="2" t="s">
        <v>3123</v>
      </c>
      <c r="F1487" s="2" t="s">
        <v>3693</v>
      </c>
      <c r="G1487" s="17">
        <v>6647561</v>
      </c>
      <c r="H1487" s="2" t="s">
        <v>250</v>
      </c>
      <c r="I1487" s="2" t="s">
        <v>4546</v>
      </c>
      <c r="J1487" s="2" t="s">
        <v>4547</v>
      </c>
      <c r="K1487" s="18">
        <v>45470</v>
      </c>
      <c r="L1487" s="18">
        <v>45470</v>
      </c>
      <c r="M1487" s="18">
        <v>45535</v>
      </c>
      <c r="N1487" s="1">
        <v>1</v>
      </c>
      <c r="O1487" s="19">
        <v>82280</v>
      </c>
      <c r="P1487" s="18">
        <v>45535</v>
      </c>
      <c r="Q1487" s="19">
        <v>82280</v>
      </c>
      <c r="R1487" s="772" t="s">
        <v>4548</v>
      </c>
      <c r="S1487" s="18">
        <v>45470</v>
      </c>
      <c r="T1487" s="2"/>
      <c r="U1487" s="2"/>
      <c r="V1487" s="2"/>
      <c r="W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</row>
    <row r="1488" spans="1:38" ht="12.75" customHeight="1">
      <c r="A1488" s="15">
        <v>1488</v>
      </c>
      <c r="B1488" s="742" t="s">
        <v>1555</v>
      </c>
      <c r="C1488" s="16" t="s">
        <v>4549</v>
      </c>
      <c r="D1488" s="2" t="s">
        <v>3087</v>
      </c>
      <c r="E1488" s="2" t="s">
        <v>3958</v>
      </c>
      <c r="F1488" s="2" t="s">
        <v>3862</v>
      </c>
      <c r="G1488" s="17">
        <v>177041</v>
      </c>
      <c r="H1488" s="2" t="s">
        <v>4550</v>
      </c>
      <c r="I1488" s="2" t="s">
        <v>4551</v>
      </c>
      <c r="J1488" s="2" t="s">
        <v>4551</v>
      </c>
      <c r="K1488" s="18">
        <v>45474</v>
      </c>
      <c r="L1488" s="18">
        <v>45475</v>
      </c>
      <c r="M1488" s="18">
        <v>45475</v>
      </c>
      <c r="N1488" s="1">
        <v>7</v>
      </c>
      <c r="O1488" s="19">
        <v>0</v>
      </c>
      <c r="P1488" s="18">
        <v>45475</v>
      </c>
      <c r="Q1488" s="19">
        <v>218000</v>
      </c>
      <c r="R1488" s="772" t="s">
        <v>4552</v>
      </c>
      <c r="S1488" s="18">
        <v>45475</v>
      </c>
      <c r="T1488" s="2"/>
      <c r="U1488" s="2"/>
      <c r="V1488" s="2" t="s">
        <v>3091</v>
      </c>
      <c r="W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</row>
    <row r="1489" spans="1:38" ht="12.75" customHeight="1">
      <c r="A1489" s="15">
        <v>1489</v>
      </c>
      <c r="B1489" s="736" t="s">
        <v>1555</v>
      </c>
      <c r="C1489" s="16" t="s">
        <v>4553</v>
      </c>
      <c r="D1489" s="2" t="s">
        <v>3087</v>
      </c>
      <c r="E1489" s="2" t="s">
        <v>3103</v>
      </c>
      <c r="F1489" s="2" t="s">
        <v>4554</v>
      </c>
      <c r="G1489" s="17">
        <v>19609914</v>
      </c>
      <c r="H1489" s="2" t="s">
        <v>180</v>
      </c>
      <c r="I1489" s="2" t="s">
        <v>4555</v>
      </c>
      <c r="J1489" s="2" t="s">
        <v>4555</v>
      </c>
      <c r="K1489" s="18">
        <v>45470</v>
      </c>
      <c r="L1489" s="18">
        <v>45473</v>
      </c>
      <c r="M1489" s="18">
        <v>45473</v>
      </c>
      <c r="N1489" s="1">
        <v>7</v>
      </c>
      <c r="O1489" s="19">
        <v>5730</v>
      </c>
      <c r="P1489" s="18">
        <v>45473</v>
      </c>
      <c r="Q1489" s="19"/>
      <c r="R1489" s="772"/>
      <c r="S1489" s="18"/>
      <c r="T1489" s="2"/>
      <c r="U1489" s="2"/>
      <c r="V1489" s="2" t="s">
        <v>3091</v>
      </c>
      <c r="W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 spans="1:38" ht="12.75" customHeight="1">
      <c r="A1490" s="15">
        <v>1490</v>
      </c>
      <c r="B1490" s="736" t="s">
        <v>1555</v>
      </c>
      <c r="C1490" s="16" t="s">
        <v>4556</v>
      </c>
      <c r="D1490" s="2" t="s">
        <v>3087</v>
      </c>
      <c r="E1490" s="2" t="s">
        <v>4854</v>
      </c>
      <c r="F1490" s="2" t="s">
        <v>4557</v>
      </c>
      <c r="G1490" s="17">
        <v>27429385</v>
      </c>
      <c r="H1490" s="2" t="s">
        <v>4194</v>
      </c>
      <c r="I1490" s="2" t="s">
        <v>4558</v>
      </c>
      <c r="J1490" s="2" t="s">
        <v>4559</v>
      </c>
      <c r="K1490" s="18">
        <v>45476</v>
      </c>
      <c r="L1490" s="18">
        <v>45476</v>
      </c>
      <c r="M1490" s="18">
        <v>45476</v>
      </c>
      <c r="N1490" s="1">
        <v>7</v>
      </c>
      <c r="O1490" s="19">
        <v>0</v>
      </c>
      <c r="P1490" s="18">
        <v>45476</v>
      </c>
      <c r="Q1490" s="19">
        <v>71991</v>
      </c>
      <c r="R1490" s="772" t="s">
        <v>4560</v>
      </c>
      <c r="S1490" s="18">
        <v>45476</v>
      </c>
      <c r="T1490" s="2" t="s">
        <v>4561</v>
      </c>
      <c r="U1490" s="2"/>
      <c r="V1490" s="2" t="s">
        <v>3091</v>
      </c>
      <c r="W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</row>
    <row r="1491" spans="1:38" ht="12.75" customHeight="1">
      <c r="A1491" s="15">
        <v>1491</v>
      </c>
      <c r="B1491" s="736" t="s">
        <v>1555</v>
      </c>
      <c r="C1491" s="16" t="s">
        <v>4562</v>
      </c>
      <c r="D1491" s="2" t="s">
        <v>3087</v>
      </c>
      <c r="E1491" s="2" t="s">
        <v>3093</v>
      </c>
      <c r="F1491" s="2" t="s">
        <v>4563</v>
      </c>
      <c r="G1491" s="17">
        <v>48134821</v>
      </c>
      <c r="H1491" s="96" t="s">
        <v>510</v>
      </c>
      <c r="I1491" s="2" t="s">
        <v>4564</v>
      </c>
      <c r="J1491" s="2" t="s">
        <v>4565</v>
      </c>
      <c r="K1491" s="18">
        <v>45477</v>
      </c>
      <c r="L1491" s="18">
        <v>45474</v>
      </c>
      <c r="M1491" s="18">
        <v>45535</v>
      </c>
      <c r="N1491" s="1">
        <v>7</v>
      </c>
      <c r="O1491" s="19">
        <v>50000</v>
      </c>
      <c r="P1491" s="18">
        <v>45535</v>
      </c>
      <c r="Q1491" s="19"/>
      <c r="R1491" s="772"/>
      <c r="S1491" s="18"/>
      <c r="T1491" s="2"/>
      <c r="U1491" s="2"/>
      <c r="V1491" s="2" t="s">
        <v>4625</v>
      </c>
      <c r="W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 spans="1:38" ht="12.75" customHeight="1">
      <c r="A1492" s="15">
        <v>1492</v>
      </c>
      <c r="B1492" s="736" t="s">
        <v>3086</v>
      </c>
      <c r="C1492" s="16" t="s">
        <v>4566</v>
      </c>
      <c r="D1492" s="2" t="s">
        <v>3116</v>
      </c>
      <c r="E1492" s="2" t="s">
        <v>3093</v>
      </c>
      <c r="F1492" s="2" t="s">
        <v>3140</v>
      </c>
      <c r="G1492" s="17">
        <v>70891095</v>
      </c>
      <c r="H1492" s="96" t="s">
        <v>510</v>
      </c>
      <c r="I1492" s="2" t="s">
        <v>4567</v>
      </c>
      <c r="J1492" s="2" t="s">
        <v>4568</v>
      </c>
      <c r="K1492" s="18">
        <v>45481</v>
      </c>
      <c r="L1492" s="18">
        <v>45481</v>
      </c>
      <c r="M1492" s="18">
        <v>47848</v>
      </c>
      <c r="N1492" s="1"/>
      <c r="O1492" s="19">
        <v>0</v>
      </c>
      <c r="P1492" s="18">
        <v>47848</v>
      </c>
      <c r="Q1492" s="19"/>
      <c r="R1492" s="772"/>
      <c r="S1492" s="18"/>
      <c r="T1492" s="2"/>
      <c r="U1492" s="3">
        <v>3</v>
      </c>
      <c r="V1492" s="2" t="s">
        <v>4625</v>
      </c>
      <c r="W1492" s="2" t="s">
        <v>4625</v>
      </c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 spans="1:38" ht="12.75" customHeight="1">
      <c r="A1493" s="15">
        <v>1493</v>
      </c>
      <c r="B1493" s="736" t="s">
        <v>1555</v>
      </c>
      <c r="C1493" s="16" t="s">
        <v>4569</v>
      </c>
      <c r="D1493" s="2" t="s">
        <v>3087</v>
      </c>
      <c r="E1493" s="2" t="s">
        <v>4294</v>
      </c>
      <c r="F1493" s="2" t="s">
        <v>4570</v>
      </c>
      <c r="G1493" s="17">
        <v>10303</v>
      </c>
      <c r="H1493" s="96" t="s">
        <v>830</v>
      </c>
      <c r="I1493" s="2" t="s">
        <v>4571</v>
      </c>
      <c r="J1493" s="2" t="s">
        <v>4572</v>
      </c>
      <c r="K1493" s="18">
        <v>45471</v>
      </c>
      <c r="L1493" s="18">
        <v>45495</v>
      </c>
      <c r="M1493" s="18">
        <v>45508</v>
      </c>
      <c r="N1493" s="1">
        <v>7</v>
      </c>
      <c r="O1493" s="19">
        <v>0</v>
      </c>
      <c r="P1493" s="18">
        <v>45508</v>
      </c>
      <c r="Q1493" s="19"/>
      <c r="R1493" s="772"/>
      <c r="S1493" s="18"/>
      <c r="T1493" s="2"/>
      <c r="U1493" s="2"/>
      <c r="V1493" s="2" t="s">
        <v>4625</v>
      </c>
      <c r="W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</row>
    <row r="1494" spans="1:38" ht="12.75" customHeight="1">
      <c r="A1494" s="15">
        <v>1494</v>
      </c>
      <c r="B1494" s="736" t="s">
        <v>1555</v>
      </c>
      <c r="C1494" s="16" t="s">
        <v>4573</v>
      </c>
      <c r="D1494" s="2" t="s">
        <v>3087</v>
      </c>
      <c r="E1494" s="2" t="s">
        <v>4294</v>
      </c>
      <c r="F1494" s="2" t="s">
        <v>4574</v>
      </c>
      <c r="G1494" s="17">
        <v>2250969</v>
      </c>
      <c r="H1494" s="96" t="s">
        <v>830</v>
      </c>
      <c r="I1494" s="2" t="s">
        <v>4575</v>
      </c>
      <c r="J1494" s="2" t="s">
        <v>4576</v>
      </c>
      <c r="K1494" s="18">
        <v>45472</v>
      </c>
      <c r="L1494" s="18">
        <v>45474</v>
      </c>
      <c r="M1494" s="18">
        <v>45657</v>
      </c>
      <c r="N1494" s="1">
        <v>7</v>
      </c>
      <c r="O1494" s="19">
        <v>4200</v>
      </c>
      <c r="P1494" s="18">
        <v>45657</v>
      </c>
      <c r="Q1494" s="19"/>
      <c r="R1494" s="772"/>
      <c r="S1494" s="18"/>
      <c r="T1494" s="2"/>
      <c r="U1494" s="2"/>
      <c r="V1494" s="2"/>
      <c r="W1494" s="2"/>
      <c r="Y1494" s="2"/>
      <c r="Z1494" s="2" t="s">
        <v>4740</v>
      </c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 spans="1:38" ht="12.75" customHeight="1">
      <c r="A1495" s="15">
        <v>1495</v>
      </c>
      <c r="B1495" s="736" t="s">
        <v>1555</v>
      </c>
      <c r="C1495" s="16" t="s">
        <v>4577</v>
      </c>
      <c r="D1495" s="2" t="s">
        <v>3087</v>
      </c>
      <c r="E1495" s="2" t="s">
        <v>4294</v>
      </c>
      <c r="F1495" s="2" t="s">
        <v>4273</v>
      </c>
      <c r="G1495" s="17">
        <v>10166</v>
      </c>
      <c r="H1495" s="96" t="s">
        <v>830</v>
      </c>
      <c r="I1495" s="2" t="s">
        <v>4578</v>
      </c>
      <c r="J1495" s="2" t="s">
        <v>4579</v>
      </c>
      <c r="K1495" s="18">
        <v>45474</v>
      </c>
      <c r="L1495" s="18">
        <v>45495</v>
      </c>
      <c r="M1495" s="18">
        <v>45506</v>
      </c>
      <c r="N1495" s="1">
        <v>7</v>
      </c>
      <c r="O1495" s="19">
        <v>3500</v>
      </c>
      <c r="P1495" s="18">
        <v>45506</v>
      </c>
      <c r="Q1495" s="19"/>
      <c r="R1495" s="772"/>
      <c r="S1495" s="18"/>
      <c r="T1495" s="2"/>
      <c r="U1495" s="2"/>
      <c r="V1495" s="2" t="s">
        <v>4625</v>
      </c>
      <c r="W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</row>
    <row r="1496" spans="1:38" ht="12.75" customHeight="1">
      <c r="A1496" s="15">
        <v>1496</v>
      </c>
      <c r="B1496" s="736" t="s">
        <v>3086</v>
      </c>
      <c r="C1496" s="16" t="s">
        <v>4580</v>
      </c>
      <c r="D1496" s="2" t="s">
        <v>3087</v>
      </c>
      <c r="E1496" s="2" t="s">
        <v>4294</v>
      </c>
      <c r="F1496" s="2" t="s">
        <v>3592</v>
      </c>
      <c r="G1496" s="17">
        <v>25053370</v>
      </c>
      <c r="H1496" s="96" t="s">
        <v>830</v>
      </c>
      <c r="I1496" s="2" t="s">
        <v>4581</v>
      </c>
      <c r="J1496" s="2" t="s">
        <v>4582</v>
      </c>
      <c r="K1496" s="18">
        <v>45491</v>
      </c>
      <c r="L1496" s="18">
        <v>45492</v>
      </c>
      <c r="M1496" s="18">
        <v>47317</v>
      </c>
      <c r="N1496" s="1">
        <v>7</v>
      </c>
      <c r="O1496" s="19">
        <v>82500</v>
      </c>
      <c r="P1496" s="18">
        <v>47317</v>
      </c>
      <c r="Q1496" s="19">
        <v>412500</v>
      </c>
      <c r="R1496" s="772" t="s">
        <v>4583</v>
      </c>
      <c r="S1496" s="18">
        <v>45492</v>
      </c>
      <c r="T1496" s="2"/>
      <c r="U1496" s="2">
        <v>3</v>
      </c>
      <c r="V1496" s="2" t="s">
        <v>4625</v>
      </c>
      <c r="W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 spans="1:38" ht="12.75" customHeight="1">
      <c r="A1497" s="15">
        <v>1497</v>
      </c>
      <c r="B1497" s="736" t="s">
        <v>3086</v>
      </c>
      <c r="C1497" s="16" t="s">
        <v>4584</v>
      </c>
      <c r="D1497" s="2" t="s">
        <v>3087</v>
      </c>
      <c r="E1497" s="2" t="s">
        <v>3202</v>
      </c>
      <c r="F1497" s="2" t="s">
        <v>3424</v>
      </c>
      <c r="G1497" s="17">
        <v>27529053</v>
      </c>
      <c r="H1497" s="2" t="s">
        <v>385</v>
      </c>
      <c r="I1497" s="2" t="s">
        <v>4585</v>
      </c>
      <c r="J1497" s="2" t="s">
        <v>4586</v>
      </c>
      <c r="K1497" s="18">
        <v>45491</v>
      </c>
      <c r="L1497" s="18">
        <v>45492</v>
      </c>
      <c r="M1497" s="18">
        <v>46221</v>
      </c>
      <c r="N1497" s="1">
        <v>6</v>
      </c>
      <c r="O1497" s="19">
        <v>784000</v>
      </c>
      <c r="P1497" s="18">
        <v>46221</v>
      </c>
      <c r="Q1497" s="19">
        <v>784000</v>
      </c>
      <c r="R1497" s="772" t="s">
        <v>4587</v>
      </c>
      <c r="S1497" s="18">
        <v>45492</v>
      </c>
      <c r="T1497" s="2"/>
      <c r="U1497" s="2">
        <v>3</v>
      </c>
      <c r="V1497" s="2" t="s">
        <v>4625</v>
      </c>
      <c r="W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 spans="1:38" ht="12.75" customHeight="1">
      <c r="A1498" s="15">
        <v>1498</v>
      </c>
      <c r="B1498" s="736" t="s">
        <v>1555</v>
      </c>
      <c r="C1498" s="16" t="s">
        <v>4588</v>
      </c>
      <c r="D1498" s="2" t="s">
        <v>3110</v>
      </c>
      <c r="E1498" s="2" t="s">
        <v>3369</v>
      </c>
      <c r="F1498" s="2" t="s">
        <v>3928</v>
      </c>
      <c r="G1498" s="17">
        <v>44265778</v>
      </c>
      <c r="H1498" s="2" t="s">
        <v>482</v>
      </c>
      <c r="I1498" s="2" t="s">
        <v>4589</v>
      </c>
      <c r="J1498" s="2" t="s">
        <v>4590</v>
      </c>
      <c r="K1498" s="18">
        <v>45488</v>
      </c>
      <c r="L1498" s="18">
        <v>45488</v>
      </c>
      <c r="M1498" s="18">
        <v>45516</v>
      </c>
      <c r="N1498" s="1">
        <v>7</v>
      </c>
      <c r="O1498" s="19">
        <v>538000</v>
      </c>
      <c r="P1498" s="18">
        <v>45516</v>
      </c>
      <c r="Q1498" s="19">
        <v>538000</v>
      </c>
      <c r="R1498" s="772" t="s">
        <v>4591</v>
      </c>
      <c r="S1498" s="18">
        <v>45488</v>
      </c>
      <c r="T1498" s="2"/>
      <c r="U1498" s="2"/>
      <c r="V1498" s="2"/>
      <c r="W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</row>
    <row r="1499" spans="1:38" ht="12.75" customHeight="1">
      <c r="A1499" s="15">
        <v>1499</v>
      </c>
      <c r="B1499" s="736" t="s">
        <v>1555</v>
      </c>
      <c r="C1499" s="16" t="s">
        <v>4592</v>
      </c>
      <c r="D1499" s="2" t="s">
        <v>3116</v>
      </c>
      <c r="E1499" s="2" t="s">
        <v>3958</v>
      </c>
      <c r="F1499" s="2" t="s">
        <v>3249</v>
      </c>
      <c r="G1499" s="17">
        <v>60193336</v>
      </c>
      <c r="H1499" s="2" t="s">
        <v>4550</v>
      </c>
      <c r="I1499" s="2" t="s">
        <v>4593</v>
      </c>
      <c r="J1499" s="2" t="s">
        <v>4594</v>
      </c>
      <c r="K1499" s="18">
        <v>45488</v>
      </c>
      <c r="L1499" s="18">
        <v>45488</v>
      </c>
      <c r="M1499" s="18">
        <v>45813</v>
      </c>
      <c r="N1499" s="1">
        <v>7</v>
      </c>
      <c r="O1499" s="19">
        <v>876587.87</v>
      </c>
      <c r="P1499" s="18">
        <v>45813</v>
      </c>
      <c r="Q1499" s="19">
        <v>876587.87</v>
      </c>
      <c r="R1499" s="772" t="s">
        <v>4595</v>
      </c>
      <c r="S1499" s="18">
        <v>45488</v>
      </c>
      <c r="T1499" s="2"/>
      <c r="U1499" s="3">
        <v>3</v>
      </c>
      <c r="V1499" s="2" t="s">
        <v>4625</v>
      </c>
      <c r="W1499" s="2" t="s">
        <v>4625</v>
      </c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</row>
    <row r="1500" spans="1:38" ht="12.75" customHeight="1">
      <c r="A1500" s="15">
        <v>1500</v>
      </c>
      <c r="B1500" s="736" t="s">
        <v>3086</v>
      </c>
      <c r="C1500" s="16" t="s">
        <v>4596</v>
      </c>
      <c r="D1500" s="2" t="s">
        <v>3110</v>
      </c>
      <c r="E1500" s="2" t="s">
        <v>3958</v>
      </c>
      <c r="F1500" s="2" t="s">
        <v>3457</v>
      </c>
      <c r="G1500" s="17">
        <v>27253236</v>
      </c>
      <c r="H1500" s="2" t="s">
        <v>4194</v>
      </c>
      <c r="I1500" s="2" t="s">
        <v>4597</v>
      </c>
      <c r="J1500" s="2" t="s">
        <v>4194</v>
      </c>
      <c r="K1500" s="18">
        <v>45510</v>
      </c>
      <c r="L1500" s="18">
        <v>45512</v>
      </c>
      <c r="M1500" s="18">
        <v>2958465</v>
      </c>
      <c r="N1500" s="1">
        <v>7</v>
      </c>
      <c r="O1500" s="19"/>
      <c r="P1500" s="18">
        <v>2958465</v>
      </c>
      <c r="Q1500" s="19"/>
      <c r="R1500" s="772" t="s">
        <v>4679</v>
      </c>
      <c r="S1500" s="18">
        <v>45512</v>
      </c>
      <c r="T1500" s="2"/>
      <c r="U1500" s="2"/>
      <c r="V1500" s="2" t="s">
        <v>4625</v>
      </c>
      <c r="W1500" s="2" t="s">
        <v>4625</v>
      </c>
      <c r="X1500" s="653" t="s">
        <v>5021</v>
      </c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</row>
    <row r="1501" spans="1:38" ht="12.75" customHeight="1">
      <c r="A1501" s="15">
        <v>1501</v>
      </c>
      <c r="B1501" s="736" t="s">
        <v>1555</v>
      </c>
      <c r="C1501" s="16" t="s">
        <v>4598</v>
      </c>
      <c r="D1501" s="2" t="s">
        <v>3087</v>
      </c>
      <c r="E1501" s="2" t="s">
        <v>4294</v>
      </c>
      <c r="F1501" s="2" t="s">
        <v>4599</v>
      </c>
      <c r="G1501" s="17">
        <v>8284</v>
      </c>
      <c r="H1501" s="96" t="s">
        <v>830</v>
      </c>
      <c r="I1501" s="2" t="s">
        <v>4600</v>
      </c>
      <c r="J1501" s="2" t="s">
        <v>4600</v>
      </c>
      <c r="K1501" s="18">
        <v>45481</v>
      </c>
      <c r="L1501" s="18">
        <v>45482</v>
      </c>
      <c r="M1501" s="18">
        <v>45483</v>
      </c>
      <c r="N1501" s="1">
        <v>7</v>
      </c>
      <c r="O1501" s="19">
        <v>1000</v>
      </c>
      <c r="P1501" s="18">
        <v>45483</v>
      </c>
      <c r="Q1501" s="19"/>
      <c r="R1501" s="772"/>
      <c r="S1501" s="18"/>
      <c r="T1501" s="2"/>
      <c r="U1501" s="2"/>
      <c r="V1501" s="2" t="s">
        <v>4625</v>
      </c>
      <c r="W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</row>
    <row r="1502" spans="1:38" ht="12.75" customHeight="1">
      <c r="A1502" s="15">
        <v>1502</v>
      </c>
      <c r="B1502" s="736" t="s">
        <v>3086</v>
      </c>
      <c r="C1502" s="16" t="s">
        <v>4601</v>
      </c>
      <c r="D1502" s="2" t="s">
        <v>3087</v>
      </c>
      <c r="E1502" s="2" t="s">
        <v>3202</v>
      </c>
      <c r="F1502" s="2" t="s">
        <v>3381</v>
      </c>
      <c r="G1502" s="17">
        <v>28849809</v>
      </c>
      <c r="H1502" s="2" t="s">
        <v>385</v>
      </c>
      <c r="I1502" s="2" t="s">
        <v>4681</v>
      </c>
      <c r="J1502" s="2" t="s">
        <v>4602</v>
      </c>
      <c r="K1502" s="18">
        <v>45510</v>
      </c>
      <c r="L1502" s="18">
        <v>45511</v>
      </c>
      <c r="M1502" s="18">
        <v>46605</v>
      </c>
      <c r="N1502" s="1">
        <v>6</v>
      </c>
      <c r="O1502" s="19">
        <v>2178000</v>
      </c>
      <c r="P1502" s="18">
        <v>46605</v>
      </c>
      <c r="Q1502" s="19">
        <v>2178000</v>
      </c>
      <c r="R1502" s="772" t="s">
        <v>4677</v>
      </c>
      <c r="S1502" s="18">
        <v>45511</v>
      </c>
      <c r="T1502" s="2"/>
      <c r="U1502" s="2">
        <v>3</v>
      </c>
      <c r="V1502" s="2" t="s">
        <v>4625</v>
      </c>
      <c r="W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 spans="1:38" ht="12.75" customHeight="1">
      <c r="A1503" s="15">
        <v>1503</v>
      </c>
      <c r="B1503" s="736" t="s">
        <v>1555</v>
      </c>
      <c r="C1503" s="16" t="s">
        <v>4603</v>
      </c>
      <c r="D1503" s="2" t="s">
        <v>3110</v>
      </c>
      <c r="E1503" s="2" t="s">
        <v>3369</v>
      </c>
      <c r="F1503" s="2" t="s">
        <v>3928</v>
      </c>
      <c r="G1503" s="17">
        <v>44265778</v>
      </c>
      <c r="H1503" s="2" t="s">
        <v>482</v>
      </c>
      <c r="I1503" s="2" t="s">
        <v>4604</v>
      </c>
      <c r="J1503" s="2" t="s">
        <v>4605</v>
      </c>
      <c r="K1503" s="18">
        <v>45491</v>
      </c>
      <c r="L1503" s="18">
        <v>45492</v>
      </c>
      <c r="M1503" s="18">
        <v>45511</v>
      </c>
      <c r="N1503" s="1">
        <v>7</v>
      </c>
      <c r="O1503" s="19">
        <v>232000</v>
      </c>
      <c r="P1503" s="18">
        <v>45511</v>
      </c>
      <c r="Q1503" s="19">
        <v>232000</v>
      </c>
      <c r="R1503" s="772" t="s">
        <v>4606</v>
      </c>
      <c r="S1503" s="18">
        <v>45492</v>
      </c>
      <c r="T1503" s="2"/>
      <c r="U1503" s="2"/>
      <c r="V1503" s="2"/>
      <c r="W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 spans="1:38" ht="12.75" customHeight="1">
      <c r="A1504" s="15">
        <v>1504</v>
      </c>
      <c r="B1504" s="736" t="s">
        <v>1555</v>
      </c>
      <c r="C1504" s="16" t="s">
        <v>4607</v>
      </c>
      <c r="D1504" s="2" t="s">
        <v>3110</v>
      </c>
      <c r="E1504" s="2" t="s">
        <v>3369</v>
      </c>
      <c r="F1504" s="2" t="s">
        <v>3427</v>
      </c>
      <c r="G1504" s="17">
        <v>27430961</v>
      </c>
      <c r="H1504" s="2" t="s">
        <v>482</v>
      </c>
      <c r="I1504" s="2" t="s">
        <v>945</v>
      </c>
      <c r="J1504" s="2" t="s">
        <v>4608</v>
      </c>
      <c r="K1504" s="18">
        <v>45322</v>
      </c>
      <c r="L1504" s="18">
        <v>45322</v>
      </c>
      <c r="M1504" s="18">
        <v>45332</v>
      </c>
      <c r="N1504" s="1">
        <v>7</v>
      </c>
      <c r="O1504" s="19">
        <v>161000</v>
      </c>
      <c r="P1504" s="18">
        <v>45332</v>
      </c>
      <c r="Q1504" s="19">
        <v>161000</v>
      </c>
      <c r="R1504" s="772" t="s">
        <v>946</v>
      </c>
      <c r="S1504" s="18">
        <v>45322</v>
      </c>
      <c r="T1504" s="2"/>
      <c r="U1504" s="2"/>
      <c r="V1504" s="2"/>
      <c r="W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 spans="1:38" ht="12.75" customHeight="1">
      <c r="A1505" s="15">
        <v>1505</v>
      </c>
      <c r="B1505" s="736" t="s">
        <v>3086</v>
      </c>
      <c r="C1505" s="16" t="s">
        <v>4609</v>
      </c>
      <c r="D1505" s="2" t="s">
        <v>3139</v>
      </c>
      <c r="E1505" s="2" t="s">
        <v>3117</v>
      </c>
      <c r="F1505" s="2" t="s">
        <v>3504</v>
      </c>
      <c r="G1505" s="17">
        <v>26746131</v>
      </c>
      <c r="H1505" s="2" t="s">
        <v>4610</v>
      </c>
      <c r="I1505" s="2" t="s">
        <v>893</v>
      </c>
      <c r="J1505" s="2" t="s">
        <v>4611</v>
      </c>
      <c r="K1505" s="18">
        <v>45499</v>
      </c>
      <c r="L1505" s="18">
        <v>45500</v>
      </c>
      <c r="M1505" s="18">
        <v>46022</v>
      </c>
      <c r="N1505" s="1">
        <v>6</v>
      </c>
      <c r="O1505" s="19">
        <v>181500</v>
      </c>
      <c r="P1505" s="18">
        <v>46022</v>
      </c>
      <c r="Q1505" s="19">
        <v>181500</v>
      </c>
      <c r="R1505" s="772" t="s">
        <v>4612</v>
      </c>
      <c r="S1505" s="18">
        <v>45500</v>
      </c>
      <c r="T1505" s="2"/>
      <c r="U1505" s="2"/>
      <c r="V1505" s="2"/>
      <c r="W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</row>
    <row r="1506" spans="1:38" ht="12.75" customHeight="1">
      <c r="A1506" s="15">
        <v>1506</v>
      </c>
      <c r="B1506" s="736" t="s">
        <v>3086</v>
      </c>
      <c r="C1506" s="16" t="s">
        <v>4613</v>
      </c>
      <c r="D1506" s="2" t="s">
        <v>3110</v>
      </c>
      <c r="E1506" s="2" t="s">
        <v>3228</v>
      </c>
      <c r="F1506" s="2" t="s">
        <v>4614</v>
      </c>
      <c r="G1506" s="17">
        <v>19945337</v>
      </c>
      <c r="H1506" s="2" t="s">
        <v>3257</v>
      </c>
      <c r="I1506" s="2" t="s">
        <v>4615</v>
      </c>
      <c r="J1506" s="2" t="s">
        <v>947</v>
      </c>
      <c r="K1506" s="18">
        <v>45502</v>
      </c>
      <c r="L1506" s="18">
        <v>45505</v>
      </c>
      <c r="M1506" s="18">
        <v>46234</v>
      </c>
      <c r="N1506" s="1"/>
      <c r="O1506" s="19"/>
      <c r="P1506" s="18">
        <v>46234</v>
      </c>
      <c r="Q1506" s="19"/>
      <c r="R1506" s="772" t="s">
        <v>4695</v>
      </c>
      <c r="S1506" s="18">
        <v>45505</v>
      </c>
      <c r="T1506" s="2"/>
      <c r="U1506" s="2"/>
      <c r="V1506" s="2"/>
      <c r="W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 spans="1:38" ht="12.75" customHeight="1">
      <c r="A1507" s="15">
        <v>1507</v>
      </c>
      <c r="B1507" s="736" t="s">
        <v>3086</v>
      </c>
      <c r="C1507" s="16" t="s">
        <v>4616</v>
      </c>
      <c r="D1507" s="2" t="s">
        <v>3110</v>
      </c>
      <c r="E1507" s="2" t="s">
        <v>3369</v>
      </c>
      <c r="F1507" s="2" t="s">
        <v>3659</v>
      </c>
      <c r="G1507" s="17">
        <v>12235466</v>
      </c>
      <c r="H1507" s="2" t="s">
        <v>482</v>
      </c>
      <c r="I1507" s="15" t="s">
        <v>484</v>
      </c>
      <c r="J1507" s="95" t="s">
        <v>4617</v>
      </c>
      <c r="K1507" s="18">
        <v>45502</v>
      </c>
      <c r="L1507" s="18">
        <v>45504</v>
      </c>
      <c r="M1507" s="18">
        <v>46234</v>
      </c>
      <c r="N1507" s="1">
        <v>1</v>
      </c>
      <c r="O1507" s="19">
        <v>90000</v>
      </c>
      <c r="P1507" s="18">
        <v>46234</v>
      </c>
      <c r="Q1507" s="19">
        <v>90000</v>
      </c>
      <c r="R1507" s="772" t="s">
        <v>4663</v>
      </c>
      <c r="S1507" s="18">
        <v>45504</v>
      </c>
      <c r="T1507" s="2"/>
      <c r="U1507" s="2"/>
      <c r="V1507" s="2"/>
      <c r="W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</row>
    <row r="1508" spans="1:38" ht="12.75" customHeight="1">
      <c r="A1508" s="15">
        <v>1508</v>
      </c>
      <c r="B1508" s="736" t="s">
        <v>3086</v>
      </c>
      <c r="C1508" s="16" t="s">
        <v>4618</v>
      </c>
      <c r="D1508" s="2" t="s">
        <v>3094</v>
      </c>
      <c r="E1508" s="2" t="s">
        <v>3202</v>
      </c>
      <c r="F1508" s="2" t="s">
        <v>4619</v>
      </c>
      <c r="G1508" s="17">
        <v>25277961</v>
      </c>
      <c r="H1508" s="2" t="s">
        <v>361</v>
      </c>
      <c r="I1508" s="2" t="s">
        <v>4620</v>
      </c>
      <c r="J1508" s="2" t="s">
        <v>4621</v>
      </c>
      <c r="K1508" s="18">
        <v>45506</v>
      </c>
      <c r="L1508" s="18">
        <v>45518</v>
      </c>
      <c r="M1508" s="18">
        <v>46247</v>
      </c>
      <c r="N1508" s="1">
        <v>6</v>
      </c>
      <c r="O1508" s="19">
        <v>6048000</v>
      </c>
      <c r="P1508" s="18">
        <v>46247</v>
      </c>
      <c r="Q1508" s="19">
        <v>6048000</v>
      </c>
      <c r="R1508" s="772" t="s">
        <v>4669</v>
      </c>
      <c r="S1508" s="18">
        <v>45509</v>
      </c>
      <c r="T1508" s="2"/>
      <c r="U1508" s="105">
        <v>9</v>
      </c>
      <c r="V1508" s="2"/>
      <c r="W1508" s="2" t="s">
        <v>4625</v>
      </c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 spans="1:38" ht="15" customHeight="1">
      <c r="A1509" s="15">
        <v>1509</v>
      </c>
      <c r="B1509" s="736" t="s">
        <v>3086</v>
      </c>
      <c r="C1509" s="16" t="s">
        <v>4633</v>
      </c>
      <c r="D1509" t="s">
        <v>3094</v>
      </c>
      <c r="E1509" s="2" t="s">
        <v>3958</v>
      </c>
      <c r="F1509" s="2" t="s">
        <v>4634</v>
      </c>
      <c r="G1509" s="17">
        <v>64165</v>
      </c>
      <c r="H1509" s="96" t="s">
        <v>510</v>
      </c>
      <c r="I1509" t="s">
        <v>4635</v>
      </c>
      <c r="J1509" t="s">
        <v>4636</v>
      </c>
      <c r="K1509" s="99">
        <v>45503</v>
      </c>
      <c r="L1509" s="99">
        <v>45503</v>
      </c>
      <c r="M1509" s="99">
        <v>2958465</v>
      </c>
      <c r="O1509" s="19">
        <v>0</v>
      </c>
      <c r="P1509" s="99">
        <v>2958465</v>
      </c>
      <c r="V1509" s="2"/>
      <c r="W1509" t="s">
        <v>4631</v>
      </c>
      <c r="X1509" s="96" t="s">
        <v>4999</v>
      </c>
    </row>
    <row r="1510" spans="1:38" ht="15" customHeight="1">
      <c r="A1510" s="15">
        <v>1510</v>
      </c>
      <c r="B1510" s="736" t="s">
        <v>1555</v>
      </c>
      <c r="C1510" s="16" t="s">
        <v>4640</v>
      </c>
      <c r="D1510" s="2" t="s">
        <v>3110</v>
      </c>
      <c r="E1510" s="2" t="s">
        <v>3369</v>
      </c>
      <c r="F1510" s="2" t="s">
        <v>4639</v>
      </c>
      <c r="G1510" s="17">
        <v>2675609</v>
      </c>
      <c r="H1510" s="2" t="s">
        <v>482</v>
      </c>
      <c r="I1510" t="s">
        <v>4638</v>
      </c>
      <c r="J1510" s="2" t="s">
        <v>4637</v>
      </c>
      <c r="K1510" s="99">
        <v>45505</v>
      </c>
      <c r="L1510" s="99">
        <v>45505</v>
      </c>
      <c r="M1510" s="99">
        <v>45524</v>
      </c>
      <c r="N1510">
        <v>7</v>
      </c>
      <c r="O1510" s="19">
        <v>147620</v>
      </c>
      <c r="P1510" s="99">
        <v>45524</v>
      </c>
      <c r="Q1510" s="100">
        <v>147620</v>
      </c>
      <c r="R1510">
        <v>27767168</v>
      </c>
      <c r="S1510" s="99">
        <v>45505</v>
      </c>
      <c r="V1510" s="2"/>
      <c r="X1510" s="2"/>
    </row>
    <row r="1511" spans="1:38" ht="15" customHeight="1">
      <c r="A1511" s="15">
        <v>1511</v>
      </c>
      <c r="B1511" s="736" t="s">
        <v>3086</v>
      </c>
      <c r="C1511" s="16" t="s">
        <v>4641</v>
      </c>
      <c r="D1511" t="s">
        <v>3087</v>
      </c>
      <c r="E1511" s="2" t="s">
        <v>3093</v>
      </c>
      <c r="F1511" s="2" t="s">
        <v>4642</v>
      </c>
      <c r="G1511" s="17">
        <v>638927</v>
      </c>
      <c r="H1511" s="96" t="s">
        <v>510</v>
      </c>
      <c r="I1511" t="s">
        <v>4643</v>
      </c>
      <c r="J1511" t="s">
        <v>4644</v>
      </c>
      <c r="K1511" s="99">
        <v>45503</v>
      </c>
      <c r="L1511" s="99">
        <v>45504</v>
      </c>
      <c r="M1511" s="99">
        <v>2958465</v>
      </c>
      <c r="N1511">
        <v>6</v>
      </c>
      <c r="O1511" s="19">
        <v>0</v>
      </c>
      <c r="P1511" s="99">
        <v>2958465</v>
      </c>
      <c r="Q1511" s="19">
        <v>1</v>
      </c>
      <c r="R1511">
        <v>27751216</v>
      </c>
      <c r="S1511" s="99">
        <v>45504</v>
      </c>
      <c r="U1511">
        <v>3</v>
      </c>
      <c r="V1511" t="s">
        <v>4625</v>
      </c>
      <c r="X1511" s="2"/>
    </row>
    <row r="1512" spans="1:38" ht="15" customHeight="1">
      <c r="A1512" s="15">
        <v>1512</v>
      </c>
      <c r="B1512" s="736" t="s">
        <v>1555</v>
      </c>
      <c r="C1512" s="16" t="s">
        <v>4645</v>
      </c>
      <c r="D1512" t="s">
        <v>3087</v>
      </c>
      <c r="E1512" s="2" t="s">
        <v>4651</v>
      </c>
      <c r="F1512" t="s">
        <v>4653</v>
      </c>
      <c r="G1512" s="101">
        <v>10331</v>
      </c>
      <c r="H1512" s="96" t="s">
        <v>830</v>
      </c>
      <c r="I1512" t="s">
        <v>4652</v>
      </c>
      <c r="J1512" t="s">
        <v>4652</v>
      </c>
      <c r="K1512" s="832" t="s">
        <v>5572</v>
      </c>
      <c r="L1512" s="99">
        <v>45505</v>
      </c>
      <c r="M1512" s="99">
        <v>45565</v>
      </c>
      <c r="O1512" s="19">
        <v>0</v>
      </c>
      <c r="P1512" s="99">
        <v>45565</v>
      </c>
      <c r="X1512" s="2"/>
      <c r="Z1512" t="s">
        <v>4740</v>
      </c>
    </row>
    <row r="1513" spans="1:38" ht="15" customHeight="1">
      <c r="A1513" s="15">
        <v>1513</v>
      </c>
      <c r="B1513" s="736" t="s">
        <v>1555</v>
      </c>
      <c r="C1513" s="16" t="s">
        <v>4646</v>
      </c>
      <c r="D1513" t="s">
        <v>3087</v>
      </c>
      <c r="E1513" s="2" t="s">
        <v>4651</v>
      </c>
      <c r="F1513" t="s">
        <v>4157</v>
      </c>
      <c r="G1513" s="17">
        <v>7694</v>
      </c>
      <c r="H1513" s="96" t="s">
        <v>830</v>
      </c>
      <c r="I1513" t="s">
        <v>4654</v>
      </c>
      <c r="J1513" t="s">
        <v>4654</v>
      </c>
      <c r="K1513" s="99">
        <v>45502</v>
      </c>
      <c r="L1513" s="99">
        <v>45506</v>
      </c>
      <c r="M1513" s="99">
        <v>45530</v>
      </c>
      <c r="N1513">
        <v>7</v>
      </c>
      <c r="O1513" s="19">
        <v>2500</v>
      </c>
      <c r="P1513" s="99">
        <v>45530</v>
      </c>
      <c r="V1513" t="s">
        <v>4625</v>
      </c>
      <c r="X1513" s="2"/>
    </row>
    <row r="1514" spans="1:38" ht="15" customHeight="1">
      <c r="A1514" s="15">
        <v>1514</v>
      </c>
      <c r="B1514" s="736" t="s">
        <v>1555</v>
      </c>
      <c r="C1514" s="16" t="s">
        <v>4647</v>
      </c>
      <c r="D1514" t="s">
        <v>3087</v>
      </c>
      <c r="E1514" s="2" t="s">
        <v>4651</v>
      </c>
      <c r="F1514" t="s">
        <v>4656</v>
      </c>
      <c r="G1514" s="17">
        <v>25606328</v>
      </c>
      <c r="H1514" s="96" t="s">
        <v>830</v>
      </c>
      <c r="I1514" t="s">
        <v>4655</v>
      </c>
      <c r="J1514" t="s">
        <v>4655</v>
      </c>
      <c r="K1514" s="99">
        <v>45496</v>
      </c>
      <c r="L1514" s="99">
        <v>45502</v>
      </c>
      <c r="M1514" s="99">
        <v>45513</v>
      </c>
      <c r="N1514">
        <v>7</v>
      </c>
      <c r="O1514" s="19">
        <v>4200</v>
      </c>
      <c r="P1514" s="99">
        <v>45513</v>
      </c>
      <c r="V1514" t="s">
        <v>4625</v>
      </c>
      <c r="X1514" s="2"/>
      <c r="Z1514" t="s">
        <v>4740</v>
      </c>
    </row>
    <row r="1515" spans="1:38" ht="15" customHeight="1">
      <c r="A1515" s="15">
        <v>1515</v>
      </c>
      <c r="B1515" s="736" t="s">
        <v>1555</v>
      </c>
      <c r="C1515" s="16" t="s">
        <v>4648</v>
      </c>
      <c r="D1515" t="s">
        <v>3087</v>
      </c>
      <c r="E1515" s="2" t="s">
        <v>4294</v>
      </c>
      <c r="F1515" t="s">
        <v>4658</v>
      </c>
      <c r="G1515" s="17">
        <v>3612678</v>
      </c>
      <c r="H1515" s="96" t="s">
        <v>830</v>
      </c>
      <c r="I1515" t="s">
        <v>4657</v>
      </c>
      <c r="J1515" t="s">
        <v>4657</v>
      </c>
      <c r="K1515" s="99">
        <v>45502</v>
      </c>
      <c r="L1515" s="99">
        <v>45520</v>
      </c>
      <c r="M1515" s="99">
        <v>45535</v>
      </c>
      <c r="N1515">
        <v>7</v>
      </c>
      <c r="O1515" s="19">
        <v>6000</v>
      </c>
      <c r="P1515" s="99">
        <v>45535</v>
      </c>
      <c r="X1515" s="2"/>
      <c r="Z1515" t="s">
        <v>4740</v>
      </c>
    </row>
    <row r="1516" spans="1:38" ht="15" customHeight="1">
      <c r="A1516" s="15">
        <v>1516</v>
      </c>
      <c r="B1516" s="736" t="s">
        <v>1555</v>
      </c>
      <c r="C1516" s="16" t="s">
        <v>4649</v>
      </c>
      <c r="D1516" t="s">
        <v>3087</v>
      </c>
      <c r="E1516" s="2" t="s">
        <v>3958</v>
      </c>
      <c r="F1516" t="s">
        <v>3566</v>
      </c>
      <c r="G1516" s="101">
        <v>25594681</v>
      </c>
      <c r="H1516" s="2" t="s">
        <v>588</v>
      </c>
      <c r="I1516" t="s">
        <v>4659</v>
      </c>
      <c r="J1516" t="s">
        <v>4660</v>
      </c>
      <c r="K1516" s="99">
        <v>45505</v>
      </c>
      <c r="L1516" s="99">
        <v>45505</v>
      </c>
      <c r="M1516" s="99">
        <v>45517</v>
      </c>
      <c r="N1516">
        <v>7</v>
      </c>
      <c r="O1516" s="19">
        <v>140000</v>
      </c>
      <c r="P1516" s="99">
        <v>45517</v>
      </c>
      <c r="Q1516" t="s">
        <v>4725</v>
      </c>
      <c r="V1516" t="s">
        <v>4625</v>
      </c>
      <c r="X1516" s="2"/>
    </row>
    <row r="1517" spans="1:38" ht="15" customHeight="1">
      <c r="A1517" s="15">
        <v>1517</v>
      </c>
      <c r="B1517" s="736" t="s">
        <v>1555</v>
      </c>
      <c r="C1517" s="16" t="s">
        <v>4650</v>
      </c>
      <c r="D1517" t="s">
        <v>3139</v>
      </c>
      <c r="E1517" s="2" t="s">
        <v>3117</v>
      </c>
      <c r="F1517" s="96" t="s">
        <v>4661</v>
      </c>
      <c r="G1517" s="17">
        <v>27378802</v>
      </c>
      <c r="H1517" s="2" t="s">
        <v>3257</v>
      </c>
      <c r="I1517" s="96" t="s">
        <v>4662</v>
      </c>
      <c r="J1517" t="s">
        <v>4662</v>
      </c>
      <c r="K1517" s="99">
        <v>45510</v>
      </c>
      <c r="L1517" s="99">
        <v>45510</v>
      </c>
      <c r="M1517" s="99">
        <v>45747</v>
      </c>
      <c r="N1517">
        <v>7</v>
      </c>
      <c r="O1517" s="19">
        <v>47190</v>
      </c>
      <c r="P1517" s="99">
        <v>45747</v>
      </c>
      <c r="X1517" s="2"/>
    </row>
    <row r="1518" spans="1:38" ht="15" customHeight="1">
      <c r="A1518" s="15">
        <v>1518</v>
      </c>
      <c r="B1518" s="736" t="s">
        <v>3086</v>
      </c>
      <c r="C1518" s="16" t="s">
        <v>4664</v>
      </c>
      <c r="D1518" t="s">
        <v>3110</v>
      </c>
      <c r="E1518" s="2" t="s">
        <v>3369</v>
      </c>
      <c r="F1518" t="s">
        <v>3203</v>
      </c>
      <c r="G1518" s="17">
        <v>64506592</v>
      </c>
      <c r="H1518" t="s">
        <v>482</v>
      </c>
      <c r="I1518" t="s">
        <v>4665</v>
      </c>
      <c r="J1518" t="s">
        <v>4666</v>
      </c>
      <c r="K1518" s="99">
        <v>45510</v>
      </c>
      <c r="L1518" s="99">
        <v>45512</v>
      </c>
      <c r="M1518" s="99">
        <v>2958465</v>
      </c>
      <c r="N1518">
        <v>6</v>
      </c>
      <c r="O1518" s="19">
        <v>500000</v>
      </c>
      <c r="P1518" s="99">
        <v>2958465</v>
      </c>
      <c r="Q1518" s="110">
        <v>2500000</v>
      </c>
      <c r="R1518">
        <v>27828860</v>
      </c>
      <c r="S1518" s="99">
        <v>45512</v>
      </c>
      <c r="X1518" s="2"/>
    </row>
    <row r="1519" spans="1:38" ht="15" customHeight="1">
      <c r="A1519" s="15">
        <v>1519</v>
      </c>
      <c r="B1519" s="736" t="s">
        <v>1555</v>
      </c>
      <c r="C1519" s="16" t="s">
        <v>4670</v>
      </c>
      <c r="D1519" t="s">
        <v>3087</v>
      </c>
      <c r="E1519" s="2" t="s">
        <v>3197</v>
      </c>
      <c r="F1519" t="s">
        <v>3623</v>
      </c>
      <c r="G1519" s="17">
        <v>24201596</v>
      </c>
      <c r="H1519" s="2" t="s">
        <v>546</v>
      </c>
      <c r="I1519" t="s">
        <v>4671</v>
      </c>
      <c r="J1519" t="s">
        <v>4672</v>
      </c>
      <c r="K1519" s="99">
        <v>45525</v>
      </c>
      <c r="L1519" s="99">
        <v>45526</v>
      </c>
      <c r="M1519" s="99">
        <v>45617</v>
      </c>
      <c r="N1519">
        <v>6</v>
      </c>
      <c r="O1519" s="19">
        <v>6216000</v>
      </c>
      <c r="P1519" s="99">
        <v>45617</v>
      </c>
      <c r="Q1519" s="19">
        <v>6216000</v>
      </c>
      <c r="R1519">
        <v>27959436</v>
      </c>
      <c r="S1519" s="99">
        <v>45526</v>
      </c>
      <c r="V1519" t="s">
        <v>4625</v>
      </c>
      <c r="X1519" s="2"/>
    </row>
    <row r="1520" spans="1:38" ht="12.6" customHeight="1">
      <c r="A1520" s="15">
        <v>1520</v>
      </c>
      <c r="B1520" s="102" t="s">
        <v>3086</v>
      </c>
      <c r="C1520" s="103" t="s">
        <v>4673</v>
      </c>
      <c r="D1520" t="s">
        <v>3116</v>
      </c>
      <c r="E1520" s="96" t="s">
        <v>3958</v>
      </c>
      <c r="F1520" s="103" t="s">
        <v>3249</v>
      </c>
      <c r="G1520" s="17">
        <v>60193336</v>
      </c>
      <c r="H1520" s="96" t="s">
        <v>4674</v>
      </c>
      <c r="I1520" s="96" t="s">
        <v>4676</v>
      </c>
      <c r="J1520" s="96" t="s">
        <v>4675</v>
      </c>
      <c r="K1520" s="99">
        <v>45516</v>
      </c>
      <c r="L1520" s="99">
        <v>45516</v>
      </c>
      <c r="M1520" s="99">
        <v>2958465</v>
      </c>
      <c r="O1520" s="19">
        <v>0</v>
      </c>
      <c r="P1520" s="99">
        <v>2958465</v>
      </c>
      <c r="U1520" s="3">
        <v>3</v>
      </c>
      <c r="V1520" t="s">
        <v>4625</v>
      </c>
      <c r="W1520" t="s">
        <v>4625</v>
      </c>
      <c r="X1520" s="2"/>
      <c r="Y1520" t="s">
        <v>4720</v>
      </c>
    </row>
    <row r="1521" spans="1:26" ht="15" customHeight="1">
      <c r="A1521" s="15">
        <v>1521</v>
      </c>
      <c r="B1521" s="102" t="s">
        <v>3086</v>
      </c>
      <c r="C1521" s="96" t="s">
        <v>4699</v>
      </c>
      <c r="D1521" t="s">
        <v>3087</v>
      </c>
      <c r="E1521" s="2" t="s">
        <v>3202</v>
      </c>
      <c r="F1521" s="96" t="s">
        <v>4701</v>
      </c>
      <c r="G1521">
        <v>48586285</v>
      </c>
      <c r="H1521" s="2" t="s">
        <v>385</v>
      </c>
      <c r="I1521" t="s">
        <v>4700</v>
      </c>
      <c r="J1521" s="104" t="s">
        <v>4704</v>
      </c>
      <c r="K1521" s="99">
        <v>45523</v>
      </c>
      <c r="L1521" s="99">
        <v>45523</v>
      </c>
      <c r="M1521" s="99">
        <v>46252</v>
      </c>
      <c r="N1521">
        <v>6</v>
      </c>
      <c r="O1521" s="19">
        <v>1815000</v>
      </c>
      <c r="P1521" s="99">
        <v>46252</v>
      </c>
      <c r="Q1521" s="19">
        <v>1815000</v>
      </c>
      <c r="R1521">
        <v>27928268</v>
      </c>
      <c r="S1521" s="99">
        <v>45523</v>
      </c>
      <c r="U1521">
        <v>6</v>
      </c>
      <c r="V1521" t="s">
        <v>4625</v>
      </c>
      <c r="X1521" s="2"/>
    </row>
    <row r="1522" spans="1:26" ht="15" customHeight="1">
      <c r="A1522" s="15">
        <v>1522</v>
      </c>
      <c r="B1522" s="102" t="s">
        <v>1555</v>
      </c>
      <c r="C1522" s="16" t="s">
        <v>4680</v>
      </c>
      <c r="D1522" t="s">
        <v>3087</v>
      </c>
      <c r="E1522" s="2" t="s">
        <v>3202</v>
      </c>
      <c r="F1522" t="s">
        <v>3634</v>
      </c>
      <c r="G1522" s="17">
        <v>24143022</v>
      </c>
      <c r="H1522" s="2" t="s">
        <v>385</v>
      </c>
      <c r="I1522" s="96" t="s">
        <v>4683</v>
      </c>
      <c r="J1522" s="104" t="s">
        <v>4682</v>
      </c>
      <c r="K1522" s="99">
        <v>45544</v>
      </c>
      <c r="L1522" s="99">
        <v>45544</v>
      </c>
      <c r="M1522" s="99">
        <v>45908</v>
      </c>
      <c r="N1522">
        <v>1</v>
      </c>
      <c r="O1522" s="19">
        <v>79300</v>
      </c>
      <c r="P1522" s="99">
        <v>45908</v>
      </c>
      <c r="Q1522" s="111">
        <v>79300</v>
      </c>
      <c r="R1522">
        <v>28147216.311760899</v>
      </c>
      <c r="S1522" s="99" t="s">
        <v>5697</v>
      </c>
      <c r="V1522" s="2" t="s">
        <v>4625</v>
      </c>
      <c r="X1522" s="2"/>
    </row>
    <row r="1523" spans="1:26" ht="15" customHeight="1">
      <c r="A1523" s="15">
        <v>1523</v>
      </c>
      <c r="B1523" s="102" t="s">
        <v>3086</v>
      </c>
      <c r="C1523" s="96" t="s">
        <v>4684</v>
      </c>
      <c r="D1523" t="s">
        <v>3087</v>
      </c>
      <c r="E1523" s="2" t="s">
        <v>3202</v>
      </c>
      <c r="F1523" s="96" t="s">
        <v>3616</v>
      </c>
      <c r="G1523" s="17">
        <v>24288781</v>
      </c>
      <c r="H1523" s="2" t="s">
        <v>385</v>
      </c>
      <c r="I1523" s="96" t="s">
        <v>4683</v>
      </c>
      <c r="J1523" s="104" t="s">
        <v>4682</v>
      </c>
      <c r="K1523" s="99">
        <v>45539</v>
      </c>
      <c r="L1523" s="99">
        <v>45539</v>
      </c>
      <c r="M1523" s="99">
        <v>46268</v>
      </c>
      <c r="O1523" s="19">
        <v>0</v>
      </c>
      <c r="P1523" s="99">
        <v>46268</v>
      </c>
      <c r="Q1523" s="111">
        <v>1</v>
      </c>
      <c r="R1523">
        <v>28095172.3303225</v>
      </c>
      <c r="S1523" s="99" t="s">
        <v>6189</v>
      </c>
      <c r="V1523" s="2" t="s">
        <v>4625</v>
      </c>
      <c r="X1523" s="2"/>
    </row>
    <row r="1524" spans="1:26" ht="15" customHeight="1">
      <c r="A1524" s="15">
        <v>1524</v>
      </c>
      <c r="B1524" s="102" t="s">
        <v>3086</v>
      </c>
      <c r="C1524" s="96" t="s">
        <v>4685</v>
      </c>
      <c r="D1524" t="s">
        <v>3087</v>
      </c>
      <c r="E1524" s="2" t="s">
        <v>3202</v>
      </c>
      <c r="F1524" s="96" t="s">
        <v>3592</v>
      </c>
      <c r="G1524" s="96">
        <v>25053370</v>
      </c>
      <c r="H1524" s="2" t="s">
        <v>385</v>
      </c>
      <c r="I1524" s="96" t="s">
        <v>4683</v>
      </c>
      <c r="J1524" s="104" t="s">
        <v>4682</v>
      </c>
      <c r="K1524" s="99">
        <v>45539</v>
      </c>
      <c r="L1524" s="99">
        <v>45539</v>
      </c>
      <c r="M1524" s="99">
        <v>46268</v>
      </c>
      <c r="O1524" s="19">
        <v>0</v>
      </c>
      <c r="P1524" s="99">
        <v>46268</v>
      </c>
      <c r="Q1524" s="111">
        <v>1</v>
      </c>
      <c r="R1524" t="s">
        <v>6193</v>
      </c>
      <c r="S1524" s="99" t="s">
        <v>6194</v>
      </c>
      <c r="V1524" t="s">
        <v>4625</v>
      </c>
      <c r="X1524" s="2"/>
    </row>
    <row r="1525" spans="1:26" ht="15" customHeight="1">
      <c r="A1525" s="15">
        <v>1525</v>
      </c>
      <c r="B1525" s="102" t="s">
        <v>1555</v>
      </c>
      <c r="C1525" s="96" t="s">
        <v>4686</v>
      </c>
      <c r="D1525" t="s">
        <v>3087</v>
      </c>
      <c r="E1525" s="96" t="s">
        <v>3123</v>
      </c>
      <c r="F1525" t="s">
        <v>4687</v>
      </c>
      <c r="G1525" s="17">
        <v>25615</v>
      </c>
      <c r="H1525" s="2" t="s">
        <v>250</v>
      </c>
      <c r="I1525" s="96" t="s">
        <v>746</v>
      </c>
      <c r="J1525" s="96" t="s">
        <v>4688</v>
      </c>
      <c r="K1525" s="99">
        <v>45518</v>
      </c>
      <c r="L1525" s="99">
        <v>45566</v>
      </c>
      <c r="M1525" s="99">
        <v>45930</v>
      </c>
      <c r="P1525" s="99">
        <v>45930</v>
      </c>
      <c r="X1525" s="2"/>
      <c r="Z1525" t="s">
        <v>4750</v>
      </c>
    </row>
    <row r="1526" spans="1:26" ht="15" customHeight="1">
      <c r="A1526" s="15">
        <v>1526</v>
      </c>
      <c r="B1526" s="102" t="s">
        <v>1555</v>
      </c>
      <c r="C1526" s="96" t="s">
        <v>4721</v>
      </c>
      <c r="D1526" t="s">
        <v>3116</v>
      </c>
      <c r="E1526" s="96" t="s">
        <v>3197</v>
      </c>
      <c r="F1526" t="s">
        <v>4722</v>
      </c>
      <c r="G1526" s="17">
        <v>27970922</v>
      </c>
      <c r="H1526" s="96" t="s">
        <v>546</v>
      </c>
      <c r="I1526" s="96" t="s">
        <v>4723</v>
      </c>
      <c r="J1526" s="96" t="s">
        <v>4724</v>
      </c>
      <c r="K1526" s="99">
        <v>45602</v>
      </c>
      <c r="L1526" s="99">
        <v>45603</v>
      </c>
      <c r="M1526" s="99">
        <v>45673</v>
      </c>
      <c r="N1526">
        <v>7</v>
      </c>
      <c r="O1526" s="19">
        <v>62776.98</v>
      </c>
      <c r="P1526" s="99">
        <v>45673</v>
      </c>
      <c r="Q1526" s="111">
        <v>62776.98</v>
      </c>
      <c r="R1526">
        <v>28907940</v>
      </c>
      <c r="S1526" s="99">
        <v>45603</v>
      </c>
      <c r="U1526" s="3">
        <v>3</v>
      </c>
      <c r="X1526" s="2"/>
    </row>
    <row r="1527" spans="1:26" ht="15" customHeight="1">
      <c r="A1527" s="15">
        <v>1527</v>
      </c>
      <c r="B1527" s="102" t="s">
        <v>3086</v>
      </c>
      <c r="C1527" s="108" t="s">
        <v>4696</v>
      </c>
      <c r="D1527" t="s">
        <v>3087</v>
      </c>
      <c r="E1527" s="2" t="s">
        <v>4702</v>
      </c>
      <c r="F1527" t="s">
        <v>4698</v>
      </c>
      <c r="G1527">
        <v>70891095</v>
      </c>
      <c r="H1527" s="2" t="s">
        <v>4697</v>
      </c>
      <c r="I1527" s="96" t="s">
        <v>4705</v>
      </c>
      <c r="J1527" s="96" t="s">
        <v>4703</v>
      </c>
      <c r="K1527" s="99">
        <v>45518</v>
      </c>
      <c r="X1527" s="2"/>
      <c r="Z1527" t="s">
        <v>4727</v>
      </c>
    </row>
    <row r="1528" spans="1:26" ht="15" customHeight="1">
      <c r="A1528" s="15">
        <v>1528</v>
      </c>
      <c r="B1528" s="102" t="s">
        <v>1555</v>
      </c>
      <c r="C1528" s="108" t="s">
        <v>4751</v>
      </c>
      <c r="D1528" t="s">
        <v>3087</v>
      </c>
      <c r="E1528" s="2" t="s">
        <v>3162</v>
      </c>
      <c r="F1528" t="s">
        <v>3460</v>
      </c>
      <c r="G1528">
        <v>27235530</v>
      </c>
      <c r="H1528" s="96" t="s">
        <v>830</v>
      </c>
      <c r="I1528" t="s">
        <v>4775</v>
      </c>
      <c r="J1528" t="s">
        <v>4775</v>
      </c>
      <c r="K1528" s="99">
        <v>45509</v>
      </c>
      <c r="L1528" s="99">
        <v>45537</v>
      </c>
      <c r="M1528" s="99">
        <v>45838</v>
      </c>
      <c r="N1528">
        <v>6</v>
      </c>
      <c r="O1528" s="111">
        <v>20000</v>
      </c>
      <c r="P1528" s="99">
        <v>45838</v>
      </c>
      <c r="X1528" s="2"/>
    </row>
    <row r="1529" spans="1:26" ht="15" customHeight="1">
      <c r="A1529" s="15">
        <v>1529</v>
      </c>
      <c r="B1529" s="102" t="s">
        <v>1555</v>
      </c>
      <c r="C1529" t="s">
        <v>4752</v>
      </c>
      <c r="D1529" t="s">
        <v>3087</v>
      </c>
      <c r="E1529" s="2" t="s">
        <v>3162</v>
      </c>
      <c r="F1529" t="s">
        <v>3460</v>
      </c>
      <c r="G1529">
        <v>27235530</v>
      </c>
      <c r="H1529" s="96" t="s">
        <v>830</v>
      </c>
      <c r="I1529" t="s">
        <v>4774</v>
      </c>
      <c r="J1529" t="s">
        <v>4774</v>
      </c>
      <c r="K1529" s="99">
        <v>45504</v>
      </c>
      <c r="L1529" s="99">
        <v>45505</v>
      </c>
      <c r="M1529" s="99">
        <v>45838</v>
      </c>
      <c r="N1529">
        <v>6</v>
      </c>
      <c r="O1529" s="111">
        <v>19500</v>
      </c>
      <c r="P1529" s="99">
        <v>45838</v>
      </c>
      <c r="X1529" s="2"/>
    </row>
    <row r="1530" spans="1:26" ht="15" customHeight="1">
      <c r="A1530" s="15">
        <v>1530</v>
      </c>
      <c r="B1530" s="102" t="s">
        <v>1555</v>
      </c>
      <c r="C1530" t="s">
        <v>4753</v>
      </c>
      <c r="D1530" t="s">
        <v>3087</v>
      </c>
      <c r="E1530" s="2" t="s">
        <v>3162</v>
      </c>
      <c r="F1530" t="s">
        <v>4772</v>
      </c>
      <c r="G1530">
        <v>8749</v>
      </c>
      <c r="H1530" s="96" t="s">
        <v>830</v>
      </c>
      <c r="I1530" t="s">
        <v>4773</v>
      </c>
      <c r="J1530" t="s">
        <v>4773</v>
      </c>
      <c r="K1530" s="99">
        <v>45509</v>
      </c>
      <c r="L1530" s="99">
        <v>45513</v>
      </c>
      <c r="M1530" s="99">
        <v>45513</v>
      </c>
      <c r="N1530">
        <v>7</v>
      </c>
      <c r="O1530" s="111">
        <v>500</v>
      </c>
      <c r="P1530" s="99">
        <v>45513</v>
      </c>
      <c r="X1530" s="2"/>
    </row>
    <row r="1531" spans="1:26" ht="15" customHeight="1">
      <c r="A1531" s="15">
        <v>1531</v>
      </c>
      <c r="B1531" s="102" t="s">
        <v>1555</v>
      </c>
      <c r="C1531" t="s">
        <v>4754</v>
      </c>
      <c r="D1531" t="s">
        <v>3087</v>
      </c>
      <c r="E1531" s="2" t="s">
        <v>3162</v>
      </c>
      <c r="F1531" t="s">
        <v>3416</v>
      </c>
      <c r="G1531">
        <v>27798941</v>
      </c>
      <c r="H1531" s="96" t="s">
        <v>830</v>
      </c>
      <c r="I1531" t="s">
        <v>4771</v>
      </c>
      <c r="J1531" t="s">
        <v>4771</v>
      </c>
      <c r="K1531" s="99">
        <v>45516</v>
      </c>
      <c r="L1531" s="99">
        <v>45537</v>
      </c>
      <c r="M1531" s="99">
        <v>45548</v>
      </c>
      <c r="N1531">
        <v>7</v>
      </c>
      <c r="O1531" s="111">
        <v>4200</v>
      </c>
      <c r="P1531" s="99">
        <v>45548</v>
      </c>
      <c r="X1531" s="2"/>
    </row>
    <row r="1532" spans="1:26" ht="15" customHeight="1">
      <c r="A1532" s="15">
        <v>1532</v>
      </c>
      <c r="B1532" s="102" t="s">
        <v>1555</v>
      </c>
      <c r="C1532" t="s">
        <v>4755</v>
      </c>
      <c r="D1532" t="s">
        <v>3087</v>
      </c>
      <c r="E1532" s="2" t="s">
        <v>3162</v>
      </c>
      <c r="F1532" t="s">
        <v>4769</v>
      </c>
      <c r="G1532">
        <v>10358</v>
      </c>
      <c r="H1532" s="96" t="s">
        <v>830</v>
      </c>
      <c r="I1532" t="s">
        <v>4770</v>
      </c>
      <c r="J1532" t="s">
        <v>4770</v>
      </c>
      <c r="K1532" s="99">
        <v>45509</v>
      </c>
      <c r="L1532" s="99">
        <v>45509</v>
      </c>
      <c r="M1532" s="99">
        <v>45530</v>
      </c>
      <c r="N1532">
        <v>7</v>
      </c>
      <c r="O1532" s="111">
        <v>2500</v>
      </c>
      <c r="P1532" s="99">
        <v>45530</v>
      </c>
      <c r="X1532" s="2"/>
    </row>
    <row r="1533" spans="1:26" ht="15" customHeight="1">
      <c r="A1533" s="15">
        <v>1533</v>
      </c>
      <c r="B1533" s="102" t="s">
        <v>1555</v>
      </c>
      <c r="C1533" t="s">
        <v>4756</v>
      </c>
      <c r="D1533" t="s">
        <v>3087</v>
      </c>
      <c r="E1533" s="2" t="s">
        <v>3811</v>
      </c>
      <c r="F1533" t="s">
        <v>4766</v>
      </c>
      <c r="G1533">
        <v>1323741</v>
      </c>
      <c r="H1533" s="2" t="s">
        <v>180</v>
      </c>
      <c r="I1533" t="s">
        <v>4767</v>
      </c>
      <c r="J1533" t="s">
        <v>4767</v>
      </c>
      <c r="K1533" s="99">
        <v>45506</v>
      </c>
      <c r="L1533" s="99">
        <v>45507</v>
      </c>
      <c r="M1533" s="99">
        <v>45507</v>
      </c>
      <c r="O1533" s="111">
        <v>0</v>
      </c>
      <c r="P1533" s="99">
        <v>45507</v>
      </c>
      <c r="X1533" s="2"/>
    </row>
    <row r="1534" spans="1:26" ht="15" customHeight="1">
      <c r="A1534" s="15">
        <v>1534</v>
      </c>
      <c r="B1534" s="102" t="s">
        <v>1555</v>
      </c>
      <c r="C1534" t="s">
        <v>4757</v>
      </c>
      <c r="D1534" t="s">
        <v>3087</v>
      </c>
      <c r="E1534" s="2" t="s">
        <v>3811</v>
      </c>
      <c r="F1534" t="s">
        <v>4764</v>
      </c>
      <c r="G1534">
        <v>45800456</v>
      </c>
      <c r="H1534" s="2" t="s">
        <v>180</v>
      </c>
      <c r="I1534" t="s">
        <v>4765</v>
      </c>
      <c r="J1534" t="s">
        <v>4765</v>
      </c>
      <c r="K1534" s="99">
        <v>45509</v>
      </c>
      <c r="L1534" s="99">
        <v>45511</v>
      </c>
      <c r="M1534" s="99">
        <v>45511</v>
      </c>
      <c r="N1534">
        <v>7</v>
      </c>
      <c r="O1534" s="111">
        <v>6750</v>
      </c>
      <c r="P1534" s="99">
        <v>45511</v>
      </c>
      <c r="X1534" s="2"/>
    </row>
    <row r="1535" spans="1:26" ht="15" customHeight="1">
      <c r="A1535" s="15">
        <v>1535</v>
      </c>
      <c r="B1535" s="102" t="s">
        <v>1555</v>
      </c>
      <c r="C1535" t="s">
        <v>4758</v>
      </c>
      <c r="D1535" t="s">
        <v>3087</v>
      </c>
      <c r="E1535" s="2" t="s">
        <v>3811</v>
      </c>
      <c r="F1535" t="s">
        <v>3502</v>
      </c>
      <c r="G1535">
        <v>26747618</v>
      </c>
      <c r="H1535" s="2" t="s">
        <v>180</v>
      </c>
      <c r="I1535" t="s">
        <v>4763</v>
      </c>
      <c r="J1535" t="s">
        <v>4763</v>
      </c>
      <c r="K1535" s="99">
        <v>45509</v>
      </c>
      <c r="L1535" s="99">
        <v>45517</v>
      </c>
      <c r="M1535" s="99">
        <v>45545</v>
      </c>
      <c r="N1535">
        <v>7</v>
      </c>
      <c r="O1535" s="111">
        <v>25280</v>
      </c>
      <c r="P1535" s="99">
        <v>45545</v>
      </c>
      <c r="X1535" s="2"/>
    </row>
    <row r="1536" spans="1:26" ht="15" customHeight="1">
      <c r="A1536" s="15">
        <v>1536</v>
      </c>
      <c r="B1536" s="102" t="s">
        <v>1555</v>
      </c>
      <c r="C1536" t="s">
        <v>4759</v>
      </c>
      <c r="D1536" t="s">
        <v>3087</v>
      </c>
      <c r="E1536" s="2" t="s">
        <v>3811</v>
      </c>
      <c r="F1536" t="s">
        <v>4761</v>
      </c>
      <c r="G1536">
        <v>26671441</v>
      </c>
      <c r="H1536" s="2" t="s">
        <v>180</v>
      </c>
      <c r="I1536" t="s">
        <v>4762</v>
      </c>
      <c r="J1536" t="s">
        <v>4762</v>
      </c>
      <c r="K1536" s="99">
        <v>45512</v>
      </c>
      <c r="L1536" s="99">
        <v>45542</v>
      </c>
      <c r="M1536" s="99">
        <v>45542</v>
      </c>
      <c r="O1536" s="111">
        <v>0</v>
      </c>
      <c r="P1536" s="99">
        <v>45542</v>
      </c>
      <c r="X1536" s="2"/>
    </row>
    <row r="1537" spans="1:24" ht="15" customHeight="1">
      <c r="A1537" s="15">
        <v>1537</v>
      </c>
      <c r="B1537" s="102" t="s">
        <v>1555</v>
      </c>
      <c r="C1537" t="s">
        <v>4760</v>
      </c>
      <c r="D1537" t="s">
        <v>3087</v>
      </c>
      <c r="E1537" s="2" t="s">
        <v>3197</v>
      </c>
      <c r="F1537" t="s">
        <v>3478</v>
      </c>
      <c r="G1537">
        <v>27094987</v>
      </c>
      <c r="H1537" t="s">
        <v>546</v>
      </c>
      <c r="I1537" t="s">
        <v>4768</v>
      </c>
      <c r="J1537" t="s">
        <v>4768</v>
      </c>
      <c r="K1537" s="99">
        <v>45539</v>
      </c>
      <c r="L1537" s="99">
        <v>45539</v>
      </c>
      <c r="M1537" s="99">
        <v>45641</v>
      </c>
      <c r="N1537">
        <v>7</v>
      </c>
      <c r="O1537" s="111">
        <v>1498820</v>
      </c>
      <c r="P1537" s="99">
        <v>45641</v>
      </c>
      <c r="Q1537" s="111">
        <v>1498820</v>
      </c>
      <c r="R1537">
        <v>28092680</v>
      </c>
      <c r="S1537" s="99">
        <v>45539</v>
      </c>
      <c r="X1537" s="2"/>
    </row>
    <row r="1538" spans="1:24" ht="15" customHeight="1">
      <c r="A1538" s="15">
        <v>1538</v>
      </c>
      <c r="B1538" s="102" t="s">
        <v>3086</v>
      </c>
      <c r="C1538" t="s">
        <v>4788</v>
      </c>
      <c r="D1538" t="s">
        <v>3110</v>
      </c>
      <c r="E1538" s="2" t="s">
        <v>3202</v>
      </c>
      <c r="F1538" t="s">
        <v>4789</v>
      </c>
      <c r="G1538">
        <v>41193598</v>
      </c>
      <c r="H1538" t="s">
        <v>385</v>
      </c>
      <c r="I1538" t="s">
        <v>4790</v>
      </c>
      <c r="J1538" t="s">
        <v>4790</v>
      </c>
      <c r="K1538" s="99">
        <v>45547</v>
      </c>
      <c r="L1538" s="99">
        <v>45547</v>
      </c>
      <c r="M1538" s="99">
        <v>47349</v>
      </c>
      <c r="N1538">
        <v>6</v>
      </c>
      <c r="O1538" s="111"/>
      <c r="P1538" s="99">
        <v>47349</v>
      </c>
      <c r="X1538" s="2"/>
    </row>
    <row r="1539" spans="1:24" ht="15" customHeight="1">
      <c r="A1539" s="15">
        <v>1539</v>
      </c>
      <c r="B1539" s="102" t="s">
        <v>1555</v>
      </c>
      <c r="C1539" t="s">
        <v>4791</v>
      </c>
      <c r="D1539" t="s">
        <v>3110</v>
      </c>
      <c r="E1539" s="2" t="s">
        <v>3197</v>
      </c>
      <c r="F1539" t="s">
        <v>4027</v>
      </c>
      <c r="G1539">
        <v>48033758</v>
      </c>
      <c r="H1539" t="s">
        <v>546</v>
      </c>
      <c r="I1539" s="96" t="s">
        <v>4795</v>
      </c>
      <c r="J1539" s="96" t="s">
        <v>4795</v>
      </c>
      <c r="K1539" s="99">
        <v>45540</v>
      </c>
      <c r="L1539" s="99">
        <v>45540</v>
      </c>
      <c r="M1539" s="99">
        <v>45550</v>
      </c>
      <c r="N1539">
        <v>7</v>
      </c>
      <c r="O1539" s="111">
        <v>154880</v>
      </c>
      <c r="P1539" s="99">
        <v>45550</v>
      </c>
      <c r="Q1539" s="111">
        <v>154880</v>
      </c>
      <c r="R1539">
        <v>28114180</v>
      </c>
      <c r="S1539" s="99">
        <v>45540</v>
      </c>
      <c r="X1539" s="2"/>
    </row>
    <row r="1540" spans="1:24" ht="15" customHeight="1">
      <c r="A1540" s="15">
        <v>1540</v>
      </c>
      <c r="B1540" s="102" t="s">
        <v>1555</v>
      </c>
      <c r="C1540" t="s">
        <v>4796</v>
      </c>
      <c r="D1540" t="s">
        <v>3110</v>
      </c>
      <c r="E1540" s="2" t="s">
        <v>3197</v>
      </c>
      <c r="F1540" t="s">
        <v>4027</v>
      </c>
      <c r="G1540">
        <v>48033758</v>
      </c>
      <c r="H1540" t="s">
        <v>546</v>
      </c>
      <c r="I1540" s="96" t="s">
        <v>4792</v>
      </c>
      <c r="J1540" s="96" t="s">
        <v>4792</v>
      </c>
      <c r="K1540" s="99">
        <v>45540</v>
      </c>
      <c r="L1540" s="99">
        <v>45540</v>
      </c>
      <c r="M1540" s="99">
        <v>45554</v>
      </c>
      <c r="N1540">
        <v>7</v>
      </c>
      <c r="O1540" s="111">
        <v>383032</v>
      </c>
      <c r="P1540" s="99">
        <v>45554</v>
      </c>
      <c r="Q1540" s="111">
        <v>383032</v>
      </c>
      <c r="R1540">
        <v>28114256</v>
      </c>
      <c r="S1540" s="99">
        <v>45554</v>
      </c>
      <c r="X1540" s="2"/>
    </row>
    <row r="1541" spans="1:24" ht="15" customHeight="1">
      <c r="A1541" s="15">
        <v>1541</v>
      </c>
      <c r="B1541" s="102" t="s">
        <v>1555</v>
      </c>
      <c r="C1541" t="s">
        <v>4797</v>
      </c>
      <c r="D1541" t="s">
        <v>3116</v>
      </c>
      <c r="E1541" s="2" t="s">
        <v>3197</v>
      </c>
      <c r="F1541" t="s">
        <v>4798</v>
      </c>
      <c r="G1541">
        <v>25289462</v>
      </c>
      <c r="H1541" t="s">
        <v>546</v>
      </c>
      <c r="I1541" t="s">
        <v>4799</v>
      </c>
      <c r="J1541" t="s">
        <v>4799</v>
      </c>
      <c r="K1541" s="99">
        <v>45602</v>
      </c>
      <c r="L1541" s="99">
        <v>45603</v>
      </c>
      <c r="M1541" s="99">
        <v>45672</v>
      </c>
      <c r="N1541">
        <v>7</v>
      </c>
      <c r="O1541" s="111">
        <v>200985.84</v>
      </c>
      <c r="P1541" s="99">
        <v>45672</v>
      </c>
      <c r="Q1541" s="111">
        <v>200985.84</v>
      </c>
      <c r="R1541">
        <v>28907944</v>
      </c>
      <c r="S1541" s="99">
        <v>45603</v>
      </c>
      <c r="U1541" s="3">
        <v>3</v>
      </c>
      <c r="X1541" s="2"/>
    </row>
    <row r="1542" spans="1:24" ht="15" customHeight="1">
      <c r="A1542" s="15">
        <v>1542</v>
      </c>
      <c r="B1542" s="102" t="s">
        <v>3086</v>
      </c>
      <c r="C1542" t="s">
        <v>4800</v>
      </c>
      <c r="D1542" t="s">
        <v>3110</v>
      </c>
      <c r="E1542" s="2" t="s">
        <v>3123</v>
      </c>
      <c r="F1542" t="s">
        <v>4994</v>
      </c>
      <c r="G1542">
        <v>64934691</v>
      </c>
      <c r="H1542" s="2" t="s">
        <v>250</v>
      </c>
      <c r="I1542" t="s">
        <v>4801</v>
      </c>
      <c r="J1542" t="s">
        <v>4801</v>
      </c>
      <c r="K1542" s="99">
        <v>45538</v>
      </c>
      <c r="L1542" s="99">
        <v>45543</v>
      </c>
      <c r="M1542" s="99">
        <v>2958465</v>
      </c>
      <c r="N1542">
        <v>1</v>
      </c>
      <c r="O1542" s="111">
        <v>504000</v>
      </c>
      <c r="P1542" s="99">
        <v>2958465</v>
      </c>
      <c r="Q1542" s="111">
        <v>2520000</v>
      </c>
      <c r="R1542">
        <v>28128496</v>
      </c>
      <c r="S1542" s="99">
        <v>45543</v>
      </c>
      <c r="U1542">
        <v>6</v>
      </c>
      <c r="V1542" t="s">
        <v>4625</v>
      </c>
      <c r="W1542" t="s">
        <v>4625</v>
      </c>
      <c r="X1542" s="2"/>
    </row>
    <row r="1543" spans="1:24" ht="15" customHeight="1">
      <c r="A1543" s="15">
        <v>1543</v>
      </c>
      <c r="B1543" s="102" t="s">
        <v>1555</v>
      </c>
      <c r="C1543" t="s">
        <v>4802</v>
      </c>
      <c r="D1543" t="s">
        <v>3087</v>
      </c>
      <c r="E1543" s="2" t="s">
        <v>3162</v>
      </c>
      <c r="F1543" t="s">
        <v>4803</v>
      </c>
      <c r="G1543">
        <v>5242339</v>
      </c>
      <c r="H1543" s="96" t="s">
        <v>830</v>
      </c>
      <c r="I1543" t="s">
        <v>4804</v>
      </c>
      <c r="J1543" t="s">
        <v>4804</v>
      </c>
      <c r="K1543" s="99">
        <v>45519</v>
      </c>
      <c r="L1543" s="99">
        <v>45551</v>
      </c>
      <c r="M1543" s="99">
        <v>45562</v>
      </c>
      <c r="N1543">
        <v>7</v>
      </c>
      <c r="O1543" s="111">
        <v>6000</v>
      </c>
      <c r="P1543" s="99">
        <v>45562</v>
      </c>
      <c r="X1543" s="2"/>
    </row>
    <row r="1544" spans="1:24" ht="15" customHeight="1">
      <c r="A1544" s="15">
        <v>1544</v>
      </c>
      <c r="B1544" s="102" t="s">
        <v>3086</v>
      </c>
      <c r="C1544" t="s">
        <v>4805</v>
      </c>
      <c r="D1544" t="s">
        <v>3087</v>
      </c>
      <c r="E1544" s="2" t="s">
        <v>3162</v>
      </c>
      <c r="F1544" t="s">
        <v>4806</v>
      </c>
      <c r="G1544">
        <v>10461</v>
      </c>
      <c r="H1544" s="96" t="s">
        <v>830</v>
      </c>
      <c r="I1544" t="s">
        <v>4807</v>
      </c>
      <c r="J1544" t="s">
        <v>4807</v>
      </c>
      <c r="K1544" s="99">
        <v>45534</v>
      </c>
      <c r="L1544" s="99">
        <v>45536</v>
      </c>
      <c r="M1544" s="99">
        <v>45687</v>
      </c>
      <c r="N1544">
        <v>7</v>
      </c>
      <c r="O1544" s="111">
        <v>5000</v>
      </c>
      <c r="P1544" s="99">
        <v>45687</v>
      </c>
      <c r="X1544" s="2"/>
    </row>
    <row r="1545" spans="1:24" ht="15" customHeight="1">
      <c r="A1545" s="15">
        <v>1545</v>
      </c>
      <c r="B1545" s="102" t="s">
        <v>1555</v>
      </c>
      <c r="C1545" t="s">
        <v>4808</v>
      </c>
      <c r="D1545" t="s">
        <v>3087</v>
      </c>
      <c r="E1545" s="2" t="s">
        <v>3811</v>
      </c>
      <c r="F1545" t="s">
        <v>3188</v>
      </c>
      <c r="G1545">
        <v>65262310</v>
      </c>
      <c r="H1545" s="2" t="s">
        <v>180</v>
      </c>
      <c r="I1545" t="s">
        <v>4809</v>
      </c>
      <c r="J1545" t="s">
        <v>4809</v>
      </c>
      <c r="K1545" s="99">
        <v>45537</v>
      </c>
      <c r="L1545" s="99">
        <v>45542</v>
      </c>
      <c r="M1545" s="99">
        <v>45542</v>
      </c>
      <c r="O1545" s="111">
        <v>0</v>
      </c>
      <c r="P1545" s="99">
        <v>45542</v>
      </c>
      <c r="X1545" s="2"/>
    </row>
    <row r="1546" spans="1:24" ht="15" customHeight="1">
      <c r="A1546" s="15">
        <v>1546</v>
      </c>
      <c r="B1546" s="102" t="s">
        <v>1555</v>
      </c>
      <c r="C1546" t="s">
        <v>4810</v>
      </c>
      <c r="D1546" t="s">
        <v>3087</v>
      </c>
      <c r="E1546" s="2" t="s">
        <v>3162</v>
      </c>
      <c r="F1546" t="s">
        <v>4086</v>
      </c>
      <c r="G1546">
        <v>10067</v>
      </c>
      <c r="H1546" s="96" t="s">
        <v>830</v>
      </c>
      <c r="I1546" t="s">
        <v>4811</v>
      </c>
      <c r="J1546" t="s">
        <v>4811</v>
      </c>
      <c r="K1546" s="99">
        <v>45531</v>
      </c>
      <c r="L1546" s="99">
        <v>45532</v>
      </c>
      <c r="M1546" s="99">
        <v>45532</v>
      </c>
      <c r="N1546">
        <v>7</v>
      </c>
      <c r="O1546" s="111">
        <v>500</v>
      </c>
      <c r="P1546" s="99">
        <v>45532</v>
      </c>
      <c r="X1546" s="2"/>
    </row>
    <row r="1547" spans="1:24" ht="15" customHeight="1">
      <c r="A1547" s="15">
        <v>1547</v>
      </c>
      <c r="B1547" s="102" t="s">
        <v>1555</v>
      </c>
      <c r="C1547" t="s">
        <v>4812</v>
      </c>
      <c r="D1547" t="s">
        <v>3110</v>
      </c>
      <c r="E1547" s="2" t="s">
        <v>3369</v>
      </c>
      <c r="F1547" t="s">
        <v>4813</v>
      </c>
      <c r="G1547">
        <v>10235558</v>
      </c>
      <c r="H1547" t="s">
        <v>482</v>
      </c>
      <c r="I1547" t="s">
        <v>4814</v>
      </c>
      <c r="J1547" t="s">
        <v>4814</v>
      </c>
      <c r="K1547" s="99">
        <v>45541</v>
      </c>
      <c r="L1547" s="99">
        <v>45543</v>
      </c>
      <c r="M1547" s="99">
        <v>45546</v>
      </c>
      <c r="N1547">
        <v>7</v>
      </c>
      <c r="O1547" s="111">
        <v>398148.08</v>
      </c>
      <c r="P1547" s="99">
        <v>45546</v>
      </c>
      <c r="Q1547" s="111">
        <v>398148.08</v>
      </c>
      <c r="R1547">
        <v>28128492</v>
      </c>
      <c r="S1547" s="99">
        <v>45543</v>
      </c>
      <c r="X1547" s="2"/>
    </row>
    <row r="1548" spans="1:24" ht="15" customHeight="1">
      <c r="A1548" s="15">
        <v>1548</v>
      </c>
      <c r="B1548" s="102" t="s">
        <v>1555</v>
      </c>
      <c r="C1548" t="s">
        <v>4815</v>
      </c>
      <c r="D1548" t="s">
        <v>3087</v>
      </c>
      <c r="E1548" s="2" t="s">
        <v>3811</v>
      </c>
      <c r="F1548" t="s">
        <v>4818</v>
      </c>
      <c r="G1548">
        <v>10471</v>
      </c>
      <c r="H1548" s="2" t="s">
        <v>180</v>
      </c>
      <c r="I1548" t="s">
        <v>4819</v>
      </c>
      <c r="J1548" t="s">
        <v>4819</v>
      </c>
      <c r="K1548" s="99">
        <v>45539</v>
      </c>
      <c r="L1548" s="99">
        <v>45549</v>
      </c>
      <c r="M1548" s="99">
        <v>45549</v>
      </c>
      <c r="O1548" s="111">
        <v>0</v>
      </c>
      <c r="P1548" s="99">
        <v>45549</v>
      </c>
      <c r="X1548" s="2"/>
    </row>
    <row r="1549" spans="1:24" ht="15" customHeight="1">
      <c r="A1549" s="15">
        <v>1549</v>
      </c>
      <c r="B1549" s="102" t="s">
        <v>1555</v>
      </c>
      <c r="C1549" t="s">
        <v>4816</v>
      </c>
      <c r="D1549" t="s">
        <v>3087</v>
      </c>
      <c r="E1549" s="2" t="s">
        <v>3162</v>
      </c>
      <c r="F1549" t="s">
        <v>4820</v>
      </c>
      <c r="G1549">
        <v>7649223</v>
      </c>
      <c r="H1549" s="96" t="s">
        <v>830</v>
      </c>
      <c r="I1549" t="s">
        <v>4821</v>
      </c>
      <c r="J1549" t="s">
        <v>4821</v>
      </c>
      <c r="K1549" s="99">
        <v>45538</v>
      </c>
      <c r="L1549" s="99">
        <v>45761</v>
      </c>
      <c r="M1549" s="99">
        <v>45772</v>
      </c>
      <c r="N1549">
        <v>7</v>
      </c>
      <c r="O1549" s="111">
        <v>6000</v>
      </c>
      <c r="P1549" s="99">
        <v>45772</v>
      </c>
      <c r="X1549" s="2"/>
    </row>
    <row r="1550" spans="1:24" ht="15" customHeight="1">
      <c r="A1550" s="15">
        <v>1550</v>
      </c>
      <c r="B1550" s="102" t="s">
        <v>1555</v>
      </c>
      <c r="C1550" t="s">
        <v>4817</v>
      </c>
      <c r="D1550" t="s">
        <v>3087</v>
      </c>
      <c r="E1550" s="2" t="s">
        <v>3811</v>
      </c>
      <c r="F1550" t="s">
        <v>4822</v>
      </c>
      <c r="G1550">
        <v>61882127</v>
      </c>
      <c r="H1550" s="2" t="s">
        <v>180</v>
      </c>
      <c r="I1550" t="s">
        <v>4823</v>
      </c>
      <c r="J1550" t="s">
        <v>4823</v>
      </c>
      <c r="K1550" s="99">
        <v>45541</v>
      </c>
      <c r="L1550" s="99">
        <v>45542</v>
      </c>
      <c r="M1550" s="99">
        <v>45542</v>
      </c>
      <c r="O1550" s="111">
        <v>0</v>
      </c>
      <c r="P1550" s="99">
        <v>45542</v>
      </c>
      <c r="X1550" s="2"/>
    </row>
    <row r="1551" spans="1:24" ht="15" customHeight="1">
      <c r="A1551" s="15">
        <v>1551</v>
      </c>
      <c r="B1551" s="102" t="s">
        <v>3086</v>
      </c>
      <c r="C1551" t="s">
        <v>4828</v>
      </c>
      <c r="D1551" t="s">
        <v>4667</v>
      </c>
      <c r="E1551" s="2" t="s">
        <v>3088</v>
      </c>
      <c r="F1551" t="s">
        <v>3089</v>
      </c>
      <c r="G1551">
        <v>75151481</v>
      </c>
      <c r="H1551" s="2" t="s">
        <v>48</v>
      </c>
      <c r="I1551" t="s">
        <v>4829</v>
      </c>
      <c r="J1551" t="s">
        <v>4829</v>
      </c>
      <c r="K1551" s="99">
        <v>45554</v>
      </c>
      <c r="L1551" s="99">
        <v>45554</v>
      </c>
      <c r="M1551" s="99">
        <v>46283</v>
      </c>
      <c r="N1551">
        <v>7</v>
      </c>
      <c r="O1551" s="111">
        <v>139100</v>
      </c>
      <c r="P1551" s="99">
        <v>46283</v>
      </c>
      <c r="Q1551" s="111">
        <v>139100</v>
      </c>
      <c r="R1551">
        <v>28273172</v>
      </c>
      <c r="S1551" s="99">
        <v>45554</v>
      </c>
      <c r="X1551" s="2"/>
    </row>
    <row r="1552" spans="1:24" ht="15" customHeight="1">
      <c r="A1552" s="15">
        <v>1552</v>
      </c>
      <c r="B1552" s="102" t="s">
        <v>1555</v>
      </c>
      <c r="C1552" t="s">
        <v>4830</v>
      </c>
      <c r="D1552" t="s">
        <v>3087</v>
      </c>
      <c r="E1552" s="2" t="s">
        <v>3811</v>
      </c>
      <c r="F1552" t="s">
        <v>4831</v>
      </c>
      <c r="G1552">
        <v>44685041</v>
      </c>
      <c r="H1552" s="2" t="s">
        <v>180</v>
      </c>
      <c r="I1552" t="s">
        <v>4832</v>
      </c>
      <c r="J1552" t="s">
        <v>4832</v>
      </c>
      <c r="K1552" s="99">
        <v>45490</v>
      </c>
      <c r="L1552" s="99">
        <v>45492</v>
      </c>
      <c r="M1552" s="99">
        <v>45492</v>
      </c>
      <c r="N1552">
        <v>7</v>
      </c>
      <c r="O1552" s="111">
        <v>9200</v>
      </c>
      <c r="P1552" s="99">
        <v>45492</v>
      </c>
      <c r="X1552" s="2"/>
    </row>
    <row r="1553" spans="1:25" ht="15" customHeight="1">
      <c r="A1553" s="15">
        <v>1553</v>
      </c>
      <c r="B1553" s="102" t="s">
        <v>1555</v>
      </c>
      <c r="C1553" t="s">
        <v>4833</v>
      </c>
      <c r="D1553" t="s">
        <v>3087</v>
      </c>
      <c r="E1553" s="2" t="s">
        <v>3811</v>
      </c>
      <c r="F1553" t="s">
        <v>4834</v>
      </c>
      <c r="G1553">
        <v>70565813</v>
      </c>
      <c r="H1553" s="2" t="s">
        <v>180</v>
      </c>
      <c r="I1553" t="s">
        <v>4835</v>
      </c>
      <c r="J1553" t="s">
        <v>4835</v>
      </c>
      <c r="K1553" s="99">
        <v>45545</v>
      </c>
      <c r="L1553" s="99">
        <v>45553</v>
      </c>
      <c r="M1553" s="99">
        <v>45554</v>
      </c>
      <c r="N1553">
        <v>7</v>
      </c>
      <c r="O1553" s="111">
        <v>25700</v>
      </c>
      <c r="P1553" s="99">
        <v>45554</v>
      </c>
      <c r="X1553" s="2"/>
    </row>
    <row r="1554" spans="1:25" ht="15" customHeight="1">
      <c r="A1554" s="15">
        <v>1554</v>
      </c>
      <c r="B1554" s="102" t="s">
        <v>1555</v>
      </c>
      <c r="C1554" t="s">
        <v>4836</v>
      </c>
      <c r="D1554" t="s">
        <v>3087</v>
      </c>
      <c r="E1554" s="2" t="s">
        <v>3811</v>
      </c>
      <c r="F1554" t="s">
        <v>4837</v>
      </c>
      <c r="G1554">
        <v>66325889</v>
      </c>
      <c r="H1554" s="2" t="s">
        <v>180</v>
      </c>
      <c r="I1554" t="s">
        <v>4838</v>
      </c>
      <c r="J1554" t="s">
        <v>4838</v>
      </c>
      <c r="K1554" s="99">
        <v>45540</v>
      </c>
      <c r="L1554" s="99">
        <v>45549</v>
      </c>
      <c r="M1554" s="99">
        <v>45556</v>
      </c>
      <c r="O1554" s="111">
        <v>0</v>
      </c>
      <c r="P1554" s="99">
        <v>45556</v>
      </c>
      <c r="X1554" s="2"/>
    </row>
    <row r="1555" spans="1:25" ht="15" customHeight="1">
      <c r="A1555" s="15">
        <v>1555</v>
      </c>
      <c r="B1555" s="102" t="s">
        <v>1555</v>
      </c>
      <c r="C1555" t="s">
        <v>4839</v>
      </c>
      <c r="D1555" t="s">
        <v>3087</v>
      </c>
      <c r="E1555" s="2" t="s">
        <v>3811</v>
      </c>
      <c r="F1555" t="s">
        <v>4840</v>
      </c>
      <c r="G1555">
        <v>71006524</v>
      </c>
      <c r="H1555" s="2" t="s">
        <v>180</v>
      </c>
      <c r="I1555" t="s">
        <v>4841</v>
      </c>
      <c r="J1555" t="s">
        <v>4841</v>
      </c>
      <c r="K1555" s="99">
        <v>45541</v>
      </c>
      <c r="L1555" s="99">
        <v>45553</v>
      </c>
      <c r="M1555" s="99">
        <v>45553</v>
      </c>
      <c r="O1555" s="111">
        <v>0</v>
      </c>
      <c r="P1555" s="99">
        <v>45553</v>
      </c>
      <c r="X1555" s="2"/>
    </row>
    <row r="1556" spans="1:25" ht="15" customHeight="1">
      <c r="A1556" s="15">
        <v>1556</v>
      </c>
      <c r="B1556" s="102" t="s">
        <v>3086</v>
      </c>
      <c r="C1556" t="s">
        <v>4842</v>
      </c>
      <c r="D1556" t="s">
        <v>3110</v>
      </c>
      <c r="E1556" s="2" t="s">
        <v>3141</v>
      </c>
      <c r="F1556" t="s">
        <v>4843</v>
      </c>
      <c r="G1556">
        <v>60193913</v>
      </c>
      <c r="H1556" t="s">
        <v>4844</v>
      </c>
      <c r="I1556" s="96" t="s">
        <v>4913</v>
      </c>
      <c r="J1556" s="96" t="s">
        <v>4913</v>
      </c>
      <c r="K1556" s="99">
        <v>45552</v>
      </c>
      <c r="L1556" s="99">
        <v>45555</v>
      </c>
      <c r="M1556" s="99">
        <v>46265</v>
      </c>
      <c r="N1556">
        <v>2</v>
      </c>
      <c r="O1556" s="111">
        <v>25000</v>
      </c>
      <c r="P1556" s="99">
        <v>46265</v>
      </c>
      <c r="X1556" s="2"/>
    </row>
    <row r="1557" spans="1:25" ht="15" customHeight="1">
      <c r="A1557" s="15">
        <v>1557</v>
      </c>
      <c r="B1557" s="102" t="s">
        <v>1555</v>
      </c>
      <c r="C1557" t="s">
        <v>4845</v>
      </c>
      <c r="D1557" t="s">
        <v>3087</v>
      </c>
      <c r="E1557" s="2" t="s">
        <v>3811</v>
      </c>
      <c r="F1557" t="s">
        <v>3786</v>
      </c>
      <c r="G1557">
        <v>243825</v>
      </c>
      <c r="H1557" s="2" t="s">
        <v>180</v>
      </c>
      <c r="I1557" t="s">
        <v>4846</v>
      </c>
      <c r="J1557" t="s">
        <v>4846</v>
      </c>
      <c r="K1557" s="99">
        <v>45539</v>
      </c>
      <c r="L1557" s="99">
        <v>45542</v>
      </c>
      <c r="M1557" s="99">
        <v>45542</v>
      </c>
      <c r="O1557" s="111">
        <v>0</v>
      </c>
      <c r="P1557" s="99">
        <v>45542</v>
      </c>
      <c r="X1557" s="2"/>
    </row>
    <row r="1558" spans="1:25" ht="15" customHeight="1">
      <c r="A1558" s="15">
        <v>1558</v>
      </c>
      <c r="B1558" s="102" t="s">
        <v>1555</v>
      </c>
      <c r="C1558" t="s">
        <v>4847</v>
      </c>
      <c r="D1558" t="s">
        <v>3087</v>
      </c>
      <c r="E1558" s="2" t="s">
        <v>4294</v>
      </c>
      <c r="F1558" t="s">
        <v>4848</v>
      </c>
      <c r="G1558">
        <v>9098</v>
      </c>
      <c r="H1558" s="96" t="s">
        <v>830</v>
      </c>
      <c r="I1558" t="s">
        <v>4849</v>
      </c>
      <c r="J1558" t="s">
        <v>4849</v>
      </c>
      <c r="K1558" s="99">
        <v>45546</v>
      </c>
      <c r="L1558" s="99">
        <v>45546</v>
      </c>
      <c r="M1558" s="99">
        <v>45930</v>
      </c>
      <c r="O1558" s="111">
        <v>0</v>
      </c>
      <c r="P1558" s="99">
        <v>45930</v>
      </c>
      <c r="X1558" s="2"/>
    </row>
    <row r="1559" spans="1:25" ht="15" customHeight="1">
      <c r="A1559" s="15">
        <v>1559</v>
      </c>
      <c r="B1559" s="102" t="s">
        <v>1555</v>
      </c>
      <c r="C1559" t="s">
        <v>4850</v>
      </c>
      <c r="D1559" t="s">
        <v>3087</v>
      </c>
      <c r="E1559" s="2" t="s">
        <v>4294</v>
      </c>
      <c r="F1559" t="s">
        <v>4851</v>
      </c>
      <c r="G1559">
        <v>10493</v>
      </c>
      <c r="H1559" s="96" t="s">
        <v>830</v>
      </c>
      <c r="I1559" t="s">
        <v>4852</v>
      </c>
      <c r="J1559" t="s">
        <v>4852</v>
      </c>
      <c r="K1559" s="99">
        <v>45548</v>
      </c>
      <c r="L1559" s="99">
        <v>45558</v>
      </c>
      <c r="M1559" s="99">
        <v>45588</v>
      </c>
      <c r="O1559" s="111">
        <v>0</v>
      </c>
      <c r="P1559" s="99">
        <v>45588</v>
      </c>
      <c r="X1559" s="2"/>
    </row>
    <row r="1560" spans="1:25" ht="15" customHeight="1">
      <c r="A1560" s="15">
        <v>1560</v>
      </c>
      <c r="B1560" s="102" t="s">
        <v>3086</v>
      </c>
      <c r="C1560" t="s">
        <v>4853</v>
      </c>
      <c r="D1560" t="s">
        <v>3087</v>
      </c>
      <c r="E1560" s="2" t="s">
        <v>4854</v>
      </c>
      <c r="F1560" t="s">
        <v>3089</v>
      </c>
      <c r="G1560">
        <v>75151481</v>
      </c>
      <c r="H1560" t="s">
        <v>4194</v>
      </c>
      <c r="I1560" t="s">
        <v>4855</v>
      </c>
      <c r="J1560" t="s">
        <v>4855</v>
      </c>
      <c r="K1560" s="99">
        <v>45560</v>
      </c>
      <c r="L1560" s="99">
        <v>45560</v>
      </c>
      <c r="M1560" s="99">
        <v>46063</v>
      </c>
      <c r="O1560" s="111"/>
      <c r="P1560" s="99">
        <v>46063</v>
      </c>
      <c r="Q1560" s="111">
        <v>630000</v>
      </c>
      <c r="R1560">
        <v>28470472</v>
      </c>
      <c r="S1560" s="99">
        <v>45569</v>
      </c>
      <c r="X1560" s="2"/>
    </row>
    <row r="1561" spans="1:25" ht="15" customHeight="1">
      <c r="A1561" s="15">
        <v>1561</v>
      </c>
      <c r="B1561" s="102" t="s">
        <v>1555</v>
      </c>
      <c r="C1561" t="s">
        <v>4866</v>
      </c>
      <c r="D1561" t="s">
        <v>3087</v>
      </c>
      <c r="E1561" s="2" t="s">
        <v>3811</v>
      </c>
      <c r="F1561" t="s">
        <v>4867</v>
      </c>
      <c r="G1561">
        <v>25717421</v>
      </c>
      <c r="H1561" s="2" t="s">
        <v>180</v>
      </c>
      <c r="I1561" t="s">
        <v>4868</v>
      </c>
      <c r="J1561" t="s">
        <v>4868</v>
      </c>
      <c r="K1561" s="99">
        <v>45554</v>
      </c>
      <c r="L1561" s="99">
        <v>45554</v>
      </c>
      <c r="M1561" s="99">
        <v>45554</v>
      </c>
      <c r="N1561">
        <v>7</v>
      </c>
      <c r="O1561" s="111">
        <v>9320</v>
      </c>
      <c r="P1561" s="99">
        <v>45554</v>
      </c>
      <c r="X1561" s="2"/>
    </row>
    <row r="1562" spans="1:25" ht="15" customHeight="1">
      <c r="A1562" s="15">
        <v>1562</v>
      </c>
      <c r="B1562" s="102" t="s">
        <v>3086</v>
      </c>
      <c r="C1562" t="s">
        <v>4904</v>
      </c>
      <c r="D1562" t="s">
        <v>3094</v>
      </c>
      <c r="E1562" s="2" t="s">
        <v>3093</v>
      </c>
      <c r="F1562" t="s">
        <v>4908</v>
      </c>
      <c r="G1562">
        <v>64211</v>
      </c>
      <c r="H1562" s="96" t="s">
        <v>510</v>
      </c>
      <c r="I1562" s="26" t="s">
        <v>4909</v>
      </c>
      <c r="J1562" t="s">
        <v>4909</v>
      </c>
      <c r="K1562" s="99">
        <v>45565</v>
      </c>
      <c r="L1562" s="99">
        <v>45565</v>
      </c>
      <c r="M1562" s="99">
        <v>46295</v>
      </c>
      <c r="O1562" s="111">
        <v>0</v>
      </c>
      <c r="P1562" s="99">
        <v>46295</v>
      </c>
      <c r="U1562" s="105"/>
      <c r="W1562" t="s">
        <v>4625</v>
      </c>
      <c r="X1562" s="2"/>
      <c r="Y1562" s="96"/>
    </row>
    <row r="1563" spans="1:25" ht="15" customHeight="1">
      <c r="A1563" s="15">
        <v>1563</v>
      </c>
      <c r="B1563" s="102" t="s">
        <v>1555</v>
      </c>
      <c r="C1563" t="s">
        <v>4905</v>
      </c>
      <c r="D1563" t="s">
        <v>3110</v>
      </c>
      <c r="E1563" s="2" t="s">
        <v>3197</v>
      </c>
      <c r="F1563" t="s">
        <v>3283</v>
      </c>
      <c r="G1563">
        <v>48033758</v>
      </c>
      <c r="H1563" t="s">
        <v>546</v>
      </c>
      <c r="I1563" t="s">
        <v>4910</v>
      </c>
      <c r="J1563" t="s">
        <v>4910</v>
      </c>
      <c r="K1563" s="99">
        <v>45567</v>
      </c>
      <c r="L1563" s="99">
        <v>45567</v>
      </c>
      <c r="M1563" s="99">
        <v>45577</v>
      </c>
      <c r="N1563">
        <v>7</v>
      </c>
      <c r="O1563" s="111">
        <v>671436.26</v>
      </c>
      <c r="P1563" s="99">
        <v>45577</v>
      </c>
      <c r="Q1563" s="111">
        <v>671436.26</v>
      </c>
      <c r="R1563">
        <v>28438240</v>
      </c>
      <c r="S1563" s="99">
        <v>45567</v>
      </c>
      <c r="X1563" s="2"/>
    </row>
    <row r="1564" spans="1:25" ht="15" customHeight="1">
      <c r="A1564" s="15">
        <v>1564</v>
      </c>
      <c r="B1564" s="102" t="s">
        <v>1555</v>
      </c>
      <c r="C1564" t="s">
        <v>4906</v>
      </c>
      <c r="D1564" t="s">
        <v>3110</v>
      </c>
      <c r="E1564" s="2" t="s">
        <v>3197</v>
      </c>
      <c r="F1564" t="s">
        <v>3283</v>
      </c>
      <c r="G1564">
        <v>48033758</v>
      </c>
      <c r="H1564" t="s">
        <v>546</v>
      </c>
      <c r="I1564" t="s">
        <v>4911</v>
      </c>
      <c r="J1564" t="s">
        <v>4911</v>
      </c>
      <c r="K1564" s="99">
        <v>45567</v>
      </c>
      <c r="L1564" s="99">
        <v>45567</v>
      </c>
      <c r="M1564" s="99">
        <v>45577</v>
      </c>
      <c r="N1564">
        <v>7</v>
      </c>
      <c r="O1564" s="111">
        <v>150128.32999999999</v>
      </c>
      <c r="P1564" s="99">
        <v>45577</v>
      </c>
      <c r="Q1564" s="111">
        <v>150128.32999999999</v>
      </c>
      <c r="R1564">
        <v>28438244</v>
      </c>
      <c r="S1564" s="99">
        <v>45567</v>
      </c>
      <c r="X1564" s="2"/>
    </row>
    <row r="1565" spans="1:25" ht="15" customHeight="1">
      <c r="A1565" s="15">
        <v>1565</v>
      </c>
      <c r="B1565" s="102" t="s">
        <v>1555</v>
      </c>
      <c r="C1565" t="s">
        <v>4907</v>
      </c>
      <c r="D1565" t="s">
        <v>3110</v>
      </c>
      <c r="E1565" s="2" t="s">
        <v>3197</v>
      </c>
      <c r="F1565" t="s">
        <v>3283</v>
      </c>
      <c r="G1565">
        <v>48033758</v>
      </c>
      <c r="H1565" t="s">
        <v>546</v>
      </c>
      <c r="I1565" t="s">
        <v>4912</v>
      </c>
      <c r="J1565" t="s">
        <v>4912</v>
      </c>
      <c r="K1565" s="99">
        <v>45567</v>
      </c>
      <c r="L1565" s="99">
        <v>45567</v>
      </c>
      <c r="M1565" s="99">
        <v>45577</v>
      </c>
      <c r="N1565">
        <v>7</v>
      </c>
      <c r="O1565" s="111">
        <v>330500.61</v>
      </c>
      <c r="P1565" s="99">
        <v>45577</v>
      </c>
      <c r="Q1565" s="111">
        <v>330500.61</v>
      </c>
      <c r="R1565">
        <v>28438248</v>
      </c>
      <c r="S1565" s="99">
        <v>45567</v>
      </c>
      <c r="X1565" s="2"/>
    </row>
    <row r="1566" spans="1:25" ht="15" customHeight="1">
      <c r="A1566" s="15">
        <v>1566</v>
      </c>
      <c r="B1566" s="102" t="s">
        <v>3086</v>
      </c>
      <c r="C1566" t="s">
        <v>4914</v>
      </c>
      <c r="D1566" t="s">
        <v>4667</v>
      </c>
      <c r="E1566" s="2" t="s">
        <v>3088</v>
      </c>
      <c r="F1566" t="s">
        <v>4915</v>
      </c>
      <c r="G1566">
        <v>49516736</v>
      </c>
      <c r="H1566" s="2" t="s">
        <v>48</v>
      </c>
      <c r="I1566" t="s">
        <v>4933</v>
      </c>
      <c r="J1566" t="s">
        <v>4934</v>
      </c>
      <c r="K1566" s="99">
        <v>45567</v>
      </c>
      <c r="L1566" s="99">
        <v>45567</v>
      </c>
      <c r="M1566" s="99">
        <v>46662</v>
      </c>
      <c r="N1566">
        <v>7</v>
      </c>
      <c r="O1566" s="111">
        <v>43959.3</v>
      </c>
      <c r="P1566" s="99">
        <v>46662</v>
      </c>
      <c r="X1566" s="2"/>
    </row>
    <row r="1567" spans="1:25" ht="15" customHeight="1">
      <c r="A1567" s="15">
        <v>1567</v>
      </c>
      <c r="B1567" s="102" t="s">
        <v>1555</v>
      </c>
      <c r="C1567" t="s">
        <v>4916</v>
      </c>
      <c r="D1567" t="s">
        <v>3087</v>
      </c>
      <c r="E1567" s="2" t="s">
        <v>4294</v>
      </c>
      <c r="F1567" t="s">
        <v>4769</v>
      </c>
      <c r="G1567">
        <v>9689</v>
      </c>
      <c r="H1567" s="96" t="s">
        <v>830</v>
      </c>
      <c r="I1567" t="s">
        <v>4919</v>
      </c>
      <c r="J1567" t="s">
        <v>4919</v>
      </c>
      <c r="K1567" s="99">
        <v>45559</v>
      </c>
      <c r="L1567" s="99">
        <v>45559</v>
      </c>
      <c r="M1567" s="99">
        <v>45560</v>
      </c>
      <c r="N1567">
        <v>7</v>
      </c>
      <c r="O1567" s="111">
        <v>1000</v>
      </c>
      <c r="P1567" s="99">
        <v>45560</v>
      </c>
      <c r="X1567" s="2"/>
    </row>
    <row r="1568" spans="1:25" ht="15" customHeight="1">
      <c r="A1568" s="15">
        <v>1568</v>
      </c>
      <c r="B1568" s="102" t="s">
        <v>1555</v>
      </c>
      <c r="C1568" t="s">
        <v>4917</v>
      </c>
      <c r="D1568" t="s">
        <v>3087</v>
      </c>
      <c r="E1568" s="2" t="s">
        <v>4294</v>
      </c>
      <c r="F1568" t="s">
        <v>4921</v>
      </c>
      <c r="G1568">
        <v>9693</v>
      </c>
      <c r="H1568" s="96" t="s">
        <v>830</v>
      </c>
      <c r="I1568" t="s">
        <v>4920</v>
      </c>
      <c r="J1568" t="s">
        <v>4920</v>
      </c>
      <c r="K1568" s="99">
        <v>45559</v>
      </c>
      <c r="L1568" s="99">
        <v>45559</v>
      </c>
      <c r="M1568" s="99">
        <v>45560</v>
      </c>
      <c r="N1568">
        <v>7</v>
      </c>
      <c r="O1568" s="111">
        <v>1000</v>
      </c>
      <c r="P1568" s="99">
        <v>45560</v>
      </c>
      <c r="X1568" s="2"/>
    </row>
    <row r="1569" spans="1:24" ht="15" customHeight="1">
      <c r="A1569" s="15">
        <v>1569</v>
      </c>
      <c r="B1569" s="102" t="s">
        <v>1555</v>
      </c>
      <c r="C1569" t="s">
        <v>4918</v>
      </c>
      <c r="D1569" t="s">
        <v>3087</v>
      </c>
      <c r="E1569" s="2" t="s">
        <v>3811</v>
      </c>
      <c r="F1569" t="s">
        <v>3810</v>
      </c>
      <c r="G1569">
        <v>239500</v>
      </c>
      <c r="H1569" s="2" t="s">
        <v>180</v>
      </c>
      <c r="I1569" t="s">
        <v>4922</v>
      </c>
      <c r="J1569" t="s">
        <v>4922</v>
      </c>
      <c r="K1569" s="99">
        <v>45562</v>
      </c>
      <c r="L1569" s="99">
        <v>45573</v>
      </c>
      <c r="M1569" s="99">
        <v>45573</v>
      </c>
      <c r="O1569" s="111">
        <v>0</v>
      </c>
      <c r="P1569" s="99">
        <v>45573</v>
      </c>
      <c r="X1569" s="2"/>
    </row>
    <row r="1570" spans="1:24" ht="15" customHeight="1">
      <c r="A1570" s="15">
        <v>1570</v>
      </c>
      <c r="B1570" s="102" t="s">
        <v>1555</v>
      </c>
      <c r="C1570" t="s">
        <v>4923</v>
      </c>
      <c r="D1570" t="s">
        <v>3116</v>
      </c>
      <c r="E1570" s="2" t="s">
        <v>3369</v>
      </c>
      <c r="F1570" t="s">
        <v>4924</v>
      </c>
      <c r="G1570">
        <v>27432769</v>
      </c>
      <c r="H1570" t="s">
        <v>482</v>
      </c>
      <c r="I1570" t="s">
        <v>4925</v>
      </c>
      <c r="J1570" t="s">
        <v>4926</v>
      </c>
      <c r="K1570" s="99">
        <v>45583</v>
      </c>
      <c r="L1570" s="99">
        <v>45583</v>
      </c>
      <c r="M1570" s="99">
        <v>45689</v>
      </c>
      <c r="N1570">
        <v>7</v>
      </c>
      <c r="O1570" s="111">
        <v>385990</v>
      </c>
      <c r="P1570" s="99">
        <v>45689</v>
      </c>
      <c r="Q1570" s="111">
        <v>385990</v>
      </c>
      <c r="R1570">
        <v>28646080</v>
      </c>
      <c r="S1570" s="99">
        <v>45583</v>
      </c>
      <c r="X1570" s="2"/>
    </row>
    <row r="1571" spans="1:24" ht="15" customHeight="1">
      <c r="A1571" s="15">
        <v>1571</v>
      </c>
      <c r="B1571" s="102" t="s">
        <v>1555</v>
      </c>
      <c r="C1571" t="s">
        <v>4927</v>
      </c>
      <c r="D1571" t="s">
        <v>3127</v>
      </c>
      <c r="E1571" s="2" t="s">
        <v>3958</v>
      </c>
      <c r="F1571" t="s">
        <v>4928</v>
      </c>
      <c r="G1571">
        <v>6864244</v>
      </c>
      <c r="H1571" t="s">
        <v>4550</v>
      </c>
      <c r="I1571" t="s">
        <v>4929</v>
      </c>
      <c r="J1571" t="s">
        <v>4929</v>
      </c>
      <c r="K1571" s="99">
        <v>45609</v>
      </c>
      <c r="L1571" s="99">
        <v>45609</v>
      </c>
      <c r="M1571" s="99">
        <v>45609</v>
      </c>
      <c r="N1571">
        <v>7</v>
      </c>
      <c r="O1571" s="111">
        <v>177265</v>
      </c>
      <c r="P1571" s="99">
        <v>45609</v>
      </c>
      <c r="Q1571" s="111">
        <v>177265</v>
      </c>
      <c r="R1571">
        <v>28975712</v>
      </c>
      <c r="S1571" s="99">
        <v>45609</v>
      </c>
      <c r="X1571" s="2"/>
    </row>
    <row r="1572" spans="1:24" ht="15" customHeight="1">
      <c r="A1572" s="15">
        <v>1572</v>
      </c>
      <c r="B1572" s="102" t="s">
        <v>3086</v>
      </c>
      <c r="C1572" t="s">
        <v>4930</v>
      </c>
      <c r="D1572" t="s">
        <v>3110</v>
      </c>
      <c r="E1572" s="2" t="s">
        <v>3958</v>
      </c>
      <c r="F1572" t="s">
        <v>3534</v>
      </c>
      <c r="G1572">
        <v>26214059</v>
      </c>
      <c r="H1572" t="s">
        <v>4550</v>
      </c>
      <c r="I1572" t="s">
        <v>4932</v>
      </c>
      <c r="J1572" t="s">
        <v>4931</v>
      </c>
      <c r="K1572" s="99">
        <v>45632</v>
      </c>
      <c r="L1572" s="99">
        <v>45636</v>
      </c>
      <c r="M1572" s="99">
        <v>46265</v>
      </c>
      <c r="N1572">
        <v>7</v>
      </c>
      <c r="O1572" s="111">
        <v>158400</v>
      </c>
      <c r="P1572" s="99">
        <v>46265</v>
      </c>
      <c r="Q1572" s="111">
        <v>158400</v>
      </c>
      <c r="R1572">
        <v>29346532</v>
      </c>
      <c r="S1572" s="99">
        <v>45636</v>
      </c>
      <c r="X1572" s="2"/>
    </row>
    <row r="1573" spans="1:24" ht="15" customHeight="1">
      <c r="A1573" s="15">
        <v>1573</v>
      </c>
      <c r="B1573" s="102" t="s">
        <v>3086</v>
      </c>
      <c r="C1573" t="s">
        <v>4935</v>
      </c>
      <c r="D1573" t="s">
        <v>3094</v>
      </c>
      <c r="E1573" s="2" t="s">
        <v>3093</v>
      </c>
      <c r="F1573" t="s">
        <v>4908</v>
      </c>
      <c r="G1573">
        <v>64211</v>
      </c>
      <c r="H1573" s="96" t="s">
        <v>510</v>
      </c>
      <c r="I1573" s="743" t="s">
        <v>4936</v>
      </c>
      <c r="J1573" t="s">
        <v>4936</v>
      </c>
      <c r="K1573" s="99">
        <v>44697</v>
      </c>
      <c r="L1573" s="99">
        <v>44698</v>
      </c>
      <c r="M1573" s="99">
        <v>2958465</v>
      </c>
      <c r="N1573">
        <v>6</v>
      </c>
      <c r="O1573" s="111"/>
      <c r="P1573" s="99">
        <v>2958465</v>
      </c>
      <c r="Q1573" t="s">
        <v>4943</v>
      </c>
      <c r="X1573" s="2"/>
    </row>
    <row r="1574" spans="1:24" ht="15" customHeight="1">
      <c r="A1574" s="15">
        <v>1574</v>
      </c>
      <c r="B1574" s="102" t="s">
        <v>1555</v>
      </c>
      <c r="C1574" t="s">
        <v>4937</v>
      </c>
      <c r="D1574" t="s">
        <v>3139</v>
      </c>
      <c r="E1574" s="2" t="s">
        <v>3117</v>
      </c>
      <c r="F1574" t="s">
        <v>4938</v>
      </c>
      <c r="G1574">
        <v>10576</v>
      </c>
      <c r="H1574" t="s">
        <v>3982</v>
      </c>
      <c r="I1574" t="s">
        <v>4939</v>
      </c>
      <c r="J1574" t="s">
        <v>4939</v>
      </c>
      <c r="K1574" s="99">
        <v>45575</v>
      </c>
      <c r="L1574" s="99">
        <v>45575</v>
      </c>
      <c r="M1574" s="99">
        <v>45716</v>
      </c>
      <c r="N1574">
        <v>7</v>
      </c>
      <c r="O1574" s="111">
        <v>181500</v>
      </c>
      <c r="P1574" s="99">
        <v>45716</v>
      </c>
      <c r="Q1574" s="111">
        <v>181500</v>
      </c>
      <c r="R1574">
        <v>28545584</v>
      </c>
      <c r="S1574" s="99">
        <v>45575</v>
      </c>
      <c r="X1574" s="2"/>
    </row>
    <row r="1575" spans="1:24" ht="15" customHeight="1">
      <c r="A1575" s="15">
        <v>1575</v>
      </c>
      <c r="B1575" s="102" t="s">
        <v>3086</v>
      </c>
      <c r="C1575" t="s">
        <v>4941</v>
      </c>
      <c r="D1575" t="s">
        <v>3110</v>
      </c>
      <c r="E1575" s="2" t="s">
        <v>3141</v>
      </c>
      <c r="F1575" t="s">
        <v>4843</v>
      </c>
      <c r="G1575">
        <v>60193913</v>
      </c>
      <c r="H1575" t="s">
        <v>4844</v>
      </c>
      <c r="I1575" t="s">
        <v>4942</v>
      </c>
      <c r="J1575" t="s">
        <v>4942</v>
      </c>
      <c r="K1575" s="99">
        <v>45575</v>
      </c>
      <c r="L1575" s="99">
        <v>45576</v>
      </c>
      <c r="M1575" s="99">
        <v>46295</v>
      </c>
      <c r="N1575">
        <v>1</v>
      </c>
      <c r="O1575" s="111">
        <v>72000</v>
      </c>
      <c r="P1575" s="99">
        <v>46295</v>
      </c>
      <c r="Q1575" s="111">
        <v>72000</v>
      </c>
      <c r="R1575">
        <v>28548748</v>
      </c>
      <c r="S1575" s="99">
        <v>45576</v>
      </c>
      <c r="X1575" s="2"/>
    </row>
    <row r="1576" spans="1:24" ht="15" customHeight="1">
      <c r="A1576" s="15">
        <v>1576</v>
      </c>
      <c r="B1576" s="102" t="s">
        <v>3086</v>
      </c>
      <c r="C1576" t="s">
        <v>4949</v>
      </c>
      <c r="D1576" t="s">
        <v>3110</v>
      </c>
      <c r="E1576" s="2" t="s">
        <v>3092</v>
      </c>
      <c r="F1576" t="s">
        <v>4950</v>
      </c>
      <c r="G1576">
        <v>26576279</v>
      </c>
      <c r="H1576" t="s">
        <v>592</v>
      </c>
      <c r="I1576" t="s">
        <v>4951</v>
      </c>
      <c r="J1576" t="s">
        <v>4952</v>
      </c>
      <c r="K1576" s="99">
        <v>45680</v>
      </c>
      <c r="L1576" s="99">
        <v>45684</v>
      </c>
      <c r="N1576">
        <v>7</v>
      </c>
      <c r="O1576" s="111">
        <v>92000</v>
      </c>
      <c r="Q1576" s="111">
        <v>92000</v>
      </c>
      <c r="R1576">
        <v>29870412</v>
      </c>
      <c r="S1576" s="99">
        <v>45684</v>
      </c>
      <c r="X1576" s="2"/>
    </row>
    <row r="1577" spans="1:24" ht="15" customHeight="1">
      <c r="A1577" s="15">
        <v>1577</v>
      </c>
      <c r="B1577" s="102" t="s">
        <v>3086</v>
      </c>
      <c r="C1577" t="s">
        <v>4953</v>
      </c>
      <c r="D1577" t="s">
        <v>3110</v>
      </c>
      <c r="E1577" s="2" t="s">
        <v>3092</v>
      </c>
      <c r="F1577" t="s">
        <v>3876</v>
      </c>
      <c r="G1577">
        <v>64203</v>
      </c>
      <c r="H1577" t="s">
        <v>592</v>
      </c>
      <c r="I1577" t="s">
        <v>4954</v>
      </c>
      <c r="J1577" t="s">
        <v>4955</v>
      </c>
      <c r="K1577" s="99">
        <v>45701</v>
      </c>
      <c r="L1577" s="99">
        <v>45702</v>
      </c>
      <c r="N1577">
        <v>7</v>
      </c>
      <c r="O1577" s="111">
        <v>259000</v>
      </c>
      <c r="Q1577" s="111">
        <v>259000</v>
      </c>
      <c r="R1577">
        <v>30099100</v>
      </c>
      <c r="S1577" s="99">
        <v>45702</v>
      </c>
      <c r="X1577" s="2"/>
    </row>
    <row r="1578" spans="1:24" ht="15" customHeight="1">
      <c r="A1578" s="15">
        <v>1578</v>
      </c>
      <c r="B1578" s="102" t="s">
        <v>3086</v>
      </c>
      <c r="C1578" t="s">
        <v>4956</v>
      </c>
      <c r="D1578" t="s">
        <v>3110</v>
      </c>
      <c r="E1578" s="2" t="s">
        <v>3092</v>
      </c>
      <c r="F1578" t="s">
        <v>4957</v>
      </c>
      <c r="G1578" s="66">
        <v>509965</v>
      </c>
      <c r="H1578" t="s">
        <v>592</v>
      </c>
      <c r="I1578" s="96" t="s">
        <v>4958</v>
      </c>
      <c r="J1578" t="s">
        <v>4959</v>
      </c>
      <c r="K1578" s="99">
        <v>45740</v>
      </c>
      <c r="L1578" s="99">
        <v>45740</v>
      </c>
      <c r="M1578" s="99">
        <v>2958465</v>
      </c>
      <c r="N1578">
        <v>1</v>
      </c>
      <c r="O1578" s="111">
        <v>92000</v>
      </c>
      <c r="P1578" s="99">
        <v>2958465</v>
      </c>
      <c r="Q1578" s="111">
        <v>92000</v>
      </c>
      <c r="R1578">
        <v>30545944</v>
      </c>
      <c r="S1578" s="99">
        <v>45740</v>
      </c>
      <c r="X1578" s="2"/>
    </row>
    <row r="1579" spans="1:24" ht="15" customHeight="1">
      <c r="A1579" s="15">
        <v>1579</v>
      </c>
      <c r="B1579" s="102" t="s">
        <v>3086</v>
      </c>
      <c r="C1579" t="s">
        <v>4960</v>
      </c>
      <c r="D1579" t="s">
        <v>3110</v>
      </c>
      <c r="E1579" s="2" t="s">
        <v>3092</v>
      </c>
      <c r="F1579" s="96" t="s">
        <v>4961</v>
      </c>
      <c r="G1579">
        <v>5759544</v>
      </c>
      <c r="H1579" t="s">
        <v>592</v>
      </c>
      <c r="I1579" s="96" t="s">
        <v>4962</v>
      </c>
      <c r="J1579" s="96" t="s">
        <v>4962</v>
      </c>
      <c r="K1579" s="99">
        <v>45580</v>
      </c>
      <c r="L1579" s="99">
        <v>45584</v>
      </c>
      <c r="N1579">
        <v>7</v>
      </c>
      <c r="O1579" s="111">
        <v>746000</v>
      </c>
      <c r="Q1579" s="111">
        <v>746000</v>
      </c>
      <c r="R1579">
        <v>28648900</v>
      </c>
      <c r="S1579" s="99">
        <v>45584</v>
      </c>
      <c r="X1579" s="2"/>
    </row>
    <row r="1580" spans="1:24" ht="15" customHeight="1">
      <c r="A1580" s="15">
        <v>1580</v>
      </c>
      <c r="B1580" s="102" t="s">
        <v>3086</v>
      </c>
      <c r="C1580" t="s">
        <v>4976</v>
      </c>
      <c r="D1580" t="s">
        <v>3110</v>
      </c>
      <c r="E1580" s="2" t="s">
        <v>4965</v>
      </c>
      <c r="F1580" t="s">
        <v>4964</v>
      </c>
      <c r="G1580">
        <v>24729035</v>
      </c>
      <c r="H1580" t="s">
        <v>3183</v>
      </c>
      <c r="I1580" t="s">
        <v>4963</v>
      </c>
      <c r="J1580" t="s">
        <v>4963</v>
      </c>
      <c r="K1580" s="99">
        <v>45583</v>
      </c>
      <c r="L1580" s="99">
        <v>45583</v>
      </c>
      <c r="M1580" s="99">
        <v>2958465</v>
      </c>
      <c r="O1580" s="111">
        <v>39690</v>
      </c>
      <c r="P1580" s="99">
        <v>2958465</v>
      </c>
      <c r="X1580" s="2"/>
    </row>
    <row r="1581" spans="1:24" ht="15" customHeight="1">
      <c r="A1581" s="15">
        <v>1581</v>
      </c>
      <c r="B1581" s="102" t="s">
        <v>3086</v>
      </c>
      <c r="C1581" t="s">
        <v>4966</v>
      </c>
      <c r="D1581" t="s">
        <v>4667</v>
      </c>
      <c r="E1581" s="2" t="s">
        <v>3088</v>
      </c>
      <c r="F1581" t="s">
        <v>4968</v>
      </c>
      <c r="G1581">
        <v>75151481</v>
      </c>
      <c r="H1581" s="2" t="s">
        <v>48</v>
      </c>
      <c r="I1581" t="s">
        <v>4967</v>
      </c>
      <c r="J1581" t="s">
        <v>4967</v>
      </c>
      <c r="K1581" s="99">
        <v>45586</v>
      </c>
      <c r="L1581" s="99">
        <v>45586</v>
      </c>
      <c r="M1581" s="99">
        <v>47046</v>
      </c>
      <c r="N1581">
        <v>7</v>
      </c>
      <c r="O1581" s="111">
        <v>161535</v>
      </c>
      <c r="P1581" s="99">
        <v>47046</v>
      </c>
      <c r="Q1581" s="111">
        <v>161535</v>
      </c>
      <c r="R1581">
        <v>28671260</v>
      </c>
      <c r="S1581" s="99">
        <v>45587</v>
      </c>
      <c r="X1581" s="2"/>
    </row>
    <row r="1582" spans="1:24" ht="15" customHeight="1">
      <c r="A1582" s="15">
        <v>1582</v>
      </c>
      <c r="B1582" s="102" t="s">
        <v>3086</v>
      </c>
      <c r="C1582" t="s">
        <v>4977</v>
      </c>
      <c r="D1582" t="s">
        <v>3110</v>
      </c>
      <c r="E1582" s="2" t="s">
        <v>4965</v>
      </c>
      <c r="F1582" t="s">
        <v>4964</v>
      </c>
      <c r="G1582">
        <v>24729035</v>
      </c>
      <c r="H1582" t="s">
        <v>4969</v>
      </c>
      <c r="I1582" t="s">
        <v>4970</v>
      </c>
      <c r="J1582" t="s">
        <v>4970</v>
      </c>
      <c r="K1582" s="99">
        <v>45583</v>
      </c>
      <c r="L1582" s="99">
        <v>45583</v>
      </c>
      <c r="O1582" s="111">
        <v>25200</v>
      </c>
      <c r="X1582" s="2"/>
    </row>
    <row r="1583" spans="1:24" ht="15" customHeight="1">
      <c r="A1583" s="15">
        <v>1583</v>
      </c>
      <c r="B1583" s="102" t="s">
        <v>1555</v>
      </c>
      <c r="C1583" t="s">
        <v>4972</v>
      </c>
      <c r="D1583" t="s">
        <v>3087</v>
      </c>
      <c r="E1583" s="2" t="s">
        <v>3811</v>
      </c>
      <c r="F1583" t="s">
        <v>4764</v>
      </c>
      <c r="G1583">
        <v>45800456</v>
      </c>
      <c r="H1583" s="2" t="s">
        <v>180</v>
      </c>
      <c r="I1583" t="s">
        <v>4978</v>
      </c>
      <c r="J1583" t="s">
        <v>4979</v>
      </c>
      <c r="K1583" s="99">
        <v>45569</v>
      </c>
      <c r="L1583" s="99">
        <v>45574</v>
      </c>
      <c r="M1583" s="99">
        <v>45574</v>
      </c>
      <c r="N1583">
        <v>7</v>
      </c>
      <c r="O1583" s="111">
        <v>5350</v>
      </c>
      <c r="P1583" s="99">
        <v>45574</v>
      </c>
      <c r="X1583" s="2"/>
    </row>
    <row r="1584" spans="1:24" ht="15" customHeight="1">
      <c r="A1584" s="15">
        <v>1584</v>
      </c>
      <c r="B1584" s="102" t="s">
        <v>1555</v>
      </c>
      <c r="C1584" t="s">
        <v>4973</v>
      </c>
      <c r="D1584" t="s">
        <v>3087</v>
      </c>
      <c r="E1584" s="2" t="s">
        <v>4294</v>
      </c>
      <c r="F1584" t="s">
        <v>4653</v>
      </c>
      <c r="G1584">
        <v>10331</v>
      </c>
      <c r="H1584" s="96" t="s">
        <v>830</v>
      </c>
      <c r="I1584" t="s">
        <v>4980</v>
      </c>
      <c r="J1584" t="s">
        <v>4980</v>
      </c>
      <c r="K1584" s="99">
        <v>45565</v>
      </c>
      <c r="L1584" s="99">
        <v>45566</v>
      </c>
      <c r="M1584" s="99">
        <v>45838</v>
      </c>
      <c r="O1584" s="111">
        <v>0</v>
      </c>
      <c r="P1584" s="99">
        <v>45838</v>
      </c>
      <c r="X1584" s="2"/>
    </row>
    <row r="1585" spans="1:26" ht="15" customHeight="1">
      <c r="A1585" s="15">
        <v>1585</v>
      </c>
      <c r="B1585" s="102" t="s">
        <v>1555</v>
      </c>
      <c r="C1585" t="s">
        <v>4974</v>
      </c>
      <c r="D1585" t="s">
        <v>3087</v>
      </c>
      <c r="E1585" s="2" t="s">
        <v>3811</v>
      </c>
      <c r="F1585" t="s">
        <v>3502</v>
      </c>
      <c r="G1585">
        <v>26747618</v>
      </c>
      <c r="H1585" s="2" t="s">
        <v>180</v>
      </c>
      <c r="I1585" t="s">
        <v>4981</v>
      </c>
      <c r="J1585" t="s">
        <v>4981</v>
      </c>
      <c r="K1585" s="99">
        <v>45552</v>
      </c>
      <c r="L1585" s="99">
        <v>45553</v>
      </c>
      <c r="M1585" s="99">
        <v>45656</v>
      </c>
      <c r="N1585">
        <v>7</v>
      </c>
      <c r="O1585" s="111">
        <v>113760</v>
      </c>
      <c r="P1585" s="99">
        <v>45656</v>
      </c>
      <c r="Q1585" s="111">
        <v>113760</v>
      </c>
      <c r="R1585">
        <v>28564556</v>
      </c>
      <c r="S1585" s="99">
        <v>45578</v>
      </c>
      <c r="X1585" s="2"/>
    </row>
    <row r="1586" spans="1:26" ht="15" customHeight="1">
      <c r="A1586" s="15">
        <v>1586</v>
      </c>
      <c r="B1586" s="102" t="s">
        <v>1555</v>
      </c>
      <c r="C1586" t="s">
        <v>4975</v>
      </c>
      <c r="D1586" t="s">
        <v>3087</v>
      </c>
      <c r="E1586" s="2" t="s">
        <v>4294</v>
      </c>
      <c r="F1586" t="s">
        <v>4982</v>
      </c>
      <c r="G1586">
        <v>28822269</v>
      </c>
      <c r="H1586" s="96" t="s">
        <v>830</v>
      </c>
      <c r="I1586" t="s">
        <v>4983</v>
      </c>
      <c r="J1586" t="s">
        <v>4983</v>
      </c>
      <c r="K1586" s="99">
        <v>45561</v>
      </c>
      <c r="L1586" s="99">
        <v>45561</v>
      </c>
      <c r="M1586" s="99">
        <v>45606</v>
      </c>
      <c r="N1586">
        <v>7</v>
      </c>
      <c r="O1586" s="111">
        <v>4200</v>
      </c>
      <c r="P1586" s="99">
        <v>45606</v>
      </c>
      <c r="X1586" s="2"/>
    </row>
    <row r="1587" spans="1:26" ht="15" customHeight="1">
      <c r="A1587" s="15">
        <v>1587</v>
      </c>
      <c r="B1587" s="102" t="s">
        <v>3086</v>
      </c>
      <c r="C1587" t="s">
        <v>4985</v>
      </c>
      <c r="D1587" t="s">
        <v>4667</v>
      </c>
      <c r="E1587" s="2" t="s">
        <v>3088</v>
      </c>
      <c r="F1587" t="s">
        <v>4986</v>
      </c>
      <c r="G1587">
        <v>48134821</v>
      </c>
      <c r="H1587" s="2" t="s">
        <v>48</v>
      </c>
      <c r="I1587" t="s">
        <v>4987</v>
      </c>
      <c r="J1587" t="s">
        <v>4987</v>
      </c>
      <c r="K1587" s="99">
        <v>45602</v>
      </c>
      <c r="L1587" s="99">
        <v>45602</v>
      </c>
      <c r="M1587" s="99">
        <v>46696</v>
      </c>
      <c r="N1587">
        <v>7</v>
      </c>
      <c r="O1587" s="111">
        <v>31399.5</v>
      </c>
      <c r="P1587" s="99">
        <v>46696</v>
      </c>
      <c r="X1587" s="2"/>
    </row>
    <row r="1588" spans="1:26" ht="15" customHeight="1">
      <c r="A1588" s="15">
        <v>1588</v>
      </c>
      <c r="B1588" s="102" t="s">
        <v>1555</v>
      </c>
      <c r="C1588" t="s">
        <v>4989</v>
      </c>
      <c r="D1588" t="s">
        <v>3116</v>
      </c>
      <c r="E1588" s="2" t="s">
        <v>3197</v>
      </c>
      <c r="F1588" t="s">
        <v>3375</v>
      </c>
      <c r="G1588">
        <v>26700778</v>
      </c>
      <c r="H1588" t="s">
        <v>546</v>
      </c>
      <c r="I1588" s="108" t="s">
        <v>4990</v>
      </c>
      <c r="J1588" s="108" t="s">
        <v>4990</v>
      </c>
      <c r="K1588" s="99">
        <v>45587</v>
      </c>
      <c r="L1588" s="99">
        <v>45587</v>
      </c>
      <c r="M1588" s="99">
        <v>45617</v>
      </c>
      <c r="N1588">
        <v>7</v>
      </c>
      <c r="O1588" s="111">
        <v>1039027</v>
      </c>
      <c r="P1588" s="99">
        <v>45617</v>
      </c>
      <c r="Q1588" s="485">
        <v>1039027</v>
      </c>
      <c r="R1588">
        <v>28675532</v>
      </c>
      <c r="S1588" s="99">
        <v>45587</v>
      </c>
      <c r="X1588" s="2"/>
      <c r="Z1588" s="96"/>
    </row>
    <row r="1589" spans="1:26" ht="15" customHeight="1">
      <c r="A1589" s="15">
        <v>1589</v>
      </c>
      <c r="B1589" s="102" t="s">
        <v>1555</v>
      </c>
      <c r="C1589" s="96" t="s">
        <v>5197</v>
      </c>
      <c r="D1589" t="s">
        <v>3094</v>
      </c>
      <c r="E1589" s="2" t="s">
        <v>3958</v>
      </c>
      <c r="F1589" t="s">
        <v>3508</v>
      </c>
      <c r="G1589">
        <v>26700779</v>
      </c>
      <c r="H1589" t="s">
        <v>4550</v>
      </c>
      <c r="I1589" s="108" t="s">
        <v>4988</v>
      </c>
      <c r="J1589" s="108" t="s">
        <v>4988</v>
      </c>
      <c r="K1589" s="99">
        <v>45600</v>
      </c>
      <c r="L1589" s="99">
        <v>45604</v>
      </c>
      <c r="M1589" s="99">
        <v>45604</v>
      </c>
      <c r="N1589">
        <v>7</v>
      </c>
      <c r="O1589" s="111">
        <v>93109.5</v>
      </c>
      <c r="P1589" s="99">
        <v>45604</v>
      </c>
      <c r="Q1589" s="111">
        <v>93109.5</v>
      </c>
      <c r="R1589">
        <v>28923628</v>
      </c>
      <c r="S1589" s="99">
        <v>45604</v>
      </c>
      <c r="X1589" s="2"/>
    </row>
    <row r="1590" spans="1:26" ht="15.75" customHeight="1">
      <c r="A1590" s="15">
        <v>1590</v>
      </c>
      <c r="B1590" s="102" t="s">
        <v>1555</v>
      </c>
      <c r="C1590" t="s">
        <v>4991</v>
      </c>
      <c r="D1590" t="s">
        <v>3087</v>
      </c>
      <c r="E1590" s="2" t="s">
        <v>3958</v>
      </c>
      <c r="F1590" s="96" t="s">
        <v>3502</v>
      </c>
      <c r="G1590">
        <v>26747618</v>
      </c>
      <c r="H1590" t="s">
        <v>4550</v>
      </c>
      <c r="I1590" s="96" t="s">
        <v>4992</v>
      </c>
      <c r="J1590" s="96" t="s">
        <v>4993</v>
      </c>
      <c r="K1590" s="99">
        <v>45580</v>
      </c>
      <c r="L1590" s="99">
        <v>45580</v>
      </c>
      <c r="M1590" s="99">
        <v>45656</v>
      </c>
      <c r="N1590">
        <v>7</v>
      </c>
      <c r="O1590" s="111">
        <v>113760</v>
      </c>
      <c r="P1590" s="99">
        <v>45656</v>
      </c>
      <c r="Q1590" s="111">
        <v>113760</v>
      </c>
      <c r="R1590">
        <v>29239992</v>
      </c>
      <c r="S1590" s="99">
        <v>45629</v>
      </c>
      <c r="X1590" s="2"/>
    </row>
    <row r="1591" spans="1:26" ht="15" customHeight="1">
      <c r="A1591" s="15">
        <v>1591</v>
      </c>
      <c r="B1591" s="102" t="s">
        <v>1555</v>
      </c>
      <c r="C1591" t="s">
        <v>5001</v>
      </c>
      <c r="D1591" t="s">
        <v>3087</v>
      </c>
      <c r="E1591" s="2" t="s">
        <v>4294</v>
      </c>
      <c r="F1591" t="s">
        <v>5005</v>
      </c>
      <c r="G1591">
        <v>28782089</v>
      </c>
      <c r="H1591" s="96" t="s">
        <v>830</v>
      </c>
      <c r="I1591" t="s">
        <v>5006</v>
      </c>
      <c r="J1591" t="s">
        <v>5006</v>
      </c>
      <c r="K1591" s="99">
        <v>45552</v>
      </c>
      <c r="L1591" s="99">
        <v>45552</v>
      </c>
      <c r="M1591" s="99">
        <v>45599</v>
      </c>
      <c r="N1591">
        <v>7</v>
      </c>
      <c r="O1591" s="111">
        <v>6000</v>
      </c>
      <c r="P1591" s="99">
        <v>45599</v>
      </c>
      <c r="X1591" s="2"/>
    </row>
    <row r="1592" spans="1:26" ht="15" customHeight="1">
      <c r="A1592" s="15">
        <v>1592</v>
      </c>
      <c r="B1592" s="102" t="s">
        <v>1555</v>
      </c>
      <c r="C1592" t="s">
        <v>5002</v>
      </c>
      <c r="D1592" t="s">
        <v>3087</v>
      </c>
      <c r="E1592" s="2" t="s">
        <v>4294</v>
      </c>
      <c r="F1592" t="s">
        <v>5008</v>
      </c>
      <c r="G1592">
        <v>29019818</v>
      </c>
      <c r="H1592" s="96" t="s">
        <v>830</v>
      </c>
      <c r="I1592" t="s">
        <v>5007</v>
      </c>
      <c r="J1592" t="s">
        <v>5007</v>
      </c>
      <c r="K1592" s="99">
        <v>45566</v>
      </c>
      <c r="L1592" s="99">
        <v>45566</v>
      </c>
      <c r="M1592" s="99">
        <v>45579</v>
      </c>
      <c r="N1592">
        <v>7</v>
      </c>
      <c r="O1592" s="111">
        <v>6000</v>
      </c>
      <c r="P1592" s="99">
        <v>45579</v>
      </c>
      <c r="X1592" s="2"/>
    </row>
    <row r="1593" spans="1:26" ht="15" customHeight="1">
      <c r="A1593" s="15">
        <v>1593</v>
      </c>
      <c r="B1593" s="102" t="s">
        <v>1555</v>
      </c>
      <c r="C1593" t="s">
        <v>5003</v>
      </c>
      <c r="D1593" t="s">
        <v>3087</v>
      </c>
      <c r="E1593" s="2" t="s">
        <v>4294</v>
      </c>
      <c r="F1593" t="s">
        <v>5010</v>
      </c>
      <c r="G1593">
        <v>46414266</v>
      </c>
      <c r="H1593" s="96" t="s">
        <v>830</v>
      </c>
      <c r="I1593" t="s">
        <v>5009</v>
      </c>
      <c r="J1593" t="s">
        <v>5009</v>
      </c>
      <c r="K1593" s="99">
        <v>45576</v>
      </c>
      <c r="L1593" s="99">
        <v>45579</v>
      </c>
      <c r="M1593" s="99">
        <v>45590</v>
      </c>
      <c r="N1593">
        <v>7</v>
      </c>
      <c r="O1593" s="111">
        <v>6000</v>
      </c>
      <c r="P1593" s="99">
        <v>45590</v>
      </c>
      <c r="X1593" s="2"/>
    </row>
    <row r="1594" spans="1:26" ht="15" customHeight="1">
      <c r="A1594" s="15">
        <v>1594</v>
      </c>
      <c r="B1594" s="102" t="s">
        <v>1555</v>
      </c>
      <c r="C1594" t="s">
        <v>5004</v>
      </c>
      <c r="D1594" t="s">
        <v>3087</v>
      </c>
      <c r="E1594" s="2" t="s">
        <v>3811</v>
      </c>
      <c r="F1594" t="s">
        <v>3821</v>
      </c>
      <c r="G1594">
        <v>237442</v>
      </c>
      <c r="H1594" s="2" t="s">
        <v>180</v>
      </c>
      <c r="I1594" t="s">
        <v>5011</v>
      </c>
      <c r="J1594" t="s">
        <v>5011</v>
      </c>
      <c r="K1594" s="99">
        <v>45582</v>
      </c>
      <c r="L1594" s="99">
        <v>45596</v>
      </c>
      <c r="M1594" s="99">
        <v>45596</v>
      </c>
      <c r="N1594">
        <v>7</v>
      </c>
      <c r="O1594" s="111">
        <v>7700</v>
      </c>
      <c r="P1594" s="99">
        <v>45596</v>
      </c>
      <c r="X1594" s="2"/>
    </row>
    <row r="1595" spans="1:26" ht="15" customHeight="1">
      <c r="A1595" s="15">
        <v>1595</v>
      </c>
      <c r="B1595" s="102" t="s">
        <v>3086</v>
      </c>
      <c r="C1595" t="s">
        <v>5012</v>
      </c>
      <c r="D1595" t="s">
        <v>3116</v>
      </c>
      <c r="E1595" s="2" t="s">
        <v>3202</v>
      </c>
      <c r="F1595" t="s">
        <v>3700</v>
      </c>
      <c r="G1595">
        <v>5732069</v>
      </c>
      <c r="H1595" t="s">
        <v>385</v>
      </c>
      <c r="I1595" t="s">
        <v>5013</v>
      </c>
      <c r="J1595" t="s">
        <v>5013</v>
      </c>
      <c r="K1595" s="99">
        <v>45590</v>
      </c>
      <c r="L1595" s="99">
        <v>45590</v>
      </c>
      <c r="N1595">
        <v>6</v>
      </c>
      <c r="O1595" s="111">
        <v>580800</v>
      </c>
      <c r="Q1595" s="111">
        <v>580800</v>
      </c>
      <c r="R1595" t="s">
        <v>6251</v>
      </c>
      <c r="S1595" s="99" t="s">
        <v>6252</v>
      </c>
      <c r="X1595" s="2"/>
    </row>
    <row r="1596" spans="1:26" ht="15" customHeight="1">
      <c r="A1596" s="15">
        <v>1596</v>
      </c>
      <c r="B1596" s="102" t="s">
        <v>1555</v>
      </c>
      <c r="C1596" t="s">
        <v>5014</v>
      </c>
      <c r="D1596" t="s">
        <v>3116</v>
      </c>
      <c r="E1596" s="2" t="s">
        <v>3197</v>
      </c>
      <c r="F1596" t="s">
        <v>3863</v>
      </c>
      <c r="G1596">
        <v>174939</v>
      </c>
      <c r="H1596" t="s">
        <v>546</v>
      </c>
      <c r="I1596" t="s">
        <v>5015</v>
      </c>
      <c r="J1596" t="s">
        <v>5015</v>
      </c>
      <c r="K1596" s="99">
        <v>45610</v>
      </c>
      <c r="L1596" s="99">
        <v>45611</v>
      </c>
      <c r="M1596" s="99">
        <v>45640</v>
      </c>
      <c r="N1596">
        <v>7</v>
      </c>
      <c r="O1596" s="111">
        <v>1912453.4</v>
      </c>
      <c r="P1596" s="99">
        <v>45640</v>
      </c>
      <c r="Q1596" s="111">
        <v>1912453.4</v>
      </c>
      <c r="R1596">
        <v>29009464</v>
      </c>
      <c r="S1596" s="99">
        <v>45611</v>
      </c>
      <c r="X1596" s="2"/>
    </row>
    <row r="1597" spans="1:26" ht="15" customHeight="1">
      <c r="A1597" s="15">
        <v>1597</v>
      </c>
      <c r="B1597" s="102" t="s">
        <v>1555</v>
      </c>
      <c r="C1597" t="s">
        <v>5024</v>
      </c>
      <c r="D1597" t="s">
        <v>3087</v>
      </c>
      <c r="E1597" s="2" t="s">
        <v>4294</v>
      </c>
      <c r="F1597" t="s">
        <v>5030</v>
      </c>
      <c r="G1597">
        <v>10597</v>
      </c>
      <c r="H1597" s="96" t="s">
        <v>830</v>
      </c>
      <c r="I1597" t="s">
        <v>5031</v>
      </c>
      <c r="J1597" t="s">
        <v>5031</v>
      </c>
      <c r="K1597" s="99">
        <v>45583</v>
      </c>
      <c r="L1597" s="99">
        <v>45583</v>
      </c>
      <c r="M1597" s="99">
        <v>45626</v>
      </c>
      <c r="N1597">
        <v>7</v>
      </c>
      <c r="O1597" s="111">
        <v>1500</v>
      </c>
      <c r="P1597" s="99">
        <v>45626</v>
      </c>
      <c r="Q1597" s="111"/>
      <c r="X1597" s="2"/>
    </row>
    <row r="1598" spans="1:26" ht="15" customHeight="1">
      <c r="A1598" s="15">
        <v>1598</v>
      </c>
      <c r="B1598" s="102" t="s">
        <v>1555</v>
      </c>
      <c r="C1598" t="s">
        <v>5025</v>
      </c>
      <c r="D1598" t="s">
        <v>3087</v>
      </c>
      <c r="E1598" s="2" t="s">
        <v>4294</v>
      </c>
      <c r="F1598" t="s">
        <v>5032</v>
      </c>
      <c r="G1598">
        <v>24770086</v>
      </c>
      <c r="H1598" s="96" t="s">
        <v>830</v>
      </c>
      <c r="I1598" t="s">
        <v>5033</v>
      </c>
      <c r="J1598" t="s">
        <v>5033</v>
      </c>
      <c r="K1598" s="99">
        <v>45579</v>
      </c>
      <c r="L1598" s="99">
        <v>45586</v>
      </c>
      <c r="M1598" s="99">
        <v>45597</v>
      </c>
      <c r="N1598">
        <v>7</v>
      </c>
      <c r="O1598" s="111">
        <v>6000</v>
      </c>
      <c r="P1598" s="99">
        <v>45597</v>
      </c>
      <c r="Q1598" s="111"/>
      <c r="X1598" s="2"/>
    </row>
    <row r="1599" spans="1:26" ht="15" customHeight="1">
      <c r="A1599" s="15">
        <v>1599</v>
      </c>
      <c r="B1599" s="102" t="s">
        <v>1555</v>
      </c>
      <c r="C1599" t="s">
        <v>5026</v>
      </c>
      <c r="D1599" t="s">
        <v>3087</v>
      </c>
      <c r="E1599" s="2" t="s">
        <v>4294</v>
      </c>
      <c r="F1599" t="s">
        <v>3237</v>
      </c>
      <c r="G1599">
        <v>61383082</v>
      </c>
      <c r="H1599" s="96" t="s">
        <v>830</v>
      </c>
      <c r="I1599" t="s">
        <v>5034</v>
      </c>
      <c r="J1599" t="s">
        <v>5034</v>
      </c>
      <c r="K1599" s="99">
        <v>45579</v>
      </c>
      <c r="L1599" s="99">
        <v>45621</v>
      </c>
      <c r="M1599" s="99">
        <v>45632</v>
      </c>
      <c r="N1599">
        <v>7</v>
      </c>
      <c r="O1599" s="111">
        <v>6000</v>
      </c>
      <c r="P1599" s="99">
        <v>45632</v>
      </c>
      <c r="Q1599" s="111"/>
      <c r="X1599" s="2"/>
    </row>
    <row r="1600" spans="1:26" ht="15" customHeight="1">
      <c r="A1600" s="15">
        <v>1600</v>
      </c>
      <c r="B1600" s="102" t="s">
        <v>1555</v>
      </c>
      <c r="C1600" t="s">
        <v>5027</v>
      </c>
      <c r="D1600" t="s">
        <v>3087</v>
      </c>
      <c r="E1600" s="2" t="s">
        <v>4294</v>
      </c>
      <c r="F1600" t="s">
        <v>4086</v>
      </c>
      <c r="G1600">
        <v>10067</v>
      </c>
      <c r="H1600" s="96" t="s">
        <v>830</v>
      </c>
      <c r="I1600" t="s">
        <v>5035</v>
      </c>
      <c r="J1600" t="s">
        <v>5035</v>
      </c>
      <c r="K1600" s="99">
        <v>45579</v>
      </c>
      <c r="L1600" s="99">
        <v>45579</v>
      </c>
      <c r="M1600" s="99">
        <v>45579</v>
      </c>
      <c r="N1600">
        <v>7</v>
      </c>
      <c r="O1600" s="111">
        <v>500</v>
      </c>
      <c r="P1600" s="99">
        <v>45579</v>
      </c>
      <c r="Q1600" s="111"/>
      <c r="X1600" s="2"/>
    </row>
    <row r="1601" spans="1:24" ht="15" customHeight="1">
      <c r="A1601" s="15">
        <v>1601</v>
      </c>
      <c r="B1601" s="102" t="s">
        <v>1555</v>
      </c>
      <c r="C1601" t="s">
        <v>5028</v>
      </c>
      <c r="D1601" t="s">
        <v>3087</v>
      </c>
      <c r="E1601" s="2" t="s">
        <v>4294</v>
      </c>
      <c r="F1601" t="s">
        <v>5036</v>
      </c>
      <c r="G1601">
        <v>10602</v>
      </c>
      <c r="H1601" s="96" t="s">
        <v>830</v>
      </c>
      <c r="I1601" t="s">
        <v>5037</v>
      </c>
      <c r="J1601" t="s">
        <v>5037</v>
      </c>
      <c r="K1601" s="99">
        <v>45586</v>
      </c>
      <c r="L1601" s="99">
        <v>45586</v>
      </c>
      <c r="M1601" s="99">
        <v>45626</v>
      </c>
      <c r="N1601">
        <v>7</v>
      </c>
      <c r="O1601" s="111">
        <v>1500</v>
      </c>
      <c r="P1601" s="99">
        <v>45626</v>
      </c>
      <c r="Q1601" s="111"/>
      <c r="X1601" s="2"/>
    </row>
    <row r="1602" spans="1:24" ht="15" customHeight="1">
      <c r="A1602" s="15">
        <v>1602</v>
      </c>
      <c r="B1602" s="102" t="s">
        <v>1555</v>
      </c>
      <c r="C1602" t="s">
        <v>5029</v>
      </c>
      <c r="D1602" t="s">
        <v>3087</v>
      </c>
      <c r="E1602" s="2" t="s">
        <v>4294</v>
      </c>
      <c r="F1602" t="s">
        <v>5038</v>
      </c>
      <c r="G1602">
        <v>46359443</v>
      </c>
      <c r="H1602" s="96" t="s">
        <v>830</v>
      </c>
      <c r="I1602" t="s">
        <v>5039</v>
      </c>
      <c r="J1602" t="s">
        <v>5039</v>
      </c>
      <c r="K1602" s="99">
        <v>45586</v>
      </c>
      <c r="L1602" s="99">
        <v>45594</v>
      </c>
      <c r="M1602" s="99">
        <v>45626</v>
      </c>
      <c r="N1602">
        <v>7</v>
      </c>
      <c r="O1602" s="111">
        <v>4200</v>
      </c>
      <c r="P1602" s="99">
        <v>45626</v>
      </c>
      <c r="Q1602" s="111"/>
      <c r="X1602" s="2"/>
    </row>
    <row r="1603" spans="1:24" ht="15" customHeight="1">
      <c r="A1603" s="15">
        <v>1603</v>
      </c>
      <c r="B1603" s="102" t="s">
        <v>1555</v>
      </c>
      <c r="C1603" t="s">
        <v>5040</v>
      </c>
      <c r="D1603" t="s">
        <v>3139</v>
      </c>
      <c r="E1603" s="2" t="s">
        <v>3958</v>
      </c>
      <c r="F1603" t="s">
        <v>4915</v>
      </c>
      <c r="G1603">
        <v>49516736</v>
      </c>
      <c r="H1603" t="s">
        <v>5253</v>
      </c>
      <c r="I1603" t="s">
        <v>5041</v>
      </c>
      <c r="J1603" t="s">
        <v>5041</v>
      </c>
      <c r="K1603" s="99">
        <v>45594</v>
      </c>
      <c r="L1603" s="99">
        <v>45595</v>
      </c>
      <c r="M1603" s="99">
        <v>45961</v>
      </c>
      <c r="N1603">
        <v>1</v>
      </c>
      <c r="O1603" s="111">
        <v>2008504.36</v>
      </c>
      <c r="P1603" s="99">
        <v>45961</v>
      </c>
      <c r="Q1603" s="111">
        <v>2008504.36</v>
      </c>
      <c r="R1603">
        <v>28758344</v>
      </c>
      <c r="S1603" s="99">
        <v>45595</v>
      </c>
      <c r="X1603" s="2"/>
    </row>
    <row r="1604" spans="1:24" ht="15" customHeight="1">
      <c r="A1604" s="15">
        <v>1604</v>
      </c>
      <c r="B1604" s="102" t="s">
        <v>3086</v>
      </c>
      <c r="C1604" t="s">
        <v>5042</v>
      </c>
      <c r="D1604" t="s">
        <v>3110</v>
      </c>
      <c r="E1604" s="96" t="s">
        <v>3228</v>
      </c>
      <c r="F1604" s="96" t="s">
        <v>3590</v>
      </c>
      <c r="G1604">
        <v>25085221</v>
      </c>
      <c r="H1604" s="96" t="s">
        <v>245</v>
      </c>
      <c r="I1604" s="96" t="s">
        <v>5045</v>
      </c>
      <c r="J1604" s="96" t="s">
        <v>5045</v>
      </c>
      <c r="K1604" s="99">
        <v>45596</v>
      </c>
      <c r="L1604" s="99">
        <v>45602</v>
      </c>
      <c r="M1604" s="99">
        <v>2958465</v>
      </c>
      <c r="N1604">
        <v>4</v>
      </c>
      <c r="O1604" s="111">
        <v>165000</v>
      </c>
      <c r="P1604" s="99">
        <v>2958465</v>
      </c>
      <c r="Q1604" s="111">
        <v>825000</v>
      </c>
      <c r="R1604">
        <v>28888188</v>
      </c>
      <c r="S1604" s="99">
        <v>45602</v>
      </c>
      <c r="X1604" s="2"/>
    </row>
    <row r="1605" spans="1:24" ht="15" customHeight="1">
      <c r="A1605" s="15">
        <v>1605</v>
      </c>
      <c r="B1605" s="102" t="s">
        <v>3086</v>
      </c>
      <c r="C1605" s="96" t="s">
        <v>5043</v>
      </c>
      <c r="D1605" t="s">
        <v>3110</v>
      </c>
      <c r="E1605" s="96" t="s">
        <v>3679</v>
      </c>
      <c r="F1605" s="96" t="s">
        <v>5047</v>
      </c>
      <c r="G1605">
        <v>65249691</v>
      </c>
      <c r="H1605" s="96" t="s">
        <v>645</v>
      </c>
      <c r="I1605" t="s">
        <v>5046</v>
      </c>
      <c r="J1605" t="s">
        <v>5046</v>
      </c>
      <c r="K1605" s="99">
        <v>45596</v>
      </c>
      <c r="L1605" s="99">
        <v>45602</v>
      </c>
      <c r="M1605" s="99">
        <v>46331</v>
      </c>
      <c r="N1605">
        <v>1</v>
      </c>
      <c r="O1605" s="111">
        <v>181500</v>
      </c>
      <c r="P1605" s="99">
        <v>46331</v>
      </c>
      <c r="Q1605" s="111">
        <v>181500</v>
      </c>
      <c r="R1605">
        <v>28888236</v>
      </c>
      <c r="S1605" s="99">
        <v>45602</v>
      </c>
      <c r="X1605" s="2"/>
    </row>
    <row r="1606" spans="1:24" ht="15" customHeight="1">
      <c r="A1606" s="15">
        <v>1606</v>
      </c>
      <c r="B1606" s="102" t="s">
        <v>3086</v>
      </c>
      <c r="C1606" t="s">
        <v>5044</v>
      </c>
      <c r="D1606" t="s">
        <v>3110</v>
      </c>
      <c r="E1606" s="96" t="s">
        <v>3273</v>
      </c>
      <c r="F1606" s="96" t="s">
        <v>5049</v>
      </c>
      <c r="G1606">
        <v>25605984</v>
      </c>
      <c r="H1606" s="2" t="s">
        <v>271</v>
      </c>
      <c r="I1606" t="s">
        <v>5048</v>
      </c>
      <c r="J1606" t="s">
        <v>5048</v>
      </c>
      <c r="K1606" s="99">
        <v>45596</v>
      </c>
      <c r="L1606" s="99">
        <v>45601</v>
      </c>
      <c r="M1606" s="99">
        <v>46330</v>
      </c>
      <c r="N1606">
        <v>6</v>
      </c>
      <c r="O1606" s="111">
        <v>160000</v>
      </c>
      <c r="P1606" s="99">
        <v>46330</v>
      </c>
      <c r="Q1606" s="111">
        <v>160000</v>
      </c>
      <c r="R1606">
        <v>28870744</v>
      </c>
      <c r="S1606" s="99">
        <v>45601</v>
      </c>
      <c r="X1606" s="2"/>
    </row>
    <row r="1607" spans="1:24" ht="15" customHeight="1">
      <c r="A1607" s="15">
        <v>1607</v>
      </c>
      <c r="B1607" s="102" t="s">
        <v>3086</v>
      </c>
      <c r="C1607" t="s">
        <v>5050</v>
      </c>
      <c r="D1607" t="s">
        <v>3110</v>
      </c>
      <c r="E1607" s="96" t="s">
        <v>3369</v>
      </c>
      <c r="F1607" s="96" t="s">
        <v>5051</v>
      </c>
      <c r="G1607">
        <v>1661833</v>
      </c>
      <c r="H1607" s="96" t="s">
        <v>482</v>
      </c>
      <c r="I1607" s="96" t="s">
        <v>5052</v>
      </c>
      <c r="J1607" s="96" t="s">
        <v>5052</v>
      </c>
      <c r="K1607" s="99">
        <v>45611</v>
      </c>
      <c r="L1607" s="99">
        <v>45615</v>
      </c>
      <c r="N1607">
        <v>7</v>
      </c>
      <c r="O1607" s="111">
        <v>233195</v>
      </c>
      <c r="Q1607" s="663">
        <v>233195</v>
      </c>
      <c r="R1607">
        <v>29043692</v>
      </c>
      <c r="S1607" s="99">
        <v>45615</v>
      </c>
      <c r="X1607" s="2"/>
    </row>
    <row r="1608" spans="1:24" ht="15" customHeight="1">
      <c r="A1608" s="15">
        <v>1608</v>
      </c>
      <c r="B1608" s="102" t="s">
        <v>3086</v>
      </c>
      <c r="C1608" t="s">
        <v>5054</v>
      </c>
      <c r="D1608" t="s">
        <v>3116</v>
      </c>
      <c r="E1608" s="2" t="s">
        <v>3202</v>
      </c>
      <c r="F1608" s="96" t="s">
        <v>5055</v>
      </c>
      <c r="G1608">
        <v>24664812</v>
      </c>
      <c r="H1608" s="96" t="s">
        <v>385</v>
      </c>
      <c r="I1608" t="s">
        <v>5056</v>
      </c>
      <c r="J1608" t="s">
        <v>5056</v>
      </c>
      <c r="K1608" s="99">
        <v>45604</v>
      </c>
      <c r="L1608" s="99">
        <v>45604</v>
      </c>
      <c r="N1608">
        <v>6</v>
      </c>
      <c r="O1608" s="111">
        <v>580800</v>
      </c>
      <c r="Q1608" s="111">
        <v>580800</v>
      </c>
      <c r="R1608">
        <v>28914680</v>
      </c>
      <c r="S1608" s="99">
        <v>45604</v>
      </c>
      <c r="X1608" s="2"/>
    </row>
    <row r="1609" spans="1:24" ht="15" customHeight="1">
      <c r="A1609" s="15">
        <v>1609</v>
      </c>
      <c r="B1609" s="102" t="s">
        <v>1555</v>
      </c>
      <c r="C1609" t="s">
        <v>5057</v>
      </c>
      <c r="D1609" t="s">
        <v>3116</v>
      </c>
      <c r="E1609" s="96" t="s">
        <v>3197</v>
      </c>
      <c r="F1609" s="96" t="s">
        <v>3863</v>
      </c>
      <c r="G1609">
        <v>174939</v>
      </c>
      <c r="H1609" s="96" t="s">
        <v>546</v>
      </c>
      <c r="I1609" t="s">
        <v>5058</v>
      </c>
      <c r="J1609" t="s">
        <v>5058</v>
      </c>
      <c r="K1609" s="99">
        <v>45610</v>
      </c>
      <c r="L1609" s="99">
        <v>45611</v>
      </c>
      <c r="M1609" s="99">
        <v>45618</v>
      </c>
      <c r="N1609">
        <v>7</v>
      </c>
      <c r="O1609" s="111">
        <v>970420</v>
      </c>
      <c r="P1609" s="99">
        <v>45618</v>
      </c>
      <c r="Q1609" s="111">
        <v>970420</v>
      </c>
      <c r="R1609">
        <v>29009412</v>
      </c>
      <c r="S1609" s="99">
        <v>45611</v>
      </c>
      <c r="X1609" s="2"/>
    </row>
    <row r="1610" spans="1:24" ht="15" customHeight="1">
      <c r="A1610" s="15">
        <v>1610</v>
      </c>
      <c r="B1610" s="102" t="s">
        <v>1555</v>
      </c>
      <c r="C1610" t="s">
        <v>5059</v>
      </c>
      <c r="D1610" t="s">
        <v>3087</v>
      </c>
      <c r="E1610" s="96" t="s">
        <v>3811</v>
      </c>
      <c r="F1610" s="96" t="s">
        <v>3265</v>
      </c>
      <c r="G1610">
        <v>49366076</v>
      </c>
      <c r="H1610" s="2" t="s">
        <v>180</v>
      </c>
      <c r="I1610" t="s">
        <v>5060</v>
      </c>
      <c r="J1610" t="s">
        <v>5060</v>
      </c>
      <c r="K1610" s="99">
        <v>45582</v>
      </c>
      <c r="L1610" s="99">
        <v>45593</v>
      </c>
      <c r="M1610" s="99">
        <v>45593</v>
      </c>
      <c r="O1610" s="111">
        <v>0</v>
      </c>
      <c r="P1610" s="99">
        <v>45593</v>
      </c>
      <c r="Q1610" s="111"/>
    </row>
    <row r="1611" spans="1:24" ht="15" customHeight="1">
      <c r="A1611" s="15">
        <v>1611</v>
      </c>
      <c r="B1611" s="102" t="s">
        <v>1555</v>
      </c>
      <c r="C1611" t="s">
        <v>5061</v>
      </c>
      <c r="D1611" t="s">
        <v>3110</v>
      </c>
      <c r="E1611" s="96" t="s">
        <v>3197</v>
      </c>
      <c r="F1611" s="96" t="s">
        <v>5062</v>
      </c>
      <c r="G1611">
        <v>25756184</v>
      </c>
      <c r="H1611" s="96" t="s">
        <v>546</v>
      </c>
      <c r="I1611" t="s">
        <v>5063</v>
      </c>
      <c r="J1611" s="96" t="s">
        <v>5063</v>
      </c>
      <c r="K1611" s="99">
        <v>45602</v>
      </c>
      <c r="L1611" s="99">
        <v>45602</v>
      </c>
      <c r="M1611" s="99">
        <v>45612</v>
      </c>
      <c r="N1611">
        <v>7</v>
      </c>
      <c r="O1611" s="111">
        <v>1250317.98</v>
      </c>
      <c r="P1611" s="99">
        <v>45612</v>
      </c>
      <c r="Q1611" s="111">
        <v>1250317.98</v>
      </c>
      <c r="R1611">
        <v>28888164</v>
      </c>
      <c r="S1611" s="99">
        <v>45602</v>
      </c>
    </row>
    <row r="1612" spans="1:24" ht="15" customHeight="1">
      <c r="A1612" s="15">
        <v>1612</v>
      </c>
      <c r="B1612" s="102" t="s">
        <v>1555</v>
      </c>
      <c r="C1612" t="s">
        <v>5067</v>
      </c>
      <c r="D1612" t="s">
        <v>3087</v>
      </c>
      <c r="E1612" s="2" t="s">
        <v>4294</v>
      </c>
      <c r="F1612" s="96" t="s">
        <v>3460</v>
      </c>
      <c r="G1612">
        <v>27235530</v>
      </c>
      <c r="H1612" s="96" t="s">
        <v>830</v>
      </c>
      <c r="I1612" t="s">
        <v>5068</v>
      </c>
      <c r="J1612" t="s">
        <v>5068</v>
      </c>
      <c r="K1612" s="99">
        <v>45586</v>
      </c>
      <c r="L1612" s="99">
        <v>45601</v>
      </c>
      <c r="M1612" s="99">
        <v>45838</v>
      </c>
      <c r="N1612">
        <v>6</v>
      </c>
      <c r="O1612" s="111">
        <v>200000</v>
      </c>
      <c r="P1612" s="99">
        <v>45838</v>
      </c>
      <c r="Q1612" s="111">
        <v>200000</v>
      </c>
      <c r="R1612">
        <v>28870740</v>
      </c>
      <c r="S1612" s="99">
        <v>45601</v>
      </c>
    </row>
    <row r="1613" spans="1:24" ht="15" customHeight="1">
      <c r="A1613" s="15">
        <v>1613</v>
      </c>
      <c r="B1613" s="102" t="s">
        <v>1555</v>
      </c>
      <c r="C1613" t="s">
        <v>5071</v>
      </c>
      <c r="D1613" t="s">
        <v>3110</v>
      </c>
      <c r="E1613" s="2" t="s">
        <v>3202</v>
      </c>
      <c r="F1613" s="96" t="s">
        <v>5072</v>
      </c>
      <c r="G1613">
        <v>61467863</v>
      </c>
      <c r="H1613" s="96" t="s">
        <v>385</v>
      </c>
      <c r="I1613" t="s">
        <v>5075</v>
      </c>
      <c r="J1613" s="96" t="s">
        <v>5073</v>
      </c>
      <c r="K1613" s="99">
        <v>45609</v>
      </c>
      <c r="L1613" s="99">
        <v>45611</v>
      </c>
      <c r="M1613" s="99">
        <v>45975</v>
      </c>
      <c r="N1613">
        <v>1</v>
      </c>
      <c r="O1613" s="111">
        <v>807805.68</v>
      </c>
      <c r="P1613" s="99">
        <v>45975</v>
      </c>
      <c r="Q1613" s="111">
        <v>807805.68</v>
      </c>
      <c r="R1613">
        <v>29007916</v>
      </c>
      <c r="S1613" s="99">
        <v>45611</v>
      </c>
    </row>
    <row r="1614" spans="1:24" ht="15" customHeight="1">
      <c r="A1614" s="15">
        <v>1614</v>
      </c>
      <c r="B1614" s="102" t="s">
        <v>1555</v>
      </c>
      <c r="C1614" t="s">
        <v>5069</v>
      </c>
      <c r="D1614" t="s">
        <v>3110</v>
      </c>
      <c r="E1614" s="96" t="s">
        <v>3369</v>
      </c>
      <c r="F1614" s="96" t="s">
        <v>5074</v>
      </c>
      <c r="G1614">
        <v>5055831</v>
      </c>
      <c r="H1614" s="96" t="s">
        <v>482</v>
      </c>
      <c r="I1614" t="s">
        <v>5070</v>
      </c>
      <c r="J1614" t="s">
        <v>5070</v>
      </c>
      <c r="K1614" s="99">
        <v>45628</v>
      </c>
      <c r="L1614" s="99">
        <v>45630</v>
      </c>
      <c r="M1614" s="99">
        <v>45684</v>
      </c>
      <c r="N1614">
        <v>7</v>
      </c>
      <c r="O1614" s="111">
        <v>598446</v>
      </c>
      <c r="P1614" s="99">
        <v>45684</v>
      </c>
      <c r="Q1614" s="111">
        <v>598446</v>
      </c>
      <c r="R1614">
        <v>29254320</v>
      </c>
      <c r="S1614" s="99">
        <v>45630</v>
      </c>
    </row>
    <row r="1615" spans="1:24" ht="15" customHeight="1">
      <c r="A1615" s="15">
        <v>1615</v>
      </c>
      <c r="B1615" s="102" t="s">
        <v>1555</v>
      </c>
      <c r="C1615" t="s">
        <v>5076</v>
      </c>
      <c r="D1615" t="s">
        <v>3087</v>
      </c>
      <c r="E1615" s="2" t="s">
        <v>4294</v>
      </c>
      <c r="F1615" s="96" t="s">
        <v>3237</v>
      </c>
      <c r="G1615">
        <v>61383082</v>
      </c>
      <c r="H1615" s="96" t="s">
        <v>830</v>
      </c>
      <c r="I1615" t="s">
        <v>5077</v>
      </c>
      <c r="J1615" t="s">
        <v>5077</v>
      </c>
      <c r="K1615" s="99">
        <v>45587</v>
      </c>
      <c r="L1615" s="99">
        <v>45614</v>
      </c>
      <c r="M1615" s="99">
        <v>45625</v>
      </c>
      <c r="N1615">
        <v>7</v>
      </c>
      <c r="O1615" s="111">
        <v>4200</v>
      </c>
      <c r="P1615" s="99">
        <v>45625</v>
      </c>
    </row>
    <row r="1616" spans="1:24" ht="15" customHeight="1">
      <c r="A1616" s="15">
        <v>1616</v>
      </c>
      <c r="B1616" s="102" t="s">
        <v>1555</v>
      </c>
      <c r="C1616" t="s">
        <v>5078</v>
      </c>
      <c r="D1616" t="s">
        <v>3087</v>
      </c>
      <c r="E1616" s="2" t="s">
        <v>4294</v>
      </c>
      <c r="F1616" s="96" t="s">
        <v>5079</v>
      </c>
      <c r="G1616">
        <v>10621</v>
      </c>
      <c r="H1616" s="96" t="s">
        <v>830</v>
      </c>
      <c r="I1616" t="s">
        <v>5080</v>
      </c>
      <c r="J1616" t="s">
        <v>5080</v>
      </c>
      <c r="K1616" s="99">
        <v>45590</v>
      </c>
      <c r="L1616" s="99">
        <v>45628</v>
      </c>
      <c r="M1616" s="99">
        <v>45639</v>
      </c>
      <c r="N1616">
        <v>7</v>
      </c>
      <c r="O1616" s="111">
        <v>5000</v>
      </c>
      <c r="P1616" s="99">
        <v>45639</v>
      </c>
    </row>
    <row r="1617" spans="1:24" ht="15" customHeight="1">
      <c r="A1617" s="15">
        <v>1617</v>
      </c>
      <c r="B1617" s="102" t="s">
        <v>1555</v>
      </c>
      <c r="C1617" t="s">
        <v>5081</v>
      </c>
      <c r="D1617" t="s">
        <v>3087</v>
      </c>
      <c r="E1617" s="2" t="s">
        <v>4294</v>
      </c>
      <c r="F1617" s="96" t="s">
        <v>4244</v>
      </c>
      <c r="G1617">
        <v>10101</v>
      </c>
      <c r="H1617" s="96" t="s">
        <v>830</v>
      </c>
      <c r="I1617" t="s">
        <v>5082</v>
      </c>
      <c r="J1617" t="s">
        <v>5082</v>
      </c>
      <c r="K1617" s="99">
        <v>45530</v>
      </c>
      <c r="L1617" s="99">
        <v>45530</v>
      </c>
      <c r="M1617" s="99">
        <v>45565</v>
      </c>
      <c r="N1617">
        <v>7</v>
      </c>
      <c r="O1617" s="111">
        <v>2500</v>
      </c>
      <c r="P1617" s="99">
        <v>45565</v>
      </c>
    </row>
    <row r="1618" spans="1:24" ht="15" customHeight="1">
      <c r="A1618" s="15">
        <v>1618</v>
      </c>
      <c r="B1618" s="102" t="s">
        <v>1555</v>
      </c>
      <c r="C1618" t="s">
        <v>5083</v>
      </c>
      <c r="D1618" t="s">
        <v>3087</v>
      </c>
      <c r="E1618" s="2" t="s">
        <v>4294</v>
      </c>
      <c r="F1618" s="96" t="s">
        <v>5084</v>
      </c>
      <c r="G1618">
        <v>10622</v>
      </c>
      <c r="H1618" s="96" t="s">
        <v>830</v>
      </c>
      <c r="I1618" t="s">
        <v>5085</v>
      </c>
      <c r="J1618" t="s">
        <v>5085</v>
      </c>
      <c r="K1618" s="99">
        <v>45596</v>
      </c>
      <c r="L1618" s="99">
        <v>45635</v>
      </c>
      <c r="M1618" s="99">
        <v>45646</v>
      </c>
      <c r="O1618" s="111">
        <v>0</v>
      </c>
      <c r="P1618" s="99">
        <v>45646</v>
      </c>
    </row>
    <row r="1619" spans="1:24" ht="15" customHeight="1">
      <c r="A1619" s="15">
        <v>1619</v>
      </c>
      <c r="B1619" s="102" t="s">
        <v>1555</v>
      </c>
      <c r="C1619" t="s">
        <v>5086</v>
      </c>
      <c r="D1619" t="s">
        <v>3087</v>
      </c>
      <c r="E1619" s="2" t="s">
        <v>4294</v>
      </c>
      <c r="F1619" s="96" t="s">
        <v>5087</v>
      </c>
      <c r="G1619">
        <v>10623</v>
      </c>
      <c r="H1619" s="96" t="s">
        <v>830</v>
      </c>
      <c r="I1619" t="s">
        <v>5088</v>
      </c>
      <c r="J1619" t="s">
        <v>5088</v>
      </c>
      <c r="K1619" s="99">
        <v>45590</v>
      </c>
      <c r="L1619" s="99">
        <v>45597</v>
      </c>
      <c r="M1619" s="99">
        <v>45626</v>
      </c>
      <c r="N1619">
        <v>7</v>
      </c>
      <c r="O1619" s="111">
        <v>1500</v>
      </c>
      <c r="P1619" s="99">
        <v>45626</v>
      </c>
    </row>
    <row r="1620" spans="1:24" ht="15" customHeight="1">
      <c r="A1620" s="15">
        <v>1620</v>
      </c>
      <c r="B1620" s="102" t="s">
        <v>3086</v>
      </c>
      <c r="C1620" t="s">
        <v>5089</v>
      </c>
      <c r="D1620" t="s">
        <v>3094</v>
      </c>
      <c r="E1620" s="96" t="s">
        <v>5090</v>
      </c>
      <c r="F1620" s="96" t="s">
        <v>3746</v>
      </c>
      <c r="G1620">
        <v>1549855</v>
      </c>
      <c r="H1620" s="96" t="s">
        <v>189</v>
      </c>
      <c r="I1620" t="s">
        <v>5211</v>
      </c>
      <c r="J1620" t="s">
        <v>722</v>
      </c>
      <c r="K1620" s="99">
        <v>45642</v>
      </c>
      <c r="L1620" s="99">
        <v>45650</v>
      </c>
      <c r="M1620" s="99">
        <v>47110</v>
      </c>
      <c r="N1620">
        <v>6</v>
      </c>
      <c r="O1620" s="111">
        <v>60000</v>
      </c>
      <c r="P1620" s="99">
        <v>47110</v>
      </c>
      <c r="Q1620" s="111">
        <v>60000</v>
      </c>
      <c r="R1620">
        <v>29550668</v>
      </c>
      <c r="S1620" s="99">
        <v>45650</v>
      </c>
      <c r="U1620" s="720">
        <v>3</v>
      </c>
      <c r="W1620" t="s">
        <v>4940</v>
      </c>
      <c r="X1620" s="2" t="s">
        <v>3728</v>
      </c>
    </row>
    <row r="1621" spans="1:24" ht="15" customHeight="1">
      <c r="A1621" s="15">
        <v>1621</v>
      </c>
      <c r="B1621" s="102" t="s">
        <v>3086</v>
      </c>
      <c r="C1621" t="s">
        <v>5092</v>
      </c>
      <c r="D1621" t="s">
        <v>3110</v>
      </c>
      <c r="E1621" s="96" t="s">
        <v>3273</v>
      </c>
      <c r="F1621" s="96" t="s">
        <v>3570</v>
      </c>
      <c r="G1621">
        <v>25479296</v>
      </c>
      <c r="H1621" s="2" t="s">
        <v>271</v>
      </c>
      <c r="I1621" t="s">
        <v>446</v>
      </c>
      <c r="J1621" t="s">
        <v>446</v>
      </c>
      <c r="K1621" s="99">
        <v>45632</v>
      </c>
      <c r="L1621" s="99">
        <v>45638</v>
      </c>
      <c r="M1621" s="99">
        <v>2958465</v>
      </c>
      <c r="N1621">
        <v>6</v>
      </c>
      <c r="O1621" s="111">
        <v>40000</v>
      </c>
      <c r="P1621" s="99">
        <v>2958465</v>
      </c>
      <c r="Q1621" s="111">
        <v>200000</v>
      </c>
      <c r="R1621">
        <v>29374892</v>
      </c>
      <c r="S1621" s="99">
        <v>45638</v>
      </c>
    </row>
    <row r="1622" spans="1:24" ht="15" customHeight="1">
      <c r="A1622" s="15">
        <v>1622</v>
      </c>
      <c r="B1622" s="102" t="s">
        <v>3086</v>
      </c>
      <c r="C1622" t="s">
        <v>5093</v>
      </c>
      <c r="D1622" s="96" t="s">
        <v>3110</v>
      </c>
      <c r="E1622" s="96" t="s">
        <v>3273</v>
      </c>
      <c r="F1622" s="96" t="s">
        <v>3570</v>
      </c>
      <c r="G1622">
        <v>25479296</v>
      </c>
      <c r="H1622" s="2" t="s">
        <v>271</v>
      </c>
      <c r="I1622" t="s">
        <v>448</v>
      </c>
      <c r="J1622" t="s">
        <v>448</v>
      </c>
      <c r="K1622" s="99">
        <v>45632</v>
      </c>
      <c r="L1622" s="99">
        <v>45636</v>
      </c>
      <c r="M1622" s="99">
        <v>2958465</v>
      </c>
      <c r="N1622">
        <v>6</v>
      </c>
      <c r="O1622" s="111">
        <v>50000</v>
      </c>
      <c r="P1622" s="99">
        <v>2958465</v>
      </c>
      <c r="Q1622" s="111">
        <v>250000</v>
      </c>
      <c r="R1622">
        <v>29347136</v>
      </c>
      <c r="S1622" s="99">
        <v>45636</v>
      </c>
    </row>
    <row r="1623" spans="1:24" ht="15" customHeight="1">
      <c r="A1623" s="15">
        <v>1623</v>
      </c>
      <c r="B1623" s="102" t="s">
        <v>1555</v>
      </c>
      <c r="C1623" s="96" t="s">
        <v>5094</v>
      </c>
      <c r="D1623" s="96" t="s">
        <v>3087</v>
      </c>
      <c r="E1623" s="96" t="s">
        <v>3197</v>
      </c>
      <c r="F1623" s="96" t="s">
        <v>5096</v>
      </c>
      <c r="G1623">
        <v>24766356</v>
      </c>
      <c r="H1623" s="96" t="s">
        <v>546</v>
      </c>
      <c r="I1623" s="96" t="s">
        <v>5097</v>
      </c>
      <c r="J1623" s="96" t="s">
        <v>5097</v>
      </c>
      <c r="K1623" s="99">
        <v>45616</v>
      </c>
      <c r="L1623" s="99">
        <v>45617</v>
      </c>
      <c r="M1623" s="99">
        <v>45656</v>
      </c>
      <c r="N1623">
        <v>7</v>
      </c>
      <c r="O1623" s="111">
        <v>205216</v>
      </c>
      <c r="P1623" s="99">
        <v>45656</v>
      </c>
      <c r="Q1623" s="100">
        <v>205216</v>
      </c>
      <c r="R1623">
        <v>29090444</v>
      </c>
      <c r="S1623" s="99">
        <v>45617</v>
      </c>
    </row>
    <row r="1624" spans="1:24" ht="15" customHeight="1">
      <c r="A1624" s="15">
        <v>1624</v>
      </c>
      <c r="B1624" s="102" t="s">
        <v>3086</v>
      </c>
      <c r="C1624" t="s">
        <v>5095</v>
      </c>
      <c r="D1624" t="s">
        <v>3116</v>
      </c>
      <c r="E1624" s="96" t="s">
        <v>5099</v>
      </c>
      <c r="F1624" s="96" t="s">
        <v>5180</v>
      </c>
      <c r="G1624">
        <v>24207519</v>
      </c>
      <c r="H1624" s="96" t="s">
        <v>4036</v>
      </c>
      <c r="I1624" t="s">
        <v>5098</v>
      </c>
      <c r="J1624" t="s">
        <v>5098</v>
      </c>
      <c r="K1624" s="99">
        <v>45630</v>
      </c>
      <c r="L1624" s="99">
        <v>45631</v>
      </c>
      <c r="M1624" s="99">
        <v>46721</v>
      </c>
      <c r="N1624">
        <v>7</v>
      </c>
      <c r="O1624" s="111">
        <v>26191541.32</v>
      </c>
      <c r="P1624" s="99">
        <v>46721</v>
      </c>
      <c r="Q1624">
        <v>26191541.32</v>
      </c>
      <c r="R1624">
        <v>29279488</v>
      </c>
      <c r="S1624" s="99">
        <v>45631</v>
      </c>
    </row>
    <row r="1625" spans="1:24" ht="15" customHeight="1">
      <c r="A1625" s="15">
        <v>1625</v>
      </c>
      <c r="B1625" s="102" t="s">
        <v>1555</v>
      </c>
      <c r="C1625" t="s">
        <v>5100</v>
      </c>
      <c r="D1625" t="s">
        <v>3139</v>
      </c>
      <c r="E1625" s="96" t="s">
        <v>3958</v>
      </c>
      <c r="F1625" s="96" t="s">
        <v>3616</v>
      </c>
      <c r="G1625">
        <v>24288781</v>
      </c>
      <c r="H1625" s="96" t="s">
        <v>4550</v>
      </c>
      <c r="I1625" s="96" t="s">
        <v>5104</v>
      </c>
      <c r="J1625" s="96" t="s">
        <v>5105</v>
      </c>
      <c r="K1625" s="99">
        <v>45618</v>
      </c>
      <c r="L1625" s="99">
        <v>45620</v>
      </c>
      <c r="M1625" s="99">
        <v>45623</v>
      </c>
      <c r="N1625">
        <v>7</v>
      </c>
      <c r="O1625" s="111">
        <v>2984516</v>
      </c>
      <c r="P1625" s="99">
        <v>45623</v>
      </c>
      <c r="Q1625" s="111">
        <v>2984516</v>
      </c>
      <c r="R1625">
        <v>29117448</v>
      </c>
      <c r="S1625" s="99">
        <v>45620</v>
      </c>
    </row>
    <row r="1626" spans="1:24" ht="15" customHeight="1">
      <c r="A1626" s="15">
        <v>1626</v>
      </c>
      <c r="B1626" s="102" t="s">
        <v>3086</v>
      </c>
      <c r="C1626" t="s">
        <v>5101</v>
      </c>
      <c r="D1626" t="s">
        <v>3139</v>
      </c>
      <c r="E1626" s="96" t="s">
        <v>3958</v>
      </c>
      <c r="F1626" s="96" t="s">
        <v>3446</v>
      </c>
      <c r="G1626">
        <v>27256456</v>
      </c>
      <c r="H1626" s="96" t="s">
        <v>4550</v>
      </c>
      <c r="I1626" s="96" t="s">
        <v>5106</v>
      </c>
      <c r="J1626" s="96" t="s">
        <v>5107</v>
      </c>
      <c r="K1626" s="99">
        <v>45618</v>
      </c>
      <c r="L1626" s="99">
        <v>45620</v>
      </c>
      <c r="M1626" s="99">
        <v>2958465</v>
      </c>
      <c r="N1626">
        <v>7</v>
      </c>
      <c r="O1626" s="111">
        <v>408299.09</v>
      </c>
      <c r="P1626" s="99">
        <v>2958465</v>
      </c>
      <c r="Q1626" s="111">
        <v>408299.09</v>
      </c>
      <c r="R1626">
        <v>29117436</v>
      </c>
      <c r="S1626" s="99">
        <v>45620</v>
      </c>
    </row>
    <row r="1627" spans="1:24" ht="15" customHeight="1">
      <c r="A1627" s="15">
        <v>1627</v>
      </c>
      <c r="B1627" s="102" t="s">
        <v>1555</v>
      </c>
      <c r="C1627" t="s">
        <v>5102</v>
      </c>
      <c r="D1627" t="s">
        <v>3139</v>
      </c>
      <c r="E1627" s="96" t="s">
        <v>3958</v>
      </c>
      <c r="F1627" s="96" t="s">
        <v>3592</v>
      </c>
      <c r="G1627">
        <v>25053370</v>
      </c>
      <c r="H1627" s="96" t="s">
        <v>4550</v>
      </c>
      <c r="I1627" s="96" t="s">
        <v>5108</v>
      </c>
      <c r="J1627" s="96" t="s">
        <v>5109</v>
      </c>
      <c r="K1627" s="99">
        <v>45610</v>
      </c>
      <c r="L1627" s="99">
        <v>45611</v>
      </c>
      <c r="M1627" s="99">
        <v>45611</v>
      </c>
      <c r="N1627">
        <v>7</v>
      </c>
      <c r="O1627" s="111">
        <v>1208760.2</v>
      </c>
      <c r="P1627" s="99">
        <v>45611</v>
      </c>
      <c r="Q1627" s="111">
        <v>1208760.2</v>
      </c>
      <c r="R1627">
        <v>29013692</v>
      </c>
      <c r="S1627" s="99">
        <v>45611</v>
      </c>
    </row>
    <row r="1628" spans="1:24" ht="15" customHeight="1">
      <c r="A1628" s="15">
        <v>1628</v>
      </c>
      <c r="B1628" s="102" t="s">
        <v>1555</v>
      </c>
      <c r="C1628" t="s">
        <v>5103</v>
      </c>
      <c r="D1628" t="s">
        <v>3139</v>
      </c>
      <c r="E1628" s="96" t="s">
        <v>3958</v>
      </c>
      <c r="F1628" s="96" t="s">
        <v>3634</v>
      </c>
      <c r="G1628">
        <v>24143022</v>
      </c>
      <c r="H1628" s="96" t="s">
        <v>4550</v>
      </c>
      <c r="I1628" s="96" t="s">
        <v>5110</v>
      </c>
      <c r="J1628" s="96" t="s">
        <v>5111</v>
      </c>
      <c r="K1628" s="99">
        <v>45618</v>
      </c>
      <c r="L1628" s="99">
        <v>45620</v>
      </c>
      <c r="M1628" s="99">
        <v>45623</v>
      </c>
      <c r="N1628">
        <v>7</v>
      </c>
      <c r="O1628" s="111">
        <v>1434050.43</v>
      </c>
      <c r="P1628" s="99">
        <v>45623</v>
      </c>
      <c r="Q1628" s="111">
        <v>1434050.43</v>
      </c>
      <c r="R1628">
        <v>29117444</v>
      </c>
      <c r="S1628" s="99">
        <v>45620</v>
      </c>
    </row>
    <row r="1629" spans="1:24" ht="15" customHeight="1">
      <c r="A1629" s="15">
        <v>1629</v>
      </c>
      <c r="B1629" s="102" t="s">
        <v>3086</v>
      </c>
      <c r="C1629" t="s">
        <v>5112</v>
      </c>
      <c r="D1629" s="96" t="s">
        <v>3110</v>
      </c>
      <c r="E1629" s="2" t="s">
        <v>3202</v>
      </c>
      <c r="F1629" s="96" t="s">
        <v>5113</v>
      </c>
      <c r="G1629">
        <v>26210134</v>
      </c>
      <c r="H1629" s="96" t="s">
        <v>385</v>
      </c>
      <c r="I1629" s="96" t="s">
        <v>5114</v>
      </c>
      <c r="J1629" s="96" t="s">
        <v>5115</v>
      </c>
      <c r="K1629" s="99">
        <v>45628</v>
      </c>
      <c r="L1629" s="99">
        <v>45658</v>
      </c>
      <c r="M1629" s="99">
        <v>46752</v>
      </c>
      <c r="N1629">
        <v>6</v>
      </c>
      <c r="O1629" s="111">
        <v>151250</v>
      </c>
      <c r="P1629" s="99">
        <v>46752</v>
      </c>
      <c r="Q1629" s="485">
        <v>151250</v>
      </c>
      <c r="R1629">
        <v>29248240</v>
      </c>
      <c r="S1629" s="99">
        <v>45629</v>
      </c>
    </row>
    <row r="1630" spans="1:24" ht="15" customHeight="1">
      <c r="A1630" s="15">
        <v>1630</v>
      </c>
      <c r="B1630" s="102" t="s">
        <v>3086</v>
      </c>
      <c r="C1630" s="96" t="s">
        <v>5116</v>
      </c>
      <c r="D1630" t="s">
        <v>3087</v>
      </c>
      <c r="E1630" s="96" t="s">
        <v>4854</v>
      </c>
      <c r="F1630" s="96" t="s">
        <v>5117</v>
      </c>
      <c r="G1630">
        <v>25277961</v>
      </c>
      <c r="H1630" s="96" t="s">
        <v>4194</v>
      </c>
      <c r="I1630" s="96" t="s">
        <v>4194</v>
      </c>
      <c r="J1630" s="96" t="s">
        <v>4194</v>
      </c>
      <c r="K1630" s="99">
        <v>45632</v>
      </c>
      <c r="L1630" s="99">
        <v>45633</v>
      </c>
      <c r="N1630">
        <v>7</v>
      </c>
      <c r="O1630" s="111">
        <v>113594.28</v>
      </c>
      <c r="Q1630" s="111">
        <v>113363.29</v>
      </c>
      <c r="R1630">
        <v>29308860</v>
      </c>
      <c r="S1630" s="99">
        <v>45633</v>
      </c>
    </row>
    <row r="1631" spans="1:24" ht="15" customHeight="1">
      <c r="A1631" s="15">
        <v>1631</v>
      </c>
      <c r="B1631" s="102" t="s">
        <v>3086</v>
      </c>
      <c r="C1631" t="s">
        <v>5118</v>
      </c>
      <c r="D1631" t="s">
        <v>3110</v>
      </c>
      <c r="E1631" s="96" t="s">
        <v>4854</v>
      </c>
      <c r="F1631" s="96" t="s">
        <v>3590</v>
      </c>
      <c r="G1631">
        <v>25085221</v>
      </c>
      <c r="H1631" s="96" t="s">
        <v>4194</v>
      </c>
      <c r="I1631" t="s">
        <v>5119</v>
      </c>
      <c r="J1631" t="s">
        <v>5119</v>
      </c>
      <c r="K1631" s="99">
        <v>45607</v>
      </c>
      <c r="L1631" s="99">
        <v>45302</v>
      </c>
      <c r="N1631">
        <v>7</v>
      </c>
      <c r="O1631" s="111">
        <v>825000</v>
      </c>
      <c r="Q1631" s="111"/>
    </row>
    <row r="1632" spans="1:24" ht="15" customHeight="1">
      <c r="A1632" s="15">
        <v>1632</v>
      </c>
      <c r="B1632" s="102" t="s">
        <v>1555</v>
      </c>
      <c r="C1632" t="s">
        <v>5120</v>
      </c>
      <c r="D1632" t="s">
        <v>3087</v>
      </c>
      <c r="E1632" s="2" t="s">
        <v>4294</v>
      </c>
      <c r="F1632" s="96" t="s">
        <v>5121</v>
      </c>
      <c r="G1632">
        <v>27918335</v>
      </c>
      <c r="H1632" s="96" t="s">
        <v>830</v>
      </c>
      <c r="I1632" t="s">
        <v>5122</v>
      </c>
      <c r="J1632" t="s">
        <v>5122</v>
      </c>
      <c r="K1632" s="99">
        <v>45601</v>
      </c>
      <c r="L1632" s="99">
        <v>45627</v>
      </c>
      <c r="M1632" s="99">
        <v>45639</v>
      </c>
      <c r="N1632">
        <v>7</v>
      </c>
      <c r="O1632" s="111">
        <v>6000</v>
      </c>
      <c r="P1632" s="99">
        <v>45639</v>
      </c>
    </row>
    <row r="1633" spans="1:19" ht="15" customHeight="1">
      <c r="A1633" s="15">
        <v>1633</v>
      </c>
      <c r="B1633" s="102" t="s">
        <v>1555</v>
      </c>
      <c r="C1633" t="s">
        <v>5123</v>
      </c>
      <c r="D1633" t="s">
        <v>3087</v>
      </c>
      <c r="E1633" s="96" t="s">
        <v>3811</v>
      </c>
      <c r="F1633" s="96" t="s">
        <v>4764</v>
      </c>
      <c r="G1633">
        <v>45800456</v>
      </c>
      <c r="H1633" s="2" t="s">
        <v>180</v>
      </c>
      <c r="I1633" t="s">
        <v>5124</v>
      </c>
      <c r="J1633" t="s">
        <v>5124</v>
      </c>
      <c r="K1633" s="99">
        <v>45594</v>
      </c>
      <c r="L1633" s="99">
        <v>45594</v>
      </c>
      <c r="M1633" s="99">
        <v>45594</v>
      </c>
      <c r="N1633">
        <v>7</v>
      </c>
      <c r="O1633" s="111">
        <v>3450</v>
      </c>
      <c r="P1633" s="99">
        <v>45594</v>
      </c>
    </row>
    <row r="1634" spans="1:19" ht="15" customHeight="1">
      <c r="A1634" s="15">
        <v>1634</v>
      </c>
      <c r="B1634" s="102" t="s">
        <v>1555</v>
      </c>
      <c r="C1634" t="s">
        <v>5125</v>
      </c>
      <c r="D1634" t="s">
        <v>3087</v>
      </c>
      <c r="E1634" s="2" t="s">
        <v>4294</v>
      </c>
      <c r="F1634" s="96" t="s">
        <v>5126</v>
      </c>
      <c r="G1634">
        <v>7092792</v>
      </c>
      <c r="H1634" s="96" t="s">
        <v>830</v>
      </c>
      <c r="I1634" t="s">
        <v>5127</v>
      </c>
      <c r="J1634" t="s">
        <v>5127</v>
      </c>
      <c r="K1634" s="99">
        <v>45595</v>
      </c>
      <c r="L1634" s="99">
        <v>45621</v>
      </c>
      <c r="M1634" s="99">
        <v>45642</v>
      </c>
      <c r="N1634">
        <v>7</v>
      </c>
      <c r="O1634" s="111">
        <v>4200</v>
      </c>
      <c r="P1634" s="99">
        <v>45642</v>
      </c>
    </row>
    <row r="1635" spans="1:19" ht="15" customHeight="1">
      <c r="A1635" s="15">
        <v>1635</v>
      </c>
      <c r="B1635" s="102" t="s">
        <v>1555</v>
      </c>
      <c r="C1635" t="s">
        <v>5128</v>
      </c>
      <c r="D1635" t="s">
        <v>3087</v>
      </c>
      <c r="E1635" s="2" t="s">
        <v>4294</v>
      </c>
      <c r="F1635" s="96" t="s">
        <v>5129</v>
      </c>
      <c r="G1635">
        <v>48949850</v>
      </c>
      <c r="H1635" s="96" t="s">
        <v>830</v>
      </c>
      <c r="I1635" t="s">
        <v>5130</v>
      </c>
      <c r="J1635" t="s">
        <v>5130</v>
      </c>
      <c r="K1635" s="99">
        <v>45596</v>
      </c>
      <c r="L1635" s="99">
        <v>45596</v>
      </c>
      <c r="M1635" s="99">
        <v>45609</v>
      </c>
      <c r="N1635">
        <v>7</v>
      </c>
      <c r="O1635" s="111">
        <v>3000</v>
      </c>
      <c r="P1635" s="99">
        <v>45609</v>
      </c>
    </row>
    <row r="1636" spans="1:19" ht="15" customHeight="1">
      <c r="A1636" s="15">
        <v>1636</v>
      </c>
      <c r="B1636" s="102" t="s">
        <v>1555</v>
      </c>
      <c r="C1636" t="s">
        <v>5131</v>
      </c>
      <c r="D1636" t="s">
        <v>3087</v>
      </c>
      <c r="E1636" s="2" t="s">
        <v>4294</v>
      </c>
      <c r="F1636" s="96" t="s">
        <v>5132</v>
      </c>
      <c r="G1636">
        <v>4357311</v>
      </c>
      <c r="H1636" s="96" t="s">
        <v>830</v>
      </c>
      <c r="I1636" t="s">
        <v>5133</v>
      </c>
      <c r="J1636" t="s">
        <v>5133</v>
      </c>
      <c r="K1636" s="99">
        <v>45596</v>
      </c>
      <c r="L1636" s="99">
        <v>45614</v>
      </c>
      <c r="M1636" s="99">
        <v>45628</v>
      </c>
      <c r="N1636">
        <v>7</v>
      </c>
      <c r="O1636" s="111">
        <v>6000</v>
      </c>
      <c r="P1636" s="99">
        <v>45628</v>
      </c>
    </row>
    <row r="1637" spans="1:19" ht="15" customHeight="1">
      <c r="A1637" s="15">
        <v>1637</v>
      </c>
      <c r="B1637" s="102" t="s">
        <v>1555</v>
      </c>
      <c r="C1637" t="s">
        <v>5134</v>
      </c>
      <c r="D1637" t="s">
        <v>3087</v>
      </c>
      <c r="E1637" s="2" t="s">
        <v>4294</v>
      </c>
      <c r="F1637" s="96" t="s">
        <v>5135</v>
      </c>
      <c r="G1637">
        <v>10642</v>
      </c>
      <c r="H1637" s="96" t="s">
        <v>830</v>
      </c>
      <c r="I1637" t="s">
        <v>5136</v>
      </c>
      <c r="J1637" t="s">
        <v>5136</v>
      </c>
      <c r="K1637" s="99">
        <v>45602</v>
      </c>
      <c r="L1637" s="99">
        <v>45607</v>
      </c>
      <c r="M1637" s="99">
        <v>45616</v>
      </c>
      <c r="N1637">
        <v>7</v>
      </c>
      <c r="O1637" s="111">
        <v>1500</v>
      </c>
      <c r="P1637" s="99">
        <v>45616</v>
      </c>
    </row>
    <row r="1638" spans="1:19" ht="15" customHeight="1">
      <c r="A1638" s="15">
        <v>1638</v>
      </c>
      <c r="B1638" s="102" t="s">
        <v>1555</v>
      </c>
      <c r="C1638" t="s">
        <v>5137</v>
      </c>
      <c r="D1638" t="s">
        <v>3087</v>
      </c>
      <c r="E1638" s="96" t="s">
        <v>3811</v>
      </c>
      <c r="F1638" s="96" t="s">
        <v>4834</v>
      </c>
      <c r="G1638">
        <v>70565813</v>
      </c>
      <c r="H1638" s="2" t="s">
        <v>180</v>
      </c>
      <c r="I1638" t="s">
        <v>5138</v>
      </c>
      <c r="J1638" s="96" t="s">
        <v>5138</v>
      </c>
      <c r="K1638" s="99">
        <v>45604</v>
      </c>
      <c r="L1638" s="99">
        <v>45617</v>
      </c>
      <c r="M1638" s="99">
        <v>45619</v>
      </c>
      <c r="N1638">
        <v>7</v>
      </c>
      <c r="O1638" s="111">
        <v>40800</v>
      </c>
      <c r="P1638" s="99">
        <v>45619</v>
      </c>
    </row>
    <row r="1639" spans="1:19" ht="15" customHeight="1">
      <c r="A1639" s="15">
        <v>1639</v>
      </c>
      <c r="B1639" s="102" t="s">
        <v>1555</v>
      </c>
      <c r="C1639" t="s">
        <v>5139</v>
      </c>
      <c r="D1639" t="s">
        <v>3087</v>
      </c>
      <c r="E1639" s="2" t="s">
        <v>4294</v>
      </c>
      <c r="F1639" s="96" t="s">
        <v>5140</v>
      </c>
      <c r="G1639">
        <v>10644</v>
      </c>
      <c r="H1639" s="96" t="s">
        <v>830</v>
      </c>
      <c r="I1639" t="s">
        <v>5141</v>
      </c>
      <c r="J1639" t="s">
        <v>5141</v>
      </c>
      <c r="K1639" s="99">
        <v>45604</v>
      </c>
      <c r="L1639" s="99">
        <v>45604</v>
      </c>
      <c r="M1639" s="99">
        <v>45657</v>
      </c>
      <c r="N1639">
        <v>7</v>
      </c>
      <c r="O1639" s="111">
        <v>4200</v>
      </c>
      <c r="P1639" s="99">
        <v>45657</v>
      </c>
    </row>
    <row r="1640" spans="1:19" ht="15" customHeight="1">
      <c r="A1640" s="15">
        <v>1640</v>
      </c>
      <c r="B1640" s="102" t="s">
        <v>1555</v>
      </c>
      <c r="C1640" t="s">
        <v>5142</v>
      </c>
      <c r="D1640" t="s">
        <v>3127</v>
      </c>
      <c r="E1640" s="96" t="s">
        <v>5143</v>
      </c>
      <c r="F1640" s="96" t="s">
        <v>5144</v>
      </c>
      <c r="G1640">
        <v>2250209</v>
      </c>
      <c r="H1640" s="2" t="s">
        <v>1729</v>
      </c>
      <c r="I1640" t="s">
        <v>5145</v>
      </c>
      <c r="J1640" t="s">
        <v>5145</v>
      </c>
      <c r="K1640" s="99">
        <v>45589</v>
      </c>
      <c r="L1640" s="99">
        <v>45620</v>
      </c>
      <c r="M1640" s="99">
        <v>45626</v>
      </c>
      <c r="N1640">
        <v>7</v>
      </c>
      <c r="O1640" s="111">
        <v>2068269.94</v>
      </c>
      <c r="P1640" s="99">
        <v>45626</v>
      </c>
      <c r="Q1640" s="111">
        <v>2068269.94</v>
      </c>
      <c r="R1640">
        <v>29117432</v>
      </c>
      <c r="S1640" s="99">
        <v>45620</v>
      </c>
    </row>
    <row r="1641" spans="1:19" ht="15" customHeight="1">
      <c r="A1641" s="15">
        <v>1641</v>
      </c>
      <c r="B1641" s="102" t="s">
        <v>1555</v>
      </c>
      <c r="C1641" t="s">
        <v>5151</v>
      </c>
      <c r="D1641" t="s">
        <v>3110</v>
      </c>
      <c r="E1641" s="96" t="s">
        <v>3197</v>
      </c>
      <c r="F1641" s="96" t="s">
        <v>5152</v>
      </c>
      <c r="G1641">
        <v>48111198</v>
      </c>
      <c r="H1641" s="96" t="s">
        <v>546</v>
      </c>
      <c r="I1641" t="s">
        <v>5153</v>
      </c>
      <c r="J1641" t="s">
        <v>5153</v>
      </c>
      <c r="K1641" s="99">
        <v>45625</v>
      </c>
      <c r="L1641" s="99">
        <v>45625</v>
      </c>
      <c r="M1641" s="99">
        <v>45662</v>
      </c>
      <c r="N1641">
        <v>7</v>
      </c>
      <c r="O1641" s="111">
        <v>15703</v>
      </c>
      <c r="P1641" s="99">
        <v>45662</v>
      </c>
    </row>
    <row r="1642" spans="1:19" ht="15" customHeight="1">
      <c r="A1642" s="15">
        <v>1642</v>
      </c>
      <c r="B1642" s="102" t="s">
        <v>3086</v>
      </c>
      <c r="C1642" t="s">
        <v>5146</v>
      </c>
      <c r="D1642" t="s">
        <v>3110</v>
      </c>
      <c r="E1642" s="96" t="s">
        <v>5147</v>
      </c>
      <c r="F1642" s="96" t="s">
        <v>3869</v>
      </c>
      <c r="G1642" t="s">
        <v>5148</v>
      </c>
      <c r="H1642" s="96" t="s">
        <v>5149</v>
      </c>
      <c r="I1642" s="96" t="s">
        <v>5150</v>
      </c>
      <c r="J1642" s="96" t="s">
        <v>5150</v>
      </c>
      <c r="K1642" s="99">
        <v>45632</v>
      </c>
      <c r="L1642" s="99">
        <v>45636</v>
      </c>
      <c r="M1642" s="99">
        <v>2958465</v>
      </c>
      <c r="N1642">
        <v>2</v>
      </c>
      <c r="O1642" s="111">
        <v>94800</v>
      </c>
      <c r="P1642" s="99">
        <v>2958465</v>
      </c>
      <c r="Q1642" s="111">
        <v>474000</v>
      </c>
      <c r="R1642">
        <v>29346852</v>
      </c>
      <c r="S1642" s="99">
        <v>45636</v>
      </c>
    </row>
    <row r="1643" spans="1:19" ht="15" customHeight="1">
      <c r="A1643" s="15">
        <v>1643</v>
      </c>
      <c r="B1643" s="102" t="s">
        <v>3086</v>
      </c>
      <c r="C1643" t="s">
        <v>5154</v>
      </c>
      <c r="D1643" t="s">
        <v>3087</v>
      </c>
      <c r="E1643" s="96" t="s">
        <v>3197</v>
      </c>
      <c r="F1643" s="96" t="s">
        <v>5096</v>
      </c>
      <c r="G1643">
        <v>24766356</v>
      </c>
      <c r="H1643" s="96" t="s">
        <v>546</v>
      </c>
      <c r="I1643" t="s">
        <v>5155</v>
      </c>
      <c r="J1643" t="s">
        <v>5155</v>
      </c>
      <c r="K1643" s="99">
        <v>45625</v>
      </c>
      <c r="L1643" s="99">
        <v>45629</v>
      </c>
      <c r="M1643" s="99">
        <v>45661</v>
      </c>
      <c r="N1643">
        <v>7</v>
      </c>
      <c r="O1643" s="111">
        <v>219796.5</v>
      </c>
      <c r="P1643" s="99">
        <v>45661</v>
      </c>
      <c r="Q1643" s="111">
        <v>219796.5</v>
      </c>
      <c r="R1643">
        <v>29241124</v>
      </c>
      <c r="S1643" s="99">
        <v>45629</v>
      </c>
    </row>
    <row r="1644" spans="1:19" ht="15" customHeight="1">
      <c r="A1644" s="15">
        <v>1644</v>
      </c>
      <c r="B1644" s="102" t="s">
        <v>3086</v>
      </c>
      <c r="C1644" t="s">
        <v>5156</v>
      </c>
      <c r="D1644" t="s">
        <v>3087</v>
      </c>
      <c r="E1644" s="96" t="s">
        <v>3093</v>
      </c>
      <c r="F1644" s="96" t="s">
        <v>3745</v>
      </c>
      <c r="G1644">
        <v>1571010</v>
      </c>
      <c r="H1644" s="96" t="s">
        <v>510</v>
      </c>
      <c r="I1644" t="s">
        <v>5157</v>
      </c>
      <c r="J1644" t="s">
        <v>5157</v>
      </c>
      <c r="K1644" s="99">
        <v>45625</v>
      </c>
      <c r="L1644" s="99">
        <v>45627</v>
      </c>
      <c r="M1644" s="99">
        <v>46142</v>
      </c>
      <c r="N1644">
        <v>1</v>
      </c>
      <c r="O1644" s="111">
        <v>1230000</v>
      </c>
      <c r="P1644" s="99">
        <v>46142</v>
      </c>
      <c r="Q1644" s="100">
        <v>1230000</v>
      </c>
      <c r="R1644">
        <v>29206736</v>
      </c>
      <c r="S1644" s="99">
        <v>45625</v>
      </c>
    </row>
    <row r="1645" spans="1:19" ht="15" customHeight="1">
      <c r="A1645" s="15">
        <v>1645</v>
      </c>
      <c r="B1645" s="102" t="s">
        <v>1555</v>
      </c>
      <c r="C1645" t="s">
        <v>5158</v>
      </c>
      <c r="D1645" t="s">
        <v>3087</v>
      </c>
      <c r="E1645" s="96" t="s">
        <v>3162</v>
      </c>
      <c r="F1645" s="96" t="s">
        <v>5159</v>
      </c>
      <c r="G1645">
        <v>10742</v>
      </c>
      <c r="H1645" s="96" t="s">
        <v>830</v>
      </c>
      <c r="I1645" t="s">
        <v>5160</v>
      </c>
      <c r="J1645" t="s">
        <v>5160</v>
      </c>
      <c r="K1645" s="99">
        <v>45614</v>
      </c>
      <c r="L1645" s="99">
        <v>45635</v>
      </c>
      <c r="M1645" s="99">
        <v>45646</v>
      </c>
      <c r="N1645">
        <v>7</v>
      </c>
      <c r="O1645" s="111">
        <v>5000</v>
      </c>
      <c r="P1645" s="99">
        <v>45635</v>
      </c>
      <c r="Q1645" s="111"/>
    </row>
    <row r="1646" spans="1:19" ht="15" customHeight="1">
      <c r="A1646" s="15">
        <v>1646</v>
      </c>
      <c r="B1646" s="102" t="s">
        <v>3086</v>
      </c>
      <c r="C1646" t="s">
        <v>5161</v>
      </c>
      <c r="D1646" t="s">
        <v>3087</v>
      </c>
      <c r="E1646" s="96" t="s">
        <v>3162</v>
      </c>
      <c r="F1646" s="96" t="s">
        <v>5162</v>
      </c>
      <c r="G1646">
        <v>4553853</v>
      </c>
      <c r="H1646" s="96" t="s">
        <v>830</v>
      </c>
      <c r="I1646" t="s">
        <v>5163</v>
      </c>
      <c r="J1646" t="s">
        <v>5163</v>
      </c>
      <c r="K1646" s="99">
        <v>45622</v>
      </c>
      <c r="L1646" s="99">
        <v>45659</v>
      </c>
      <c r="M1646" s="99">
        <v>45674</v>
      </c>
      <c r="N1646">
        <v>7</v>
      </c>
      <c r="O1646" s="111">
        <v>4200</v>
      </c>
      <c r="P1646" s="99">
        <v>45674</v>
      </c>
      <c r="Q1646" s="111"/>
    </row>
    <row r="1647" spans="1:19" ht="15" customHeight="1">
      <c r="A1647" s="15">
        <v>1647</v>
      </c>
      <c r="B1647" s="102" t="s">
        <v>1555</v>
      </c>
      <c r="C1647" s="3" t="s">
        <v>5477</v>
      </c>
      <c r="D1647" t="s">
        <v>3087</v>
      </c>
      <c r="E1647" s="96" t="s">
        <v>3162</v>
      </c>
      <c r="F1647" s="96" t="s">
        <v>5164</v>
      </c>
      <c r="G1647">
        <v>10748</v>
      </c>
      <c r="H1647" s="96" t="s">
        <v>830</v>
      </c>
      <c r="I1647" t="s">
        <v>5165</v>
      </c>
      <c r="J1647" t="s">
        <v>5165</v>
      </c>
      <c r="K1647" s="99">
        <v>45624</v>
      </c>
      <c r="L1647" s="99">
        <v>45624</v>
      </c>
      <c r="M1647" s="99">
        <v>45689</v>
      </c>
      <c r="N1647">
        <v>7</v>
      </c>
      <c r="O1647" s="111">
        <v>6000</v>
      </c>
      <c r="P1647" s="99">
        <v>45689</v>
      </c>
      <c r="Q1647" s="111"/>
    </row>
    <row r="1648" spans="1:19" ht="15" customHeight="1">
      <c r="A1648" s="15">
        <v>1648</v>
      </c>
      <c r="B1648" s="102" t="s">
        <v>1555</v>
      </c>
      <c r="C1648" t="s">
        <v>5166</v>
      </c>
      <c r="D1648" t="s">
        <v>3087</v>
      </c>
      <c r="E1648" s="96" t="s">
        <v>3162</v>
      </c>
      <c r="F1648" s="96" t="s">
        <v>5167</v>
      </c>
      <c r="G1648">
        <v>10749</v>
      </c>
      <c r="H1648" s="96" t="s">
        <v>830</v>
      </c>
      <c r="I1648" t="s">
        <v>5168</v>
      </c>
      <c r="J1648" t="s">
        <v>5168</v>
      </c>
      <c r="K1648" s="99">
        <v>45624</v>
      </c>
      <c r="L1648" s="99">
        <v>45624</v>
      </c>
      <c r="M1648" s="99">
        <v>45689</v>
      </c>
      <c r="N1648">
        <v>7</v>
      </c>
      <c r="O1648" s="111">
        <v>6000</v>
      </c>
      <c r="P1648" s="99">
        <v>45689</v>
      </c>
      <c r="Q1648" s="111"/>
    </row>
    <row r="1649" spans="1:19" ht="15" customHeight="1">
      <c r="A1649" s="15">
        <v>1649</v>
      </c>
      <c r="B1649" s="102" t="s">
        <v>3086</v>
      </c>
      <c r="C1649" t="s">
        <v>5169</v>
      </c>
      <c r="D1649" t="s">
        <v>3139</v>
      </c>
      <c r="E1649" s="96" t="s">
        <v>3144</v>
      </c>
      <c r="F1649" s="96" t="s">
        <v>5170</v>
      </c>
      <c r="G1649">
        <v>45534306</v>
      </c>
      <c r="H1649" s="96" t="s">
        <v>215</v>
      </c>
      <c r="I1649" t="s">
        <v>5171</v>
      </c>
      <c r="J1649" t="s">
        <v>5171</v>
      </c>
      <c r="K1649" s="99">
        <v>45632</v>
      </c>
      <c r="L1649" s="99">
        <v>45680</v>
      </c>
      <c r="M1649" s="99">
        <v>47141</v>
      </c>
      <c r="N1649">
        <v>4</v>
      </c>
      <c r="O1649" s="111">
        <v>544166</v>
      </c>
      <c r="P1649" s="99">
        <v>47141</v>
      </c>
      <c r="Q1649" s="111">
        <v>2176664</v>
      </c>
      <c r="R1649">
        <v>29303896</v>
      </c>
      <c r="S1649" s="99">
        <v>45632</v>
      </c>
    </row>
    <row r="1650" spans="1:19" ht="15" customHeight="1">
      <c r="A1650" s="15">
        <v>1650</v>
      </c>
      <c r="B1650" s="102" t="s">
        <v>1555</v>
      </c>
      <c r="C1650" t="s">
        <v>5172</v>
      </c>
      <c r="D1650" t="s">
        <v>3087</v>
      </c>
      <c r="E1650" s="96" t="s">
        <v>3162</v>
      </c>
      <c r="F1650" s="96" t="s">
        <v>3488</v>
      </c>
      <c r="G1650">
        <v>27085031</v>
      </c>
      <c r="H1650" s="96" t="s">
        <v>830</v>
      </c>
      <c r="I1650" t="s">
        <v>5176</v>
      </c>
      <c r="J1650" t="s">
        <v>5176</v>
      </c>
      <c r="K1650" s="99">
        <v>45625</v>
      </c>
      <c r="L1650" s="99">
        <v>45628</v>
      </c>
      <c r="M1650" s="99">
        <v>45637</v>
      </c>
      <c r="N1650">
        <v>7</v>
      </c>
      <c r="O1650" s="111">
        <v>4200</v>
      </c>
      <c r="P1650" s="99">
        <v>45637</v>
      </c>
      <c r="Q1650" s="111"/>
    </row>
    <row r="1651" spans="1:19" ht="15" customHeight="1">
      <c r="A1651" s="15">
        <v>1651</v>
      </c>
      <c r="B1651" s="102" t="s">
        <v>3086</v>
      </c>
      <c r="C1651" t="s">
        <v>5173</v>
      </c>
      <c r="D1651" t="s">
        <v>3087</v>
      </c>
      <c r="E1651" s="96" t="s">
        <v>3162</v>
      </c>
      <c r="F1651" s="96" t="s">
        <v>3250</v>
      </c>
      <c r="G1651">
        <v>60162694</v>
      </c>
      <c r="H1651" s="96" t="s">
        <v>830</v>
      </c>
      <c r="I1651" t="s">
        <v>5177</v>
      </c>
      <c r="J1651" t="s">
        <v>5177</v>
      </c>
      <c r="K1651" s="99">
        <v>45554</v>
      </c>
      <c r="L1651" s="99">
        <v>45658</v>
      </c>
      <c r="M1651" s="99">
        <v>46022</v>
      </c>
      <c r="N1651" s="718"/>
      <c r="O1651" s="111">
        <v>0</v>
      </c>
      <c r="P1651" s="99">
        <v>46022</v>
      </c>
      <c r="Q1651" s="111"/>
    </row>
    <row r="1652" spans="1:19" ht="15" customHeight="1">
      <c r="A1652" s="15">
        <v>1652</v>
      </c>
      <c r="B1652" s="102" t="s">
        <v>3086</v>
      </c>
      <c r="C1652" t="s">
        <v>5174</v>
      </c>
      <c r="D1652" t="s">
        <v>3087</v>
      </c>
      <c r="E1652" s="96" t="s">
        <v>3162</v>
      </c>
      <c r="F1652" s="96" t="s">
        <v>3250</v>
      </c>
      <c r="G1652">
        <v>60162694</v>
      </c>
      <c r="H1652" s="96" t="s">
        <v>830</v>
      </c>
      <c r="I1652" s="96" t="s">
        <v>5178</v>
      </c>
      <c r="J1652" s="96" t="s">
        <v>5178</v>
      </c>
      <c r="K1652" s="99">
        <v>45554</v>
      </c>
      <c r="L1652" s="99">
        <v>45658</v>
      </c>
      <c r="M1652" s="99">
        <v>46022</v>
      </c>
      <c r="O1652" s="111">
        <v>0</v>
      </c>
      <c r="P1652" s="99">
        <v>46022</v>
      </c>
      <c r="Q1652" s="111"/>
    </row>
    <row r="1653" spans="1:19" ht="15" customHeight="1">
      <c r="A1653" s="15">
        <v>1653</v>
      </c>
      <c r="B1653" s="102" t="s">
        <v>3086</v>
      </c>
      <c r="C1653" t="s">
        <v>5175</v>
      </c>
      <c r="D1653" t="s">
        <v>3087</v>
      </c>
      <c r="E1653" t="s">
        <v>3811</v>
      </c>
      <c r="F1653" s="96" t="s">
        <v>3364</v>
      </c>
      <c r="G1653">
        <v>42716403</v>
      </c>
      <c r="H1653" s="2" t="s">
        <v>180</v>
      </c>
      <c r="I1653" s="96" t="s">
        <v>5179</v>
      </c>
      <c r="J1653" s="96" t="s">
        <v>5179</v>
      </c>
      <c r="K1653" s="99">
        <v>45628</v>
      </c>
      <c r="L1653" s="99">
        <v>45668</v>
      </c>
      <c r="M1653" s="99">
        <v>45668</v>
      </c>
      <c r="N1653">
        <v>7</v>
      </c>
      <c r="O1653" s="111">
        <v>3910</v>
      </c>
      <c r="P1653" s="99">
        <v>45668</v>
      </c>
      <c r="Q1653" s="111"/>
    </row>
    <row r="1654" spans="1:19" ht="15" customHeight="1">
      <c r="A1654" s="15">
        <v>1654</v>
      </c>
      <c r="B1654" s="102" t="s">
        <v>1555</v>
      </c>
      <c r="C1654" t="s">
        <v>5181</v>
      </c>
      <c r="D1654" t="s">
        <v>3110</v>
      </c>
      <c r="E1654" s="96" t="s">
        <v>3369</v>
      </c>
      <c r="F1654" s="96" t="s">
        <v>5186</v>
      </c>
      <c r="G1654">
        <v>28404971</v>
      </c>
      <c r="H1654" s="96" t="s">
        <v>482</v>
      </c>
      <c r="I1654" t="s">
        <v>5185</v>
      </c>
      <c r="J1654" t="s">
        <v>5185</v>
      </c>
      <c r="K1654" s="99">
        <v>45653</v>
      </c>
      <c r="L1654" s="99">
        <v>45657</v>
      </c>
      <c r="M1654" s="99">
        <v>45747</v>
      </c>
      <c r="N1654">
        <v>7</v>
      </c>
      <c r="O1654" s="111">
        <v>251572</v>
      </c>
      <c r="P1654" s="99">
        <v>45747</v>
      </c>
      <c r="Q1654" s="111">
        <v>251572</v>
      </c>
      <c r="R1654">
        <v>29579720</v>
      </c>
      <c r="S1654" s="99">
        <v>45657</v>
      </c>
    </row>
    <row r="1655" spans="1:19" ht="15" customHeight="1">
      <c r="A1655" s="15">
        <v>1655</v>
      </c>
      <c r="B1655" s="102" t="s">
        <v>1555</v>
      </c>
      <c r="C1655" s="96" t="s">
        <v>5182</v>
      </c>
      <c r="D1655" t="s">
        <v>3110</v>
      </c>
      <c r="E1655" s="96" t="s">
        <v>3369</v>
      </c>
      <c r="F1655" s="96" t="s">
        <v>5183</v>
      </c>
      <c r="G1655">
        <v>4535791</v>
      </c>
      <c r="H1655" s="96" t="s">
        <v>482</v>
      </c>
      <c r="I1655" t="s">
        <v>5184</v>
      </c>
      <c r="J1655" t="s">
        <v>5184</v>
      </c>
      <c r="K1655" s="99">
        <v>45638</v>
      </c>
      <c r="L1655" s="99">
        <v>45638</v>
      </c>
      <c r="M1655" s="99">
        <v>45868</v>
      </c>
      <c r="N1655">
        <v>7</v>
      </c>
      <c r="O1655" s="111">
        <v>4766077.09</v>
      </c>
      <c r="P1655" s="99">
        <v>45868</v>
      </c>
      <c r="Q1655" s="111">
        <v>4766077.09</v>
      </c>
      <c r="R1655" t="s">
        <v>5903</v>
      </c>
      <c r="S1655" s="99" t="s">
        <v>5904</v>
      </c>
    </row>
    <row r="1656" spans="1:19" ht="15" customHeight="1">
      <c r="A1656" s="15">
        <v>1656</v>
      </c>
      <c r="B1656" s="102" t="s">
        <v>3086</v>
      </c>
      <c r="C1656" t="s">
        <v>5187</v>
      </c>
      <c r="D1656" t="s">
        <v>3110</v>
      </c>
      <c r="E1656" s="2" t="s">
        <v>3202</v>
      </c>
      <c r="F1656" s="96" t="s">
        <v>5191</v>
      </c>
      <c r="G1656">
        <v>28489969</v>
      </c>
      <c r="H1656" s="96" t="s">
        <v>385</v>
      </c>
      <c r="I1656" t="s">
        <v>5192</v>
      </c>
      <c r="J1656" t="s">
        <v>5192</v>
      </c>
      <c r="K1656" s="99">
        <v>45645</v>
      </c>
      <c r="L1656" s="99">
        <v>45650</v>
      </c>
      <c r="M1656" s="99">
        <v>46561</v>
      </c>
      <c r="N1656">
        <v>6</v>
      </c>
      <c r="O1656" s="111">
        <v>2407900</v>
      </c>
      <c r="P1656" s="99">
        <v>46561</v>
      </c>
      <c r="Q1656" s="111">
        <v>2407900</v>
      </c>
      <c r="R1656">
        <v>29550664</v>
      </c>
      <c r="S1656" s="99">
        <v>45650</v>
      </c>
    </row>
    <row r="1657" spans="1:19" ht="15" customHeight="1">
      <c r="A1657" s="15">
        <v>1657</v>
      </c>
      <c r="B1657" s="102" t="s">
        <v>3086</v>
      </c>
      <c r="C1657" t="s">
        <v>5188</v>
      </c>
      <c r="D1657" t="s">
        <v>3087</v>
      </c>
      <c r="E1657" s="96" t="s">
        <v>3197</v>
      </c>
      <c r="F1657" s="96" t="s">
        <v>3478</v>
      </c>
      <c r="G1657">
        <v>27094987</v>
      </c>
      <c r="H1657" s="96" t="s">
        <v>546</v>
      </c>
      <c r="I1657" t="s">
        <v>5193</v>
      </c>
      <c r="J1657" t="s">
        <v>5193</v>
      </c>
      <c r="K1657" s="99">
        <v>45657</v>
      </c>
      <c r="L1657" s="99">
        <v>45657</v>
      </c>
      <c r="M1657" s="99">
        <v>47117</v>
      </c>
      <c r="N1657">
        <v>7</v>
      </c>
      <c r="O1657" s="111">
        <v>18000000</v>
      </c>
      <c r="P1657" s="99">
        <v>47117</v>
      </c>
      <c r="Q1657" s="111">
        <v>18000000</v>
      </c>
      <c r="R1657">
        <v>29579556</v>
      </c>
      <c r="S1657" s="99">
        <v>45657</v>
      </c>
    </row>
    <row r="1658" spans="1:19" ht="15" customHeight="1">
      <c r="A1658" s="15">
        <v>1658</v>
      </c>
      <c r="B1658" s="102" t="s">
        <v>1555</v>
      </c>
      <c r="C1658" t="s">
        <v>5189</v>
      </c>
      <c r="D1658" t="s">
        <v>3087</v>
      </c>
      <c r="E1658" s="2" t="s">
        <v>4294</v>
      </c>
      <c r="F1658" s="96" t="s">
        <v>3998</v>
      </c>
      <c r="G1658">
        <v>29150043</v>
      </c>
      <c r="H1658" s="96" t="s">
        <v>830</v>
      </c>
      <c r="I1658" t="s">
        <v>5194</v>
      </c>
      <c r="J1658" t="s">
        <v>5194</v>
      </c>
      <c r="K1658" s="99">
        <v>45630</v>
      </c>
      <c r="L1658" s="99">
        <v>45635</v>
      </c>
      <c r="M1658" s="99">
        <v>45657</v>
      </c>
      <c r="N1658">
        <v>7</v>
      </c>
      <c r="O1658" s="111">
        <v>4200</v>
      </c>
      <c r="P1658" s="99">
        <v>45657</v>
      </c>
    </row>
    <row r="1659" spans="1:19" ht="15" customHeight="1">
      <c r="A1659" s="15">
        <v>1659</v>
      </c>
      <c r="B1659" s="102" t="s">
        <v>1555</v>
      </c>
      <c r="C1659" t="s">
        <v>5190</v>
      </c>
      <c r="D1659" t="s">
        <v>3087</v>
      </c>
      <c r="E1659" s="2" t="s">
        <v>4294</v>
      </c>
      <c r="F1659" t="s">
        <v>5196</v>
      </c>
      <c r="G1659">
        <v>10780</v>
      </c>
      <c r="H1659" s="96" t="s">
        <v>830</v>
      </c>
      <c r="I1659" t="s">
        <v>5195</v>
      </c>
      <c r="J1659" t="s">
        <v>5195</v>
      </c>
      <c r="K1659" s="99">
        <v>45637</v>
      </c>
      <c r="L1659" s="99">
        <v>45658</v>
      </c>
      <c r="M1659" s="99">
        <v>45747</v>
      </c>
      <c r="N1659">
        <v>7</v>
      </c>
      <c r="O1659" s="111">
        <v>3000</v>
      </c>
      <c r="P1659" s="99">
        <v>45747</v>
      </c>
    </row>
    <row r="1660" spans="1:19" ht="15" customHeight="1">
      <c r="A1660" s="15">
        <v>1660</v>
      </c>
      <c r="B1660" s="102" t="s">
        <v>1555</v>
      </c>
      <c r="C1660" s="96" t="s">
        <v>5244</v>
      </c>
      <c r="D1660" t="s">
        <v>3168</v>
      </c>
      <c r="E1660" s="96" t="s">
        <v>5143</v>
      </c>
      <c r="F1660" s="96" t="s">
        <v>3734</v>
      </c>
      <c r="G1660">
        <v>3038637</v>
      </c>
      <c r="H1660" s="2" t="s">
        <v>1729</v>
      </c>
      <c r="I1660" t="s">
        <v>5199</v>
      </c>
      <c r="J1660" t="s">
        <v>5198</v>
      </c>
      <c r="K1660" s="99">
        <v>45647</v>
      </c>
      <c r="L1660" s="99">
        <v>45647</v>
      </c>
      <c r="M1660" s="99">
        <v>45678</v>
      </c>
      <c r="N1660">
        <v>7</v>
      </c>
      <c r="O1660" s="111">
        <v>1440</v>
      </c>
      <c r="P1660" s="99">
        <v>45678</v>
      </c>
    </row>
    <row r="1661" spans="1:19" ht="15" customHeight="1">
      <c r="A1661" s="15">
        <v>1661</v>
      </c>
      <c r="B1661" s="102" t="s">
        <v>3086</v>
      </c>
      <c r="C1661" s="96" t="s">
        <v>5243</v>
      </c>
      <c r="D1661" t="s">
        <v>3127</v>
      </c>
      <c r="E1661" s="96" t="s">
        <v>3197</v>
      </c>
      <c r="F1661" s="96" t="s">
        <v>5200</v>
      </c>
      <c r="G1661" t="s">
        <v>5201</v>
      </c>
      <c r="H1661" s="96" t="s">
        <v>546</v>
      </c>
      <c r="I1661" s="96" t="s">
        <v>5202</v>
      </c>
      <c r="J1661" s="96" t="s">
        <v>5202</v>
      </c>
      <c r="K1661" s="99">
        <v>45653</v>
      </c>
      <c r="L1661" s="99">
        <v>45653</v>
      </c>
      <c r="M1661" s="99">
        <v>45687</v>
      </c>
      <c r="N1661">
        <v>7</v>
      </c>
      <c r="O1661" s="111">
        <v>855228</v>
      </c>
      <c r="P1661" s="99">
        <v>45687</v>
      </c>
      <c r="Q1661" s="111">
        <v>855228</v>
      </c>
      <c r="R1661">
        <v>29557544</v>
      </c>
      <c r="S1661" s="99">
        <v>45653</v>
      </c>
    </row>
    <row r="1662" spans="1:19" ht="15" customHeight="1">
      <c r="A1662" s="15">
        <v>1662</v>
      </c>
      <c r="B1662" s="102" t="s">
        <v>3086</v>
      </c>
      <c r="C1662" t="s">
        <v>5203</v>
      </c>
      <c r="D1662" t="s">
        <v>3087</v>
      </c>
      <c r="E1662" s="96" t="s">
        <v>3202</v>
      </c>
      <c r="F1662" s="96" t="s">
        <v>5210</v>
      </c>
      <c r="G1662">
        <v>47675934</v>
      </c>
      <c r="H1662" s="96" t="s">
        <v>385</v>
      </c>
      <c r="I1662" t="s">
        <v>5204</v>
      </c>
      <c r="J1662" t="s">
        <v>5204</v>
      </c>
      <c r="K1662" s="99">
        <v>45670</v>
      </c>
      <c r="L1662" s="99">
        <v>45670</v>
      </c>
      <c r="M1662" s="99">
        <v>46034</v>
      </c>
      <c r="N1662">
        <v>6</v>
      </c>
      <c r="O1662" s="111">
        <v>1500000</v>
      </c>
      <c r="P1662" s="99">
        <v>46034</v>
      </c>
      <c r="Q1662" s="111">
        <v>1500000</v>
      </c>
      <c r="R1662" t="s">
        <v>5610</v>
      </c>
      <c r="S1662" s="99" t="s">
        <v>5611</v>
      </c>
    </row>
    <row r="1663" spans="1:19" ht="15" customHeight="1">
      <c r="A1663" s="15">
        <v>1663</v>
      </c>
      <c r="B1663" s="102" t="s">
        <v>3086</v>
      </c>
      <c r="C1663" t="s">
        <v>5207</v>
      </c>
      <c r="D1663" t="s">
        <v>3110</v>
      </c>
      <c r="E1663" s="96" t="s">
        <v>3123</v>
      </c>
      <c r="F1663" s="96" t="s">
        <v>5208</v>
      </c>
      <c r="G1663" s="108" t="s">
        <v>5209</v>
      </c>
      <c r="H1663" s="2" t="s">
        <v>250</v>
      </c>
      <c r="I1663" t="s">
        <v>5205</v>
      </c>
      <c r="J1663" t="s">
        <v>5206</v>
      </c>
      <c r="K1663" s="99">
        <v>45653</v>
      </c>
      <c r="L1663" s="99">
        <v>45658</v>
      </c>
      <c r="M1663" s="99">
        <v>46053</v>
      </c>
      <c r="N1663">
        <v>1</v>
      </c>
      <c r="O1663" s="111">
        <v>517200</v>
      </c>
      <c r="P1663" s="99">
        <v>46053</v>
      </c>
      <c r="Q1663" s="111">
        <v>1551600</v>
      </c>
      <c r="R1663">
        <v>29579176.333631702</v>
      </c>
      <c r="S1663" s="99" t="s">
        <v>6284</v>
      </c>
    </row>
    <row r="1664" spans="1:19" ht="15" customHeight="1">
      <c r="A1664" s="15">
        <v>1664</v>
      </c>
      <c r="B1664" s="102" t="s">
        <v>1555</v>
      </c>
      <c r="C1664" t="s">
        <v>5212</v>
      </c>
      <c r="D1664" t="s">
        <v>3087</v>
      </c>
      <c r="E1664" s="2" t="s">
        <v>4294</v>
      </c>
      <c r="F1664" s="96" t="s">
        <v>5215</v>
      </c>
      <c r="G1664">
        <v>26752051</v>
      </c>
      <c r="H1664" s="96" t="s">
        <v>830</v>
      </c>
      <c r="I1664" t="s">
        <v>5216</v>
      </c>
      <c r="J1664" t="s">
        <v>5216</v>
      </c>
      <c r="K1664" s="99">
        <v>45628</v>
      </c>
      <c r="L1664" s="99">
        <v>45628</v>
      </c>
      <c r="M1664" s="99">
        <v>45636</v>
      </c>
      <c r="N1664">
        <v>7</v>
      </c>
      <c r="O1664" s="111">
        <v>4200</v>
      </c>
      <c r="P1664" s="99">
        <v>45636</v>
      </c>
    </row>
    <row r="1665" spans="1:19" ht="15" customHeight="1">
      <c r="A1665" s="15">
        <v>1665</v>
      </c>
      <c r="B1665" s="102" t="s">
        <v>1555</v>
      </c>
      <c r="C1665" t="s">
        <v>5213</v>
      </c>
      <c r="D1665" t="s">
        <v>3087</v>
      </c>
      <c r="E1665" s="2" t="s">
        <v>4294</v>
      </c>
      <c r="F1665" s="96" t="s">
        <v>4142</v>
      </c>
      <c r="G1665">
        <v>10078</v>
      </c>
      <c r="H1665" s="96" t="s">
        <v>830</v>
      </c>
      <c r="I1665" t="s">
        <v>5217</v>
      </c>
      <c r="J1665" t="s">
        <v>5217</v>
      </c>
      <c r="K1665" s="99">
        <v>45539</v>
      </c>
      <c r="L1665" s="99">
        <v>45540</v>
      </c>
      <c r="M1665" s="99">
        <v>45565</v>
      </c>
      <c r="N1665">
        <v>7</v>
      </c>
      <c r="O1665" s="111">
        <v>2500</v>
      </c>
      <c r="P1665" s="99">
        <v>45565</v>
      </c>
    </row>
    <row r="1666" spans="1:19" ht="15" customHeight="1">
      <c r="A1666" s="15">
        <v>1666</v>
      </c>
      <c r="B1666" s="102" t="s">
        <v>1555</v>
      </c>
      <c r="C1666" t="s">
        <v>5214</v>
      </c>
      <c r="D1666" t="s">
        <v>3087</v>
      </c>
      <c r="E1666" s="2" t="s">
        <v>4294</v>
      </c>
      <c r="F1666" s="96" t="s">
        <v>4139</v>
      </c>
      <c r="G1666">
        <v>10077</v>
      </c>
      <c r="H1666" s="96" t="s">
        <v>830</v>
      </c>
      <c r="I1666" t="s">
        <v>5218</v>
      </c>
      <c r="J1666" t="s">
        <v>5218</v>
      </c>
      <c r="K1666" s="99">
        <v>45520</v>
      </c>
      <c r="L1666" s="99">
        <v>45523</v>
      </c>
      <c r="M1666" s="99">
        <v>45565</v>
      </c>
      <c r="N1666">
        <v>7</v>
      </c>
      <c r="O1666" s="111">
        <v>2500</v>
      </c>
      <c r="P1666" s="99">
        <v>45565</v>
      </c>
    </row>
    <row r="1667" spans="1:19" ht="15" customHeight="1">
      <c r="A1667" s="15">
        <v>1667</v>
      </c>
      <c r="B1667" s="102" t="s">
        <v>1555</v>
      </c>
      <c r="C1667" t="s">
        <v>5219</v>
      </c>
      <c r="D1667" t="s">
        <v>3087</v>
      </c>
      <c r="E1667" s="96" t="s">
        <v>3811</v>
      </c>
      <c r="F1667" s="96" t="s">
        <v>3502</v>
      </c>
      <c r="G1667">
        <v>26747618</v>
      </c>
      <c r="H1667" s="2" t="s">
        <v>180</v>
      </c>
      <c r="I1667" t="s">
        <v>5224</v>
      </c>
      <c r="J1667" t="s">
        <v>5224</v>
      </c>
      <c r="K1667" s="99">
        <v>45659</v>
      </c>
      <c r="L1667" s="99">
        <v>45669</v>
      </c>
      <c r="M1667" s="99">
        <v>45720</v>
      </c>
      <c r="N1667">
        <v>7</v>
      </c>
      <c r="O1667" s="111">
        <v>50560</v>
      </c>
      <c r="P1667" s="99">
        <v>45720</v>
      </c>
      <c r="Q1667" s="111">
        <v>50560</v>
      </c>
      <c r="R1667">
        <v>29631116</v>
      </c>
      <c r="S1667" s="99">
        <v>45664</v>
      </c>
    </row>
    <row r="1668" spans="1:19" ht="15" customHeight="1">
      <c r="A1668" s="15">
        <v>1668</v>
      </c>
      <c r="B1668" s="102" t="s">
        <v>1555</v>
      </c>
      <c r="C1668" t="s">
        <v>5220</v>
      </c>
      <c r="D1668" t="s">
        <v>3087</v>
      </c>
      <c r="E1668" s="2" t="s">
        <v>4294</v>
      </c>
      <c r="F1668" s="96" t="s">
        <v>5225</v>
      </c>
      <c r="G1668">
        <v>10793</v>
      </c>
      <c r="H1668" s="96" t="s">
        <v>830</v>
      </c>
      <c r="I1668" t="s">
        <v>5226</v>
      </c>
      <c r="J1668" t="s">
        <v>5226</v>
      </c>
      <c r="K1668" s="99">
        <v>45628</v>
      </c>
      <c r="L1668" s="99">
        <v>45628</v>
      </c>
      <c r="M1668" s="99">
        <v>45716</v>
      </c>
      <c r="N1668">
        <v>7</v>
      </c>
      <c r="O1668" s="111">
        <v>5000</v>
      </c>
      <c r="P1668" s="99">
        <v>45716</v>
      </c>
    </row>
    <row r="1669" spans="1:19" ht="15" customHeight="1">
      <c r="A1669" s="15">
        <v>1669</v>
      </c>
      <c r="B1669" s="102" t="s">
        <v>3086</v>
      </c>
      <c r="C1669" t="s">
        <v>5221</v>
      </c>
      <c r="D1669" t="s">
        <v>3087</v>
      </c>
      <c r="E1669" s="2" t="s">
        <v>4294</v>
      </c>
      <c r="F1669" s="96" t="s">
        <v>5227</v>
      </c>
      <c r="G1669">
        <v>27092887</v>
      </c>
      <c r="H1669" s="96" t="s">
        <v>830</v>
      </c>
      <c r="I1669" t="s">
        <v>5228</v>
      </c>
      <c r="J1669" t="s">
        <v>5228</v>
      </c>
      <c r="K1669" s="99">
        <v>45659</v>
      </c>
      <c r="L1669" s="99">
        <v>45666</v>
      </c>
      <c r="M1669" s="99">
        <v>45679</v>
      </c>
      <c r="N1669">
        <v>7</v>
      </c>
      <c r="O1669" s="111">
        <v>6000</v>
      </c>
      <c r="P1669" s="99">
        <v>45679</v>
      </c>
    </row>
    <row r="1670" spans="1:19" ht="15" customHeight="1">
      <c r="A1670" s="15">
        <v>1670</v>
      </c>
      <c r="B1670" s="102" t="s">
        <v>3086</v>
      </c>
      <c r="C1670" t="s">
        <v>5222</v>
      </c>
      <c r="D1670" t="s">
        <v>3087</v>
      </c>
      <c r="E1670" s="2" t="s">
        <v>4294</v>
      </c>
      <c r="F1670" s="96" t="s">
        <v>5229</v>
      </c>
      <c r="G1670">
        <v>24225452</v>
      </c>
      <c r="H1670" s="96" t="s">
        <v>830</v>
      </c>
      <c r="I1670" t="s">
        <v>5230</v>
      </c>
      <c r="J1670" t="s">
        <v>5230</v>
      </c>
      <c r="K1670" s="99">
        <v>45659</v>
      </c>
      <c r="L1670" s="99">
        <v>45677</v>
      </c>
      <c r="M1670" s="99">
        <v>45688</v>
      </c>
      <c r="N1670">
        <v>7</v>
      </c>
      <c r="O1670" s="111">
        <v>6000</v>
      </c>
      <c r="P1670" s="99">
        <v>45688</v>
      </c>
    </row>
    <row r="1671" spans="1:19" ht="15" customHeight="1">
      <c r="A1671" s="15">
        <v>1671</v>
      </c>
      <c r="B1671" s="102" t="s">
        <v>1555</v>
      </c>
      <c r="C1671" t="s">
        <v>5223</v>
      </c>
      <c r="D1671" t="s">
        <v>3087</v>
      </c>
      <c r="E1671" s="2" t="s">
        <v>4294</v>
      </c>
      <c r="F1671" s="96" t="s">
        <v>5231</v>
      </c>
      <c r="G1671">
        <v>3641201</v>
      </c>
      <c r="H1671" s="96" t="s">
        <v>830</v>
      </c>
      <c r="I1671" t="s">
        <v>5232</v>
      </c>
      <c r="J1671" t="s">
        <v>5232</v>
      </c>
      <c r="K1671" s="99">
        <v>45660</v>
      </c>
      <c r="L1671" s="99">
        <v>45691</v>
      </c>
      <c r="M1671" s="99">
        <v>45704</v>
      </c>
      <c r="N1671">
        <v>7</v>
      </c>
      <c r="O1671" s="111">
        <v>4200</v>
      </c>
      <c r="P1671" s="99">
        <v>45704</v>
      </c>
    </row>
    <row r="1672" spans="1:19" ht="15" customHeight="1">
      <c r="A1672" s="15">
        <v>1672</v>
      </c>
      <c r="B1672" s="102" t="s">
        <v>3086</v>
      </c>
      <c r="C1672" t="s">
        <v>5242</v>
      </c>
      <c r="D1672" t="s">
        <v>3087</v>
      </c>
      <c r="E1672" s="2" t="s">
        <v>4294</v>
      </c>
      <c r="F1672" s="96" t="s">
        <v>4599</v>
      </c>
      <c r="G1672">
        <v>8284</v>
      </c>
      <c r="H1672" s="96" t="s">
        <v>830</v>
      </c>
      <c r="I1672" t="s">
        <v>5245</v>
      </c>
      <c r="J1672" t="s">
        <v>5245</v>
      </c>
      <c r="K1672" s="99">
        <v>45663</v>
      </c>
      <c r="L1672" s="99">
        <v>45664</v>
      </c>
      <c r="M1672" s="99">
        <v>45678</v>
      </c>
      <c r="N1672">
        <v>7</v>
      </c>
      <c r="O1672" s="111">
        <v>3000</v>
      </c>
      <c r="P1672" s="99">
        <v>45678</v>
      </c>
    </row>
    <row r="1673" spans="1:19" ht="15" customHeight="1">
      <c r="A1673" s="15">
        <v>1673</v>
      </c>
      <c r="B1673" s="102" t="s">
        <v>3086</v>
      </c>
      <c r="C1673" t="s">
        <v>5246</v>
      </c>
      <c r="D1673" t="s">
        <v>3116</v>
      </c>
      <c r="E1673" s="96" t="s">
        <v>3088</v>
      </c>
      <c r="F1673" s="96" t="s">
        <v>3890</v>
      </c>
      <c r="G1673">
        <v>7064</v>
      </c>
      <c r="H1673" s="2" t="s">
        <v>48</v>
      </c>
      <c r="I1673" t="s">
        <v>5247</v>
      </c>
      <c r="J1673" t="s">
        <v>5247</v>
      </c>
      <c r="K1673" s="99">
        <v>45684</v>
      </c>
      <c r="L1673" s="99">
        <v>45684</v>
      </c>
      <c r="M1673" s="99">
        <v>2958465</v>
      </c>
      <c r="N1673">
        <v>7</v>
      </c>
      <c r="O1673" s="111">
        <v>10865</v>
      </c>
      <c r="P1673" s="99">
        <v>2958465</v>
      </c>
      <c r="Q1673" s="111"/>
    </row>
    <row r="1674" spans="1:19" ht="15" customHeight="1">
      <c r="A1674" s="15">
        <v>1674</v>
      </c>
      <c r="B1674" s="102" t="s">
        <v>1555</v>
      </c>
      <c r="C1674" t="s">
        <v>5248</v>
      </c>
      <c r="D1674" t="s">
        <v>3116</v>
      </c>
      <c r="E1674" s="96" t="s">
        <v>3197</v>
      </c>
      <c r="F1674" s="96" t="s">
        <v>5249</v>
      </c>
      <c r="G1674">
        <v>14498138</v>
      </c>
      <c r="H1674" s="96" t="s">
        <v>546</v>
      </c>
      <c r="I1674" t="s">
        <v>5250</v>
      </c>
      <c r="J1674" t="s">
        <v>5250</v>
      </c>
      <c r="K1674" s="99">
        <v>45677</v>
      </c>
      <c r="L1674" s="99">
        <v>45678</v>
      </c>
      <c r="M1674" s="99">
        <v>45747</v>
      </c>
      <c r="N1674">
        <v>7</v>
      </c>
      <c r="O1674" s="111">
        <v>2380191</v>
      </c>
      <c r="P1674" s="99">
        <v>45747</v>
      </c>
      <c r="Q1674" s="111">
        <v>2380191</v>
      </c>
      <c r="R1674">
        <v>29795780</v>
      </c>
      <c r="S1674" s="99">
        <v>45678</v>
      </c>
    </row>
    <row r="1675" spans="1:19" ht="15" customHeight="1">
      <c r="A1675" s="15">
        <v>1675</v>
      </c>
      <c r="B1675" s="102" t="s">
        <v>3086</v>
      </c>
      <c r="C1675" t="s">
        <v>5256</v>
      </c>
      <c r="D1675" t="s">
        <v>3087</v>
      </c>
      <c r="E1675" s="2" t="s">
        <v>3811</v>
      </c>
      <c r="F1675" s="96" t="s">
        <v>5258</v>
      </c>
      <c r="G1675">
        <v>2480913</v>
      </c>
      <c r="H1675" s="96" t="s">
        <v>180</v>
      </c>
      <c r="I1675" t="s">
        <v>5259</v>
      </c>
      <c r="J1675" t="s">
        <v>5259</v>
      </c>
      <c r="K1675" s="99">
        <v>45671</v>
      </c>
      <c r="L1675" s="99">
        <v>45682</v>
      </c>
      <c r="M1675" s="99">
        <v>45682</v>
      </c>
      <c r="N1675">
        <v>7</v>
      </c>
      <c r="O1675" s="111">
        <v>6320</v>
      </c>
      <c r="P1675" s="99">
        <v>45682</v>
      </c>
    </row>
    <row r="1676" spans="1:19" ht="15" customHeight="1">
      <c r="A1676" s="15">
        <v>1676</v>
      </c>
      <c r="B1676" s="102" t="s">
        <v>1555</v>
      </c>
      <c r="C1676" t="s">
        <v>5257</v>
      </c>
      <c r="D1676" t="s">
        <v>3087</v>
      </c>
      <c r="E1676" s="2" t="s">
        <v>4294</v>
      </c>
      <c r="F1676" s="96" t="s">
        <v>5260</v>
      </c>
      <c r="G1676">
        <v>10800</v>
      </c>
      <c r="H1676" s="96" t="s">
        <v>830</v>
      </c>
      <c r="I1676" t="s">
        <v>5261</v>
      </c>
      <c r="J1676" t="s">
        <v>5261</v>
      </c>
      <c r="K1676" s="99">
        <v>45670</v>
      </c>
      <c r="L1676" s="99">
        <v>45670</v>
      </c>
      <c r="M1676" s="99">
        <v>45777</v>
      </c>
      <c r="O1676" s="111">
        <v>0</v>
      </c>
      <c r="P1676" s="99">
        <v>45777</v>
      </c>
    </row>
    <row r="1677" spans="1:19" ht="15" customHeight="1">
      <c r="A1677" s="15">
        <v>1677</v>
      </c>
      <c r="B1677" s="102" t="s">
        <v>1555</v>
      </c>
      <c r="C1677" t="s">
        <v>5788</v>
      </c>
      <c r="D1677" t="s">
        <v>3087</v>
      </c>
      <c r="E1677" s="2" t="s">
        <v>4294</v>
      </c>
      <c r="F1677" s="96" t="s">
        <v>4851</v>
      </c>
      <c r="G1677">
        <v>10493</v>
      </c>
      <c r="H1677" s="96" t="s">
        <v>830</v>
      </c>
      <c r="I1677" t="s">
        <v>5262</v>
      </c>
      <c r="J1677" t="s">
        <v>5262</v>
      </c>
      <c r="K1677" s="99">
        <v>45671</v>
      </c>
      <c r="L1677" s="99">
        <v>45671</v>
      </c>
      <c r="M1677" s="99">
        <v>45869</v>
      </c>
      <c r="O1677" s="111">
        <v>0</v>
      </c>
      <c r="P1677" s="99">
        <v>45869</v>
      </c>
    </row>
    <row r="1678" spans="1:19" ht="15" customHeight="1">
      <c r="A1678" s="15">
        <v>1678</v>
      </c>
      <c r="B1678" s="102" t="s">
        <v>1555</v>
      </c>
      <c r="C1678" t="s">
        <v>5263</v>
      </c>
      <c r="D1678" t="s">
        <v>3110</v>
      </c>
      <c r="E1678" s="2" t="s">
        <v>3369</v>
      </c>
      <c r="F1678" s="96" t="s">
        <v>3628</v>
      </c>
      <c r="G1678">
        <v>24154041</v>
      </c>
      <c r="H1678" s="96" t="s">
        <v>482</v>
      </c>
      <c r="I1678" t="s">
        <v>5264</v>
      </c>
      <c r="J1678" t="s">
        <v>5264</v>
      </c>
      <c r="K1678" s="99">
        <v>45680</v>
      </c>
      <c r="L1678" s="99">
        <v>45681</v>
      </c>
      <c r="M1678" s="99">
        <v>45716</v>
      </c>
      <c r="N1678">
        <v>7</v>
      </c>
      <c r="O1678" s="111">
        <v>465850</v>
      </c>
      <c r="P1678" s="99">
        <v>45716</v>
      </c>
      <c r="Q1678" s="111">
        <v>465850</v>
      </c>
      <c r="R1678">
        <v>29841020</v>
      </c>
      <c r="S1678" s="99">
        <v>45681</v>
      </c>
    </row>
    <row r="1679" spans="1:19" ht="15" customHeight="1">
      <c r="A1679" s="15">
        <v>1679</v>
      </c>
      <c r="B1679" s="102" t="s">
        <v>1555</v>
      </c>
      <c r="C1679" t="s">
        <v>5265</v>
      </c>
      <c r="D1679" t="s">
        <v>3087</v>
      </c>
      <c r="E1679" s="2" t="s">
        <v>4294</v>
      </c>
      <c r="F1679" s="96" t="s">
        <v>5266</v>
      </c>
      <c r="G1679">
        <v>19630905</v>
      </c>
      <c r="H1679" s="96" t="s">
        <v>830</v>
      </c>
      <c r="I1679" t="s">
        <v>5267</v>
      </c>
      <c r="J1679" t="s">
        <v>5267</v>
      </c>
      <c r="K1679" s="99">
        <v>45673</v>
      </c>
      <c r="L1679" s="99">
        <v>45677</v>
      </c>
      <c r="M1679" s="99">
        <v>45695</v>
      </c>
      <c r="N1679">
        <v>7</v>
      </c>
      <c r="O1679" s="111">
        <v>4200</v>
      </c>
      <c r="P1679" s="99">
        <v>45695</v>
      </c>
    </row>
    <row r="1680" spans="1:19" ht="15" customHeight="1">
      <c r="A1680" s="15">
        <v>1680</v>
      </c>
      <c r="B1680" s="102" t="s">
        <v>3086</v>
      </c>
      <c r="C1680" t="s">
        <v>5268</v>
      </c>
      <c r="D1680" t="s">
        <v>3094</v>
      </c>
      <c r="E1680" s="2" t="s">
        <v>5090</v>
      </c>
      <c r="F1680" s="96" t="s">
        <v>3712</v>
      </c>
      <c r="G1680">
        <v>4797604</v>
      </c>
      <c r="H1680" s="96" t="s">
        <v>189</v>
      </c>
      <c r="I1680" t="s">
        <v>5269</v>
      </c>
      <c r="J1680" t="s">
        <v>5269</v>
      </c>
      <c r="K1680" s="99">
        <v>45713</v>
      </c>
      <c r="L1680" s="99">
        <v>45713</v>
      </c>
      <c r="M1680" s="99">
        <v>47173</v>
      </c>
      <c r="N1680">
        <v>6</v>
      </c>
      <c r="O1680" s="111">
        <v>70000</v>
      </c>
      <c r="P1680" s="99">
        <v>47173</v>
      </c>
      <c r="Q1680" s="111">
        <v>280000</v>
      </c>
      <c r="R1680">
        <v>30221996</v>
      </c>
      <c r="S1680" s="99">
        <v>45713</v>
      </c>
    </row>
    <row r="1681" spans="1:19" ht="15" customHeight="1">
      <c r="A1681" s="15">
        <v>1681</v>
      </c>
      <c r="B1681" s="102" t="s">
        <v>3086</v>
      </c>
      <c r="C1681" t="s">
        <v>5270</v>
      </c>
      <c r="D1681" t="s">
        <v>3087</v>
      </c>
      <c r="E1681" s="2" t="s">
        <v>3088</v>
      </c>
      <c r="F1681" s="96" t="s">
        <v>3203</v>
      </c>
      <c r="G1681">
        <v>64506592</v>
      </c>
      <c r="H1681" s="96" t="s">
        <v>48</v>
      </c>
      <c r="I1681" t="s">
        <v>5275</v>
      </c>
      <c r="J1681" t="s">
        <v>5275</v>
      </c>
      <c r="K1681" s="99">
        <v>45701</v>
      </c>
      <c r="L1681" s="99">
        <v>45702</v>
      </c>
      <c r="M1681" s="99">
        <v>46066</v>
      </c>
      <c r="N1681">
        <v>7</v>
      </c>
      <c r="O1681" s="111">
        <v>840950</v>
      </c>
      <c r="P1681" s="99">
        <v>46066</v>
      </c>
      <c r="Q1681" s="111">
        <v>840950</v>
      </c>
      <c r="R1681">
        <v>30101928</v>
      </c>
      <c r="S1681" s="99">
        <v>45702</v>
      </c>
    </row>
    <row r="1682" spans="1:19" ht="15" customHeight="1">
      <c r="A1682" s="15">
        <v>1682</v>
      </c>
      <c r="B1682" s="102" t="s">
        <v>3086</v>
      </c>
      <c r="C1682" s="96" t="s">
        <v>5271</v>
      </c>
      <c r="D1682" t="s">
        <v>3139</v>
      </c>
      <c r="E1682" s="2" t="s">
        <v>3202</v>
      </c>
      <c r="F1682" s="96" t="s">
        <v>3700</v>
      </c>
      <c r="G1682">
        <v>5732069</v>
      </c>
      <c r="H1682" s="96" t="s">
        <v>385</v>
      </c>
      <c r="I1682" t="s">
        <v>5276</v>
      </c>
      <c r="J1682" t="s">
        <v>5276</v>
      </c>
      <c r="K1682" s="99">
        <v>45687</v>
      </c>
      <c r="L1682" s="99">
        <v>45687</v>
      </c>
      <c r="M1682" s="99">
        <v>46781</v>
      </c>
      <c r="N1682">
        <v>6</v>
      </c>
      <c r="O1682" s="111">
        <v>2420000</v>
      </c>
      <c r="P1682" s="99">
        <v>46781</v>
      </c>
      <c r="Q1682" s="111">
        <v>2420000</v>
      </c>
      <c r="R1682">
        <v>29918712</v>
      </c>
      <c r="S1682" s="99">
        <v>45687</v>
      </c>
    </row>
    <row r="1683" spans="1:19" ht="15" customHeight="1">
      <c r="A1683" s="15">
        <v>1683</v>
      </c>
      <c r="B1683" s="102" t="s">
        <v>1555</v>
      </c>
      <c r="C1683" t="s">
        <v>5272</v>
      </c>
      <c r="D1683" t="s">
        <v>3087</v>
      </c>
      <c r="E1683" s="2" t="s">
        <v>4294</v>
      </c>
      <c r="F1683" s="96" t="s">
        <v>5277</v>
      </c>
      <c r="G1683">
        <v>10816</v>
      </c>
      <c r="H1683" s="96" t="s">
        <v>830</v>
      </c>
      <c r="I1683" t="s">
        <v>5280</v>
      </c>
      <c r="J1683" t="s">
        <v>5280</v>
      </c>
      <c r="K1683" s="99">
        <v>45678</v>
      </c>
      <c r="L1683" s="99">
        <v>45689</v>
      </c>
      <c r="M1683" s="99">
        <v>45900</v>
      </c>
      <c r="N1683">
        <v>7</v>
      </c>
      <c r="O1683" s="111">
        <v>5000</v>
      </c>
      <c r="P1683" s="99">
        <v>45900</v>
      </c>
    </row>
    <row r="1684" spans="1:19" ht="15" customHeight="1">
      <c r="A1684" s="15">
        <v>1684</v>
      </c>
      <c r="B1684" s="102" t="s">
        <v>1555</v>
      </c>
      <c r="C1684" t="s">
        <v>5273</v>
      </c>
      <c r="D1684" t="s">
        <v>3087</v>
      </c>
      <c r="E1684" s="2" t="s">
        <v>4294</v>
      </c>
      <c r="F1684" s="96" t="s">
        <v>5278</v>
      </c>
      <c r="G1684">
        <v>9004</v>
      </c>
      <c r="H1684" s="96" t="s">
        <v>830</v>
      </c>
      <c r="I1684" t="s">
        <v>5281</v>
      </c>
      <c r="J1684" t="s">
        <v>5281</v>
      </c>
      <c r="K1684" s="99">
        <v>45679</v>
      </c>
      <c r="L1684" s="99">
        <v>45694</v>
      </c>
      <c r="M1684" s="99">
        <v>45714</v>
      </c>
      <c r="N1684">
        <v>7</v>
      </c>
      <c r="O1684" s="111">
        <v>2500</v>
      </c>
      <c r="P1684" s="99">
        <v>45714</v>
      </c>
    </row>
    <row r="1685" spans="1:19" ht="15" customHeight="1">
      <c r="A1685" s="15">
        <v>1685</v>
      </c>
      <c r="B1685" s="102" t="s">
        <v>1555</v>
      </c>
      <c r="C1685" t="s">
        <v>5274</v>
      </c>
      <c r="D1685" t="s">
        <v>3087</v>
      </c>
      <c r="E1685" s="2" t="s">
        <v>4294</v>
      </c>
      <c r="F1685" s="96" t="s">
        <v>5279</v>
      </c>
      <c r="G1685">
        <v>10087</v>
      </c>
      <c r="H1685" s="96" t="s">
        <v>830</v>
      </c>
      <c r="I1685" t="s">
        <v>5282</v>
      </c>
      <c r="J1685" t="s">
        <v>5282</v>
      </c>
      <c r="K1685" s="99">
        <v>45675</v>
      </c>
      <c r="L1685" s="99">
        <v>45677</v>
      </c>
      <c r="M1685" s="99">
        <v>45777</v>
      </c>
      <c r="N1685">
        <v>7</v>
      </c>
      <c r="O1685" s="111">
        <v>8000</v>
      </c>
      <c r="P1685" s="99">
        <v>45777</v>
      </c>
    </row>
    <row r="1686" spans="1:19" ht="15" customHeight="1">
      <c r="A1686" s="15">
        <v>1686</v>
      </c>
      <c r="B1686" s="102" t="s">
        <v>3086</v>
      </c>
      <c r="C1686" t="s">
        <v>5283</v>
      </c>
      <c r="D1686" t="s">
        <v>3110</v>
      </c>
      <c r="E1686" s="2" t="s">
        <v>3141</v>
      </c>
      <c r="F1686" s="96" t="s">
        <v>4964</v>
      </c>
      <c r="G1686">
        <v>24729035</v>
      </c>
      <c r="H1686" s="96" t="s">
        <v>5284</v>
      </c>
      <c r="I1686" s="96" t="s">
        <v>5299</v>
      </c>
      <c r="J1686" s="96" t="s">
        <v>5299</v>
      </c>
      <c r="K1686" s="99">
        <v>45688</v>
      </c>
      <c r="L1686" s="99">
        <v>45688</v>
      </c>
      <c r="M1686" s="99">
        <v>2958465</v>
      </c>
      <c r="N1686">
        <v>7</v>
      </c>
      <c r="O1686" s="111">
        <v>13090</v>
      </c>
      <c r="P1686" s="99">
        <v>2958465</v>
      </c>
    </row>
    <row r="1687" spans="1:19" ht="15" customHeight="1">
      <c r="A1687" s="15">
        <v>1687</v>
      </c>
      <c r="B1687" s="102" t="s">
        <v>1555</v>
      </c>
      <c r="C1687" t="s">
        <v>5286</v>
      </c>
      <c r="D1687" t="s">
        <v>3087</v>
      </c>
      <c r="E1687" s="2" t="s">
        <v>4294</v>
      </c>
      <c r="F1687" s="96" t="s">
        <v>5084</v>
      </c>
      <c r="G1687">
        <v>10622</v>
      </c>
      <c r="H1687" s="96" t="s">
        <v>830</v>
      </c>
      <c r="I1687" t="s">
        <v>5085</v>
      </c>
      <c r="J1687" t="s">
        <v>5085</v>
      </c>
      <c r="K1687" s="99">
        <v>45677</v>
      </c>
      <c r="L1687" s="99">
        <v>45689</v>
      </c>
      <c r="M1687" s="99">
        <v>45747</v>
      </c>
      <c r="O1687" s="111">
        <v>0</v>
      </c>
      <c r="P1687" s="99">
        <v>45747</v>
      </c>
    </row>
    <row r="1688" spans="1:19" ht="15" customHeight="1">
      <c r="A1688" s="15">
        <v>1688</v>
      </c>
      <c r="B1688" s="102" t="s">
        <v>3086</v>
      </c>
      <c r="C1688" t="s">
        <v>5287</v>
      </c>
      <c r="D1688" t="s">
        <v>3116</v>
      </c>
      <c r="E1688" s="2" t="s">
        <v>3123</v>
      </c>
      <c r="F1688" s="96" t="s">
        <v>5291</v>
      </c>
      <c r="G1688">
        <v>28226771</v>
      </c>
      <c r="H1688" s="96" t="s">
        <v>5292</v>
      </c>
      <c r="I1688" t="s">
        <v>5293</v>
      </c>
      <c r="J1688" t="s">
        <v>5293</v>
      </c>
      <c r="K1688" s="99">
        <v>45687</v>
      </c>
      <c r="L1688" s="99">
        <v>45689</v>
      </c>
      <c r="M1688" s="99">
        <v>46022</v>
      </c>
      <c r="N1688">
        <v>1</v>
      </c>
      <c r="O1688" s="111">
        <v>121605</v>
      </c>
      <c r="P1688" s="99">
        <v>46022</v>
      </c>
      <c r="Q1688" s="111">
        <v>121605</v>
      </c>
      <c r="R1688">
        <v>29937884</v>
      </c>
      <c r="S1688" s="99">
        <v>45688</v>
      </c>
    </row>
    <row r="1689" spans="1:19" ht="15" customHeight="1">
      <c r="A1689" s="15">
        <v>1689</v>
      </c>
      <c r="B1689" s="102" t="s">
        <v>1555</v>
      </c>
      <c r="C1689" t="s">
        <v>5288</v>
      </c>
      <c r="D1689" t="s">
        <v>3116</v>
      </c>
      <c r="E1689" s="2" t="s">
        <v>3197</v>
      </c>
      <c r="F1689" s="96" t="s">
        <v>5295</v>
      </c>
      <c r="G1689">
        <v>45022828</v>
      </c>
      <c r="H1689" s="96" t="s">
        <v>546</v>
      </c>
      <c r="I1689" t="s">
        <v>5294</v>
      </c>
      <c r="J1689" t="s">
        <v>5294</v>
      </c>
      <c r="K1689" s="99">
        <v>45693</v>
      </c>
      <c r="L1689" s="99">
        <v>45693</v>
      </c>
      <c r="M1689" s="99">
        <v>45747</v>
      </c>
      <c r="N1689">
        <v>7</v>
      </c>
      <c r="O1689" s="111">
        <v>494856.1</v>
      </c>
      <c r="P1689" s="99">
        <v>45747</v>
      </c>
      <c r="Q1689" s="111">
        <v>494856.1</v>
      </c>
      <c r="R1689">
        <v>29985996</v>
      </c>
      <c r="S1689" s="99">
        <v>45693</v>
      </c>
    </row>
    <row r="1690" spans="1:19" ht="15" customHeight="1">
      <c r="A1690" s="15">
        <v>1690</v>
      </c>
      <c r="B1690" s="102" t="s">
        <v>1555</v>
      </c>
      <c r="C1690" t="s">
        <v>5289</v>
      </c>
      <c r="D1690" t="s">
        <v>3116</v>
      </c>
      <c r="E1690" s="2" t="s">
        <v>3197</v>
      </c>
      <c r="F1690" s="96" t="s">
        <v>5295</v>
      </c>
      <c r="G1690">
        <v>45022828</v>
      </c>
      <c r="H1690" s="96" t="s">
        <v>546</v>
      </c>
      <c r="I1690" t="s">
        <v>5296</v>
      </c>
      <c r="J1690" t="s">
        <v>5296</v>
      </c>
      <c r="K1690" s="99">
        <v>45693</v>
      </c>
      <c r="L1690" s="99">
        <v>45693</v>
      </c>
      <c r="M1690" s="99">
        <v>45747</v>
      </c>
      <c r="N1690">
        <v>7</v>
      </c>
      <c r="O1690" s="111">
        <v>280236</v>
      </c>
      <c r="P1690" s="99">
        <v>45747</v>
      </c>
      <c r="Q1690" s="111">
        <v>280236</v>
      </c>
      <c r="R1690">
        <v>29986000</v>
      </c>
      <c r="S1690" s="99">
        <v>45693</v>
      </c>
    </row>
    <row r="1691" spans="1:19" ht="15" customHeight="1">
      <c r="A1691" s="15">
        <v>1691</v>
      </c>
      <c r="B1691" s="102" t="s">
        <v>1555</v>
      </c>
      <c r="C1691" t="s">
        <v>5290</v>
      </c>
      <c r="D1691" t="s">
        <v>3110</v>
      </c>
      <c r="E1691" s="2" t="s">
        <v>3369</v>
      </c>
      <c r="F1691" s="96" t="s">
        <v>3928</v>
      </c>
      <c r="G1691">
        <v>44265778</v>
      </c>
      <c r="H1691" s="96" t="s">
        <v>482</v>
      </c>
      <c r="I1691" t="s">
        <v>5297</v>
      </c>
      <c r="J1691" t="s">
        <v>5297</v>
      </c>
      <c r="K1691" s="99">
        <v>45693</v>
      </c>
      <c r="L1691" s="99">
        <v>45694</v>
      </c>
      <c r="M1691" s="99">
        <v>45747</v>
      </c>
      <c r="N1691">
        <v>7</v>
      </c>
      <c r="O1691" s="111">
        <v>230000</v>
      </c>
      <c r="P1691" s="99">
        <v>45747</v>
      </c>
      <c r="Q1691" s="111">
        <v>230000</v>
      </c>
      <c r="R1691">
        <v>30001892</v>
      </c>
      <c r="S1691" s="99">
        <v>45694</v>
      </c>
    </row>
    <row r="1692" spans="1:19" ht="15" customHeight="1">
      <c r="A1692" s="15">
        <v>1692</v>
      </c>
      <c r="B1692" s="102" t="s">
        <v>1555</v>
      </c>
      <c r="C1692" t="s">
        <v>5301</v>
      </c>
      <c r="D1692" t="s">
        <v>3168</v>
      </c>
      <c r="E1692" s="96" t="s">
        <v>5143</v>
      </c>
      <c r="F1692" s="96" t="s">
        <v>3734</v>
      </c>
      <c r="G1692">
        <v>3038637</v>
      </c>
      <c r="H1692" s="96" t="s">
        <v>1729</v>
      </c>
      <c r="I1692" s="96" t="s">
        <v>5300</v>
      </c>
      <c r="J1692" s="96" t="s">
        <v>5300</v>
      </c>
      <c r="K1692" s="99">
        <v>45702</v>
      </c>
      <c r="L1692" s="99">
        <v>45702</v>
      </c>
      <c r="M1692" s="99">
        <v>45747</v>
      </c>
      <c r="N1692">
        <v>7</v>
      </c>
      <c r="O1692" s="111">
        <v>23980</v>
      </c>
      <c r="P1692" s="99">
        <v>45747</v>
      </c>
    </row>
    <row r="1693" spans="1:19" ht="15" customHeight="1">
      <c r="A1693" s="15">
        <v>1693</v>
      </c>
      <c r="B1693" s="102" t="s">
        <v>1555</v>
      </c>
      <c r="C1693" s="743" t="s">
        <v>5303</v>
      </c>
      <c r="D1693" t="s">
        <v>3087</v>
      </c>
      <c r="E1693" s="2" t="s">
        <v>4294</v>
      </c>
      <c r="F1693" s="96" t="s">
        <v>4599</v>
      </c>
      <c r="G1693">
        <v>8284</v>
      </c>
      <c r="H1693" s="96" t="s">
        <v>830</v>
      </c>
      <c r="I1693" t="s">
        <v>5306</v>
      </c>
      <c r="J1693" t="s">
        <v>5306</v>
      </c>
      <c r="K1693" s="99">
        <v>45686</v>
      </c>
      <c r="L1693" s="99">
        <v>45698</v>
      </c>
      <c r="M1693" s="99">
        <v>45716</v>
      </c>
      <c r="N1693">
        <v>7</v>
      </c>
      <c r="O1693" s="111">
        <v>3500</v>
      </c>
      <c r="P1693" s="99">
        <v>45716</v>
      </c>
    </row>
    <row r="1694" spans="1:19" ht="15" customHeight="1">
      <c r="A1694" s="15">
        <v>1694</v>
      </c>
      <c r="B1694" s="102" t="s">
        <v>1555</v>
      </c>
      <c r="C1694" t="s">
        <v>5302</v>
      </c>
      <c r="D1694" t="s">
        <v>3087</v>
      </c>
      <c r="E1694" s="2" t="s">
        <v>4294</v>
      </c>
      <c r="F1694" s="96" t="s">
        <v>5279</v>
      </c>
      <c r="G1694">
        <v>10087</v>
      </c>
      <c r="H1694" s="96" t="s">
        <v>830</v>
      </c>
      <c r="I1694" t="s">
        <v>5307</v>
      </c>
      <c r="J1694" t="s">
        <v>5307</v>
      </c>
      <c r="K1694" s="99">
        <v>45687</v>
      </c>
      <c r="L1694" s="99">
        <v>45699</v>
      </c>
      <c r="M1694" s="99">
        <v>45699</v>
      </c>
      <c r="N1694">
        <v>7</v>
      </c>
      <c r="O1694" s="111">
        <v>500</v>
      </c>
      <c r="P1694" s="99">
        <v>45699</v>
      </c>
    </row>
    <row r="1695" spans="1:19" ht="15" customHeight="1">
      <c r="A1695" s="15">
        <v>1695</v>
      </c>
      <c r="B1695" s="102" t="s">
        <v>3086</v>
      </c>
      <c r="C1695" t="s">
        <v>5304</v>
      </c>
      <c r="D1695" t="s">
        <v>3087</v>
      </c>
      <c r="E1695" s="2" t="s">
        <v>4294</v>
      </c>
      <c r="F1695" s="96" t="s">
        <v>3250</v>
      </c>
      <c r="G1695">
        <v>60162694</v>
      </c>
      <c r="H1695" s="96" t="s">
        <v>830</v>
      </c>
      <c r="I1695" t="s">
        <v>5308</v>
      </c>
      <c r="J1695" t="s">
        <v>5308</v>
      </c>
      <c r="K1695" s="99">
        <v>45684</v>
      </c>
      <c r="L1695" s="99">
        <v>45684</v>
      </c>
      <c r="M1695" s="99">
        <v>46022</v>
      </c>
      <c r="O1695" s="111">
        <v>0</v>
      </c>
      <c r="P1695" s="99">
        <v>46022</v>
      </c>
    </row>
    <row r="1696" spans="1:19" ht="15" customHeight="1">
      <c r="A1696" s="15">
        <v>1696</v>
      </c>
      <c r="B1696" s="102" t="s">
        <v>1555</v>
      </c>
      <c r="C1696" t="s">
        <v>5305</v>
      </c>
      <c r="D1696" t="s">
        <v>3087</v>
      </c>
      <c r="E1696" s="2" t="s">
        <v>4294</v>
      </c>
      <c r="F1696" t="s">
        <v>5310</v>
      </c>
      <c r="G1696">
        <v>8498</v>
      </c>
      <c r="H1696" s="96" t="s">
        <v>830</v>
      </c>
      <c r="I1696" t="s">
        <v>5309</v>
      </c>
      <c r="J1696" t="s">
        <v>5309</v>
      </c>
      <c r="K1696" s="99">
        <v>45692</v>
      </c>
      <c r="L1696" s="99">
        <v>45768</v>
      </c>
      <c r="M1696" s="99">
        <v>46057</v>
      </c>
      <c r="N1696">
        <v>7</v>
      </c>
      <c r="O1696" s="111">
        <v>7000</v>
      </c>
      <c r="P1696" s="99">
        <v>46057</v>
      </c>
    </row>
    <row r="1697" spans="1:19" ht="15" customHeight="1">
      <c r="A1697" s="15">
        <v>1697</v>
      </c>
      <c r="B1697" s="102" t="s">
        <v>3086</v>
      </c>
      <c r="C1697" t="s">
        <v>5315</v>
      </c>
      <c r="D1697" t="s">
        <v>3110</v>
      </c>
      <c r="E1697" s="96" t="s">
        <v>3117</v>
      </c>
      <c r="F1697" s="96" t="s">
        <v>5316</v>
      </c>
      <c r="G1697">
        <v>61677744</v>
      </c>
      <c r="H1697" s="96" t="s">
        <v>3982</v>
      </c>
      <c r="I1697" t="s">
        <v>5317</v>
      </c>
      <c r="J1697" t="s">
        <v>5317</v>
      </c>
      <c r="K1697" s="99">
        <v>45782</v>
      </c>
      <c r="L1697" s="99">
        <v>45782</v>
      </c>
      <c r="M1697" s="99">
        <v>46403</v>
      </c>
      <c r="N1697" s="859">
        <v>1</v>
      </c>
      <c r="O1697" s="111">
        <v>13794</v>
      </c>
      <c r="P1697" s="99">
        <v>46403</v>
      </c>
    </row>
    <row r="1698" spans="1:19" ht="15" customHeight="1">
      <c r="A1698" s="15">
        <v>1698</v>
      </c>
      <c r="B1698" s="102" t="s">
        <v>3086</v>
      </c>
      <c r="C1698" t="s">
        <v>5319</v>
      </c>
      <c r="D1698" t="s">
        <v>3110</v>
      </c>
      <c r="E1698" s="2" t="s">
        <v>3123</v>
      </c>
      <c r="F1698" s="96" t="s">
        <v>5320</v>
      </c>
      <c r="G1698">
        <v>234061</v>
      </c>
      <c r="H1698" s="96" t="s">
        <v>250</v>
      </c>
      <c r="I1698" t="s">
        <v>5321</v>
      </c>
      <c r="J1698" t="s">
        <v>5321</v>
      </c>
      <c r="K1698" s="99">
        <v>45699</v>
      </c>
      <c r="L1698" s="99">
        <v>45699</v>
      </c>
      <c r="M1698" s="99">
        <v>2958465</v>
      </c>
      <c r="N1698">
        <v>4</v>
      </c>
      <c r="O1698" s="111">
        <v>10001</v>
      </c>
      <c r="P1698" s="99">
        <v>2958465</v>
      </c>
      <c r="Q1698" s="111">
        <v>50005</v>
      </c>
      <c r="R1698">
        <v>30058296</v>
      </c>
      <c r="S1698" s="99">
        <v>45699</v>
      </c>
    </row>
    <row r="1699" spans="1:19" ht="15" customHeight="1">
      <c r="A1699" s="15">
        <v>1699</v>
      </c>
      <c r="B1699" s="102" t="s">
        <v>3086</v>
      </c>
      <c r="C1699" t="s">
        <v>5324</v>
      </c>
      <c r="D1699" t="s">
        <v>3168</v>
      </c>
      <c r="E1699" s="2" t="s">
        <v>4702</v>
      </c>
      <c r="F1699" s="96" t="s">
        <v>5326</v>
      </c>
      <c r="G1699">
        <v>16979770</v>
      </c>
      <c r="H1699" s="96" t="s">
        <v>4697</v>
      </c>
      <c r="I1699" t="s">
        <v>5327</v>
      </c>
      <c r="J1699" t="s">
        <v>5327</v>
      </c>
      <c r="K1699" s="99">
        <v>45702</v>
      </c>
      <c r="L1699" s="99">
        <v>45702</v>
      </c>
      <c r="M1699" s="99">
        <v>2958465</v>
      </c>
      <c r="O1699" s="111">
        <v>0</v>
      </c>
      <c r="P1699" s="99">
        <v>2958465</v>
      </c>
    </row>
    <row r="1700" spans="1:19" ht="15" customHeight="1">
      <c r="A1700" s="15">
        <v>1700</v>
      </c>
      <c r="B1700" s="102" t="s">
        <v>1555</v>
      </c>
      <c r="C1700" t="s">
        <v>5325</v>
      </c>
      <c r="D1700" t="s">
        <v>3087</v>
      </c>
      <c r="E1700" s="2" t="s">
        <v>3811</v>
      </c>
      <c r="F1700" s="96" t="s">
        <v>3770</v>
      </c>
      <c r="G1700">
        <v>540641</v>
      </c>
      <c r="H1700" s="96" t="s">
        <v>180</v>
      </c>
      <c r="I1700" t="s">
        <v>5328</v>
      </c>
      <c r="J1700" t="s">
        <v>5328</v>
      </c>
      <c r="K1700" s="99">
        <v>45699</v>
      </c>
      <c r="L1700" s="99">
        <v>45703</v>
      </c>
      <c r="M1700" s="99">
        <v>45703</v>
      </c>
      <c r="N1700">
        <v>7</v>
      </c>
      <c r="O1700" s="111">
        <v>5570</v>
      </c>
      <c r="P1700" s="99">
        <v>45703</v>
      </c>
    </row>
    <row r="1701" spans="1:19" ht="15" customHeight="1">
      <c r="A1701" s="15">
        <v>1701</v>
      </c>
      <c r="B1701" s="102" t="s">
        <v>3086</v>
      </c>
      <c r="C1701" t="s">
        <v>5329</v>
      </c>
      <c r="D1701" t="s">
        <v>3116</v>
      </c>
      <c r="E1701" s="2" t="s">
        <v>3117</v>
      </c>
      <c r="F1701" s="96" t="s">
        <v>3446</v>
      </c>
      <c r="G1701">
        <v>27256456</v>
      </c>
      <c r="H1701" s="96" t="s">
        <v>3982</v>
      </c>
      <c r="I1701" t="s">
        <v>5330</v>
      </c>
      <c r="J1701" t="s">
        <v>5330</v>
      </c>
      <c r="K1701" s="99">
        <v>45701</v>
      </c>
      <c r="L1701" s="99">
        <v>45701</v>
      </c>
      <c r="M1701" s="99">
        <v>2958465</v>
      </c>
      <c r="O1701" s="111">
        <v>0</v>
      </c>
      <c r="P1701" s="99">
        <v>2958465</v>
      </c>
    </row>
    <row r="1702" spans="1:19" ht="15" customHeight="1">
      <c r="A1702" s="15">
        <v>1702</v>
      </c>
      <c r="B1702" s="102" t="s">
        <v>1555</v>
      </c>
      <c r="C1702" t="s">
        <v>5331</v>
      </c>
      <c r="D1702" t="s">
        <v>3110</v>
      </c>
      <c r="E1702" s="2" t="s">
        <v>3958</v>
      </c>
      <c r="F1702" s="96" t="s">
        <v>5337</v>
      </c>
      <c r="G1702">
        <v>27935311</v>
      </c>
      <c r="H1702" t="s">
        <v>5336</v>
      </c>
      <c r="I1702" t="s">
        <v>5338</v>
      </c>
      <c r="J1702" t="s">
        <v>5338</v>
      </c>
      <c r="K1702" s="99">
        <v>45693</v>
      </c>
      <c r="L1702" s="99">
        <v>45693</v>
      </c>
      <c r="M1702" s="99">
        <v>45961</v>
      </c>
      <c r="O1702" s="111">
        <v>0</v>
      </c>
      <c r="P1702" s="99">
        <v>45961</v>
      </c>
    </row>
    <row r="1703" spans="1:19" ht="15" customHeight="1">
      <c r="A1703" s="15">
        <v>1703</v>
      </c>
      <c r="B1703" s="102" t="s">
        <v>1555</v>
      </c>
      <c r="C1703" t="s">
        <v>5332</v>
      </c>
      <c r="D1703" t="s">
        <v>3087</v>
      </c>
      <c r="E1703" s="2" t="s">
        <v>4294</v>
      </c>
      <c r="F1703" s="96" t="s">
        <v>5339</v>
      </c>
      <c r="G1703">
        <v>10749</v>
      </c>
      <c r="H1703" s="96" t="s">
        <v>830</v>
      </c>
      <c r="I1703" t="s">
        <v>5340</v>
      </c>
      <c r="J1703" t="s">
        <v>5340</v>
      </c>
      <c r="K1703" s="99">
        <v>45699</v>
      </c>
      <c r="L1703" s="99">
        <v>45705</v>
      </c>
      <c r="M1703" s="99">
        <v>45776</v>
      </c>
      <c r="N1703">
        <v>7</v>
      </c>
      <c r="O1703" s="111">
        <v>5000</v>
      </c>
      <c r="P1703" s="99">
        <v>45776</v>
      </c>
    </row>
    <row r="1704" spans="1:19" ht="15" customHeight="1">
      <c r="A1704" s="15">
        <v>1704</v>
      </c>
      <c r="B1704" s="102" t="s">
        <v>1555</v>
      </c>
      <c r="C1704" t="s">
        <v>5333</v>
      </c>
      <c r="D1704" t="s">
        <v>3087</v>
      </c>
      <c r="E1704" s="2" t="s">
        <v>4294</v>
      </c>
      <c r="F1704" s="96" t="s">
        <v>5341</v>
      </c>
      <c r="G1704">
        <v>70800693</v>
      </c>
      <c r="H1704" s="96" t="s">
        <v>830</v>
      </c>
      <c r="I1704" t="s">
        <v>5342</v>
      </c>
      <c r="J1704" t="s">
        <v>5342</v>
      </c>
      <c r="K1704" s="99">
        <v>45699</v>
      </c>
      <c r="L1704" s="99">
        <v>45845</v>
      </c>
      <c r="M1704" s="99">
        <v>45858</v>
      </c>
      <c r="N1704">
        <v>7</v>
      </c>
      <c r="O1704" s="111">
        <v>6000</v>
      </c>
      <c r="P1704" s="99">
        <v>45858</v>
      </c>
    </row>
    <row r="1705" spans="1:19" ht="15" customHeight="1">
      <c r="A1705" s="15">
        <v>1705</v>
      </c>
      <c r="B1705" s="102" t="s">
        <v>1555</v>
      </c>
      <c r="C1705" t="s">
        <v>5334</v>
      </c>
      <c r="D1705" t="s">
        <v>3087</v>
      </c>
      <c r="E1705" s="2" t="s">
        <v>4294</v>
      </c>
      <c r="F1705" s="96" t="s">
        <v>5159</v>
      </c>
      <c r="G1705">
        <v>10742</v>
      </c>
      <c r="H1705" s="96" t="s">
        <v>830</v>
      </c>
      <c r="I1705" t="s">
        <v>5343</v>
      </c>
      <c r="J1705" t="s">
        <v>5343</v>
      </c>
      <c r="K1705" s="99">
        <v>45700</v>
      </c>
      <c r="L1705" s="99">
        <v>45726</v>
      </c>
      <c r="M1705" s="99">
        <v>45737</v>
      </c>
      <c r="N1705">
        <v>7</v>
      </c>
      <c r="O1705" s="111">
        <v>5000</v>
      </c>
      <c r="P1705" s="99">
        <v>45737</v>
      </c>
    </row>
    <row r="1706" spans="1:19" ht="15" customHeight="1">
      <c r="A1706" s="15">
        <v>1706</v>
      </c>
      <c r="B1706" s="102" t="s">
        <v>1555</v>
      </c>
      <c r="C1706" t="s">
        <v>5335</v>
      </c>
      <c r="D1706" t="s">
        <v>3087</v>
      </c>
      <c r="E1706" s="2" t="s">
        <v>4294</v>
      </c>
      <c r="F1706" t="s">
        <v>5079</v>
      </c>
      <c r="G1706">
        <v>10621</v>
      </c>
      <c r="H1706" s="96" t="s">
        <v>830</v>
      </c>
      <c r="I1706" t="s">
        <v>5344</v>
      </c>
      <c r="J1706" t="s">
        <v>5344</v>
      </c>
      <c r="K1706" s="99">
        <v>45699</v>
      </c>
      <c r="L1706" s="99">
        <v>45712</v>
      </c>
      <c r="M1706" s="99">
        <v>45716</v>
      </c>
      <c r="N1706">
        <v>7</v>
      </c>
      <c r="O1706" s="111">
        <v>2500</v>
      </c>
      <c r="P1706" s="99">
        <v>45716</v>
      </c>
    </row>
    <row r="1707" spans="1:19" ht="15" customHeight="1">
      <c r="A1707" s="15">
        <v>1707</v>
      </c>
      <c r="B1707" s="102" t="s">
        <v>3086</v>
      </c>
      <c r="C1707" t="s">
        <v>5348</v>
      </c>
      <c r="D1707" t="s">
        <v>3087</v>
      </c>
      <c r="E1707" s="2" t="s">
        <v>4294</v>
      </c>
      <c r="F1707" s="96" t="s">
        <v>5349</v>
      </c>
      <c r="G1707">
        <v>10849</v>
      </c>
      <c r="H1707" s="96" t="s">
        <v>830</v>
      </c>
      <c r="I1707" t="s">
        <v>5350</v>
      </c>
      <c r="J1707" t="s">
        <v>5350</v>
      </c>
      <c r="K1707" s="99">
        <v>45705</v>
      </c>
      <c r="L1707" s="99">
        <v>45705</v>
      </c>
      <c r="O1707" s="111">
        <v>0</v>
      </c>
    </row>
    <row r="1708" spans="1:19" ht="15" customHeight="1">
      <c r="A1708" s="15">
        <v>1708</v>
      </c>
      <c r="B1708" s="102" t="s">
        <v>1555</v>
      </c>
      <c r="C1708" t="s">
        <v>5345</v>
      </c>
      <c r="D1708" t="s">
        <v>3087</v>
      </c>
      <c r="E1708" s="2" t="s">
        <v>4294</v>
      </c>
      <c r="F1708" s="96" t="s">
        <v>5346</v>
      </c>
      <c r="G1708">
        <v>10850</v>
      </c>
      <c r="H1708" s="96" t="s">
        <v>830</v>
      </c>
      <c r="I1708" t="s">
        <v>5347</v>
      </c>
      <c r="J1708" t="s">
        <v>5347</v>
      </c>
      <c r="K1708" s="99">
        <v>45705</v>
      </c>
      <c r="L1708" s="99">
        <v>45750</v>
      </c>
      <c r="M1708" s="99">
        <v>45898</v>
      </c>
      <c r="O1708" s="111">
        <v>0</v>
      </c>
      <c r="P1708" s="99">
        <v>45898</v>
      </c>
    </row>
    <row r="1709" spans="1:19" ht="15" customHeight="1">
      <c r="A1709" s="15">
        <v>1709</v>
      </c>
      <c r="B1709" s="102" t="s">
        <v>1555</v>
      </c>
      <c r="C1709" t="s">
        <v>5360</v>
      </c>
      <c r="D1709" t="s">
        <v>3110</v>
      </c>
      <c r="E1709" s="2" t="s">
        <v>3369</v>
      </c>
      <c r="F1709" s="96" t="s">
        <v>5371</v>
      </c>
      <c r="G1709">
        <v>10856</v>
      </c>
      <c r="H1709" s="96" t="s">
        <v>482</v>
      </c>
      <c r="I1709" t="s">
        <v>5467</v>
      </c>
      <c r="J1709" t="s">
        <v>5370</v>
      </c>
      <c r="K1709" s="99">
        <v>45734</v>
      </c>
      <c r="L1709" s="99">
        <v>45736</v>
      </c>
      <c r="M1709" s="99">
        <v>45838</v>
      </c>
      <c r="N1709">
        <v>7</v>
      </c>
      <c r="O1709" s="111">
        <v>304999.86</v>
      </c>
      <c r="P1709" s="99">
        <v>45838</v>
      </c>
      <c r="Q1709" s="111">
        <v>304999.86</v>
      </c>
      <c r="R1709">
        <v>30515712</v>
      </c>
      <c r="S1709" s="99">
        <v>45736</v>
      </c>
    </row>
    <row r="1710" spans="1:19" ht="15" customHeight="1">
      <c r="A1710" s="15">
        <v>1710</v>
      </c>
      <c r="B1710" s="102" t="s">
        <v>3086</v>
      </c>
      <c r="C1710" t="s">
        <v>5361</v>
      </c>
      <c r="D1710" t="s">
        <v>3094</v>
      </c>
      <c r="E1710" s="2" t="s">
        <v>4294</v>
      </c>
      <c r="F1710" s="96" t="s">
        <v>5368</v>
      </c>
      <c r="G1710">
        <v>68407700</v>
      </c>
      <c r="H1710" s="96" t="s">
        <v>830</v>
      </c>
      <c r="I1710" t="s">
        <v>5369</v>
      </c>
      <c r="J1710" t="s">
        <v>5369</v>
      </c>
      <c r="K1710" s="99">
        <v>45712</v>
      </c>
      <c r="L1710" s="99">
        <v>45712</v>
      </c>
      <c r="M1710" s="99">
        <v>2958465</v>
      </c>
      <c r="O1710" s="111">
        <f>-O17090</f>
        <v>0</v>
      </c>
      <c r="P1710" s="99">
        <v>2958465</v>
      </c>
      <c r="Q1710" s="111">
        <v>5000000</v>
      </c>
      <c r="R1710">
        <v>30201000</v>
      </c>
      <c r="S1710" s="99">
        <v>45712</v>
      </c>
    </row>
    <row r="1711" spans="1:19" ht="15" customHeight="1">
      <c r="A1711" s="15">
        <v>1711</v>
      </c>
      <c r="B1711" s="102" t="s">
        <v>3086</v>
      </c>
      <c r="C1711" t="s">
        <v>5362</v>
      </c>
      <c r="D1711" t="s">
        <v>3087</v>
      </c>
      <c r="E1711" s="2" t="s">
        <v>3202</v>
      </c>
      <c r="F1711" t="s">
        <v>5366</v>
      </c>
      <c r="G1711">
        <v>60491256</v>
      </c>
      <c r="H1711" s="96" t="s">
        <v>385</v>
      </c>
      <c r="I1711" t="s">
        <v>5468</v>
      </c>
      <c r="J1711" t="s">
        <v>5367</v>
      </c>
      <c r="K1711" s="99">
        <v>45713</v>
      </c>
      <c r="L1711" s="99">
        <v>45714</v>
      </c>
      <c r="M1711" s="99">
        <v>46078</v>
      </c>
      <c r="N1711">
        <v>6</v>
      </c>
      <c r="O1711" s="111">
        <v>605000</v>
      </c>
      <c r="P1711" s="99">
        <v>46078</v>
      </c>
      <c r="Q1711" s="111">
        <v>605000</v>
      </c>
      <c r="R1711">
        <v>30232660</v>
      </c>
      <c r="S1711" s="99">
        <v>45714</v>
      </c>
    </row>
    <row r="1712" spans="1:19" ht="15" customHeight="1">
      <c r="A1712" s="15">
        <v>1712</v>
      </c>
      <c r="B1712" s="102" t="s">
        <v>1555</v>
      </c>
      <c r="C1712" t="s">
        <v>5363</v>
      </c>
      <c r="D1712" t="s">
        <v>3110</v>
      </c>
      <c r="E1712" t="s">
        <v>3369</v>
      </c>
      <c r="F1712" t="s">
        <v>5364</v>
      </c>
      <c r="G1712">
        <v>29066476</v>
      </c>
      <c r="H1712" t="s">
        <v>482</v>
      </c>
      <c r="I1712" t="s">
        <v>5469</v>
      </c>
      <c r="J1712" t="s">
        <v>5365</v>
      </c>
      <c r="K1712" s="99">
        <v>45715</v>
      </c>
      <c r="L1712" s="99">
        <v>45715</v>
      </c>
      <c r="M1712" s="99">
        <v>45736</v>
      </c>
      <c r="N1712">
        <v>7</v>
      </c>
      <c r="O1712" s="111">
        <v>260301</v>
      </c>
      <c r="P1712" s="99">
        <v>45736</v>
      </c>
      <c r="Q1712" s="111">
        <v>260301</v>
      </c>
      <c r="R1712">
        <v>30246932</v>
      </c>
      <c r="S1712" s="99">
        <v>45715</v>
      </c>
    </row>
    <row r="1713" spans="1:19" ht="15" customHeight="1">
      <c r="A1713" s="15">
        <v>1713</v>
      </c>
      <c r="B1713" s="102" t="s">
        <v>3086</v>
      </c>
      <c r="C1713" s="96" t="s">
        <v>5372</v>
      </c>
      <c r="D1713" t="s">
        <v>3110</v>
      </c>
      <c r="E1713" s="96" t="s">
        <v>3228</v>
      </c>
      <c r="F1713" s="96" t="s">
        <v>3798</v>
      </c>
      <c r="G1713">
        <v>242535</v>
      </c>
      <c r="I1713" s="96" t="s">
        <v>5375</v>
      </c>
      <c r="J1713" s="96" t="s">
        <v>5375</v>
      </c>
      <c r="K1713" s="99">
        <v>45658</v>
      </c>
      <c r="L1713" s="99">
        <v>45658</v>
      </c>
      <c r="M1713" s="99">
        <v>46022</v>
      </c>
      <c r="N1713">
        <v>3</v>
      </c>
      <c r="O1713" s="111">
        <v>5000</v>
      </c>
      <c r="P1713" s="99">
        <v>46022</v>
      </c>
    </row>
    <row r="1714" spans="1:19" ht="15" customHeight="1">
      <c r="A1714" s="15">
        <v>1714</v>
      </c>
      <c r="B1714" s="102" t="s">
        <v>3086</v>
      </c>
      <c r="C1714" s="96" t="s">
        <v>5373</v>
      </c>
      <c r="D1714" t="s">
        <v>4667</v>
      </c>
      <c r="E1714" s="96" t="s">
        <v>4702</v>
      </c>
      <c r="F1714" s="96" t="s">
        <v>5376</v>
      </c>
      <c r="G1714">
        <v>75151481</v>
      </c>
      <c r="H1714" s="96" t="s">
        <v>4697</v>
      </c>
      <c r="I1714" s="96" t="s">
        <v>6112</v>
      </c>
      <c r="J1714" s="96" t="s">
        <v>6112</v>
      </c>
      <c r="K1714" s="99">
        <v>45734</v>
      </c>
      <c r="L1714" s="99">
        <v>45734</v>
      </c>
      <c r="M1714" s="99">
        <v>2958465</v>
      </c>
      <c r="O1714" s="111">
        <v>0</v>
      </c>
      <c r="P1714" s="99">
        <v>2958465</v>
      </c>
    </row>
    <row r="1715" spans="1:19" ht="15" customHeight="1">
      <c r="A1715" s="15">
        <v>1715</v>
      </c>
      <c r="B1715" s="102" t="s">
        <v>1555</v>
      </c>
      <c r="C1715" s="96" t="s">
        <v>5374</v>
      </c>
      <c r="D1715" t="s">
        <v>3094</v>
      </c>
      <c r="E1715" s="96" t="s">
        <v>3197</v>
      </c>
      <c r="F1715" s="96" t="s">
        <v>3508</v>
      </c>
      <c r="G1715">
        <v>26700778</v>
      </c>
      <c r="H1715" s="96" t="s">
        <v>546</v>
      </c>
      <c r="I1715" s="96" t="s">
        <v>5377</v>
      </c>
      <c r="J1715" s="96" t="s">
        <v>5378</v>
      </c>
      <c r="K1715" s="99">
        <v>45728</v>
      </c>
      <c r="L1715" s="99">
        <v>45730</v>
      </c>
      <c r="M1715" s="99">
        <v>45777</v>
      </c>
      <c r="N1715">
        <v>7</v>
      </c>
      <c r="O1715" s="111">
        <v>300934.74</v>
      </c>
      <c r="P1715" s="99">
        <v>45777</v>
      </c>
      <c r="Q1715" s="111">
        <v>300934.74</v>
      </c>
      <c r="R1715">
        <v>30446192</v>
      </c>
      <c r="S1715" s="99">
        <v>45730</v>
      </c>
    </row>
    <row r="1716" spans="1:19" ht="15" customHeight="1">
      <c r="A1716" s="15">
        <v>1716</v>
      </c>
      <c r="B1716" s="102" t="s">
        <v>3086</v>
      </c>
      <c r="C1716" t="s">
        <v>5379</v>
      </c>
      <c r="D1716" t="s">
        <v>3087</v>
      </c>
      <c r="E1716" s="96" t="s">
        <v>3811</v>
      </c>
      <c r="F1716" s="96" t="s">
        <v>3862</v>
      </c>
      <c r="G1716">
        <v>177041</v>
      </c>
      <c r="H1716" s="96" t="s">
        <v>180</v>
      </c>
      <c r="I1716" t="s">
        <v>5391</v>
      </c>
      <c r="J1716" t="s">
        <v>5391</v>
      </c>
      <c r="K1716" s="99">
        <v>45720</v>
      </c>
      <c r="L1716" s="99">
        <v>45720</v>
      </c>
      <c r="M1716" s="99">
        <v>46022</v>
      </c>
      <c r="N1716">
        <v>7</v>
      </c>
      <c r="O1716" s="111">
        <v>218000</v>
      </c>
      <c r="P1716" s="99">
        <v>46022</v>
      </c>
      <c r="Q1716" s="111">
        <v>218000</v>
      </c>
      <c r="R1716">
        <v>30382768</v>
      </c>
      <c r="S1716" s="99">
        <v>45726</v>
      </c>
    </row>
    <row r="1717" spans="1:19" ht="15" customHeight="1">
      <c r="A1717" s="15">
        <v>1717</v>
      </c>
      <c r="B1717" s="102" t="s">
        <v>3086</v>
      </c>
      <c r="C1717" t="s">
        <v>5380</v>
      </c>
      <c r="D1717" t="s">
        <v>3110</v>
      </c>
      <c r="E1717" s="96" t="s">
        <v>3123</v>
      </c>
      <c r="F1717" s="96" t="s">
        <v>3457</v>
      </c>
      <c r="G1717">
        <v>27253236</v>
      </c>
      <c r="H1717" s="96" t="s">
        <v>250</v>
      </c>
      <c r="I1717" s="96" t="s">
        <v>5390</v>
      </c>
      <c r="J1717" s="96" t="s">
        <v>5390</v>
      </c>
      <c r="K1717" s="99">
        <v>45727</v>
      </c>
      <c r="L1717" s="99">
        <v>45727</v>
      </c>
      <c r="M1717" s="99">
        <v>49674</v>
      </c>
      <c r="N1717">
        <v>4</v>
      </c>
      <c r="O1717" s="111">
        <v>12.1</v>
      </c>
      <c r="P1717" s="99">
        <v>46022</v>
      </c>
    </row>
    <row r="1718" spans="1:19" ht="15" customHeight="1">
      <c r="A1718" s="15">
        <v>1718</v>
      </c>
      <c r="B1718" s="102" t="s">
        <v>1555</v>
      </c>
      <c r="C1718" t="s">
        <v>5381</v>
      </c>
      <c r="D1718" t="s">
        <v>3087</v>
      </c>
      <c r="E1718" s="96" t="s">
        <v>4294</v>
      </c>
      <c r="F1718" s="96" t="s">
        <v>5393</v>
      </c>
      <c r="G1718">
        <v>10935</v>
      </c>
      <c r="H1718" t="s">
        <v>830</v>
      </c>
      <c r="I1718" t="s">
        <v>5392</v>
      </c>
      <c r="J1718" t="s">
        <v>5392</v>
      </c>
      <c r="K1718" s="99">
        <v>45707</v>
      </c>
      <c r="L1718" s="99">
        <v>45717</v>
      </c>
      <c r="M1718" s="99">
        <v>45747</v>
      </c>
      <c r="N1718">
        <v>7</v>
      </c>
      <c r="O1718" s="111">
        <v>6000</v>
      </c>
      <c r="P1718" s="99">
        <v>45747</v>
      </c>
    </row>
    <row r="1719" spans="1:19" ht="15" customHeight="1">
      <c r="A1719" s="15">
        <v>1719</v>
      </c>
      <c r="B1719" s="102" t="s">
        <v>1555</v>
      </c>
      <c r="C1719" t="s">
        <v>5382</v>
      </c>
      <c r="D1719" t="s">
        <v>3087</v>
      </c>
      <c r="E1719" s="96" t="s">
        <v>4294</v>
      </c>
      <c r="F1719" s="96" t="s">
        <v>5394</v>
      </c>
      <c r="G1719">
        <v>10949</v>
      </c>
      <c r="H1719" t="s">
        <v>830</v>
      </c>
      <c r="I1719" t="s">
        <v>5395</v>
      </c>
      <c r="J1719" t="s">
        <v>5395</v>
      </c>
      <c r="K1719" s="99">
        <v>45714</v>
      </c>
      <c r="L1719" s="99">
        <v>45719</v>
      </c>
      <c r="M1719" s="99">
        <v>45743</v>
      </c>
      <c r="O1719" s="111">
        <v>0</v>
      </c>
      <c r="P1719" s="99">
        <v>45743</v>
      </c>
    </row>
    <row r="1720" spans="1:19" ht="15" customHeight="1">
      <c r="A1720" s="15">
        <v>1720</v>
      </c>
      <c r="B1720" s="102" t="s">
        <v>1555</v>
      </c>
      <c r="C1720" t="s">
        <v>5383</v>
      </c>
      <c r="D1720" t="s">
        <v>3087</v>
      </c>
      <c r="E1720" s="96" t="s">
        <v>4294</v>
      </c>
      <c r="F1720" t="s">
        <v>5397</v>
      </c>
      <c r="G1720">
        <v>24717304</v>
      </c>
      <c r="H1720" t="s">
        <v>830</v>
      </c>
      <c r="I1720" t="s">
        <v>5396</v>
      </c>
      <c r="J1720" t="s">
        <v>5396</v>
      </c>
      <c r="K1720" s="99">
        <v>45695</v>
      </c>
      <c r="L1720" s="99">
        <v>45698</v>
      </c>
      <c r="M1720" s="99">
        <v>45706</v>
      </c>
      <c r="N1720">
        <v>7</v>
      </c>
      <c r="O1720" s="111">
        <v>4200</v>
      </c>
      <c r="P1720" s="99">
        <v>45706</v>
      </c>
    </row>
    <row r="1721" spans="1:19" ht="15" customHeight="1">
      <c r="A1721" s="15">
        <v>1721</v>
      </c>
      <c r="B1721" s="102" t="s">
        <v>1555</v>
      </c>
      <c r="C1721" t="s">
        <v>5384</v>
      </c>
      <c r="D1721" t="s">
        <v>3087</v>
      </c>
      <c r="E1721" s="96" t="s">
        <v>4294</v>
      </c>
      <c r="F1721" s="96" t="s">
        <v>4515</v>
      </c>
      <c r="G1721">
        <v>9810</v>
      </c>
      <c r="H1721" t="s">
        <v>830</v>
      </c>
      <c r="I1721" t="s">
        <v>5398</v>
      </c>
      <c r="J1721" t="s">
        <v>5398</v>
      </c>
      <c r="K1721" s="99">
        <v>45727</v>
      </c>
      <c r="L1721" s="99">
        <v>45727</v>
      </c>
      <c r="M1721" s="99">
        <v>45838</v>
      </c>
      <c r="N1721">
        <v>7</v>
      </c>
      <c r="O1721" s="111">
        <v>6000</v>
      </c>
      <c r="P1721" s="99">
        <v>45838</v>
      </c>
    </row>
    <row r="1722" spans="1:19" ht="15" customHeight="1">
      <c r="A1722" s="15">
        <v>1722</v>
      </c>
      <c r="B1722" s="102" t="s">
        <v>1555</v>
      </c>
      <c r="C1722" t="s">
        <v>5385</v>
      </c>
      <c r="D1722" t="s">
        <v>3087</v>
      </c>
      <c r="E1722" s="96" t="s">
        <v>4294</v>
      </c>
      <c r="F1722" s="96" t="s">
        <v>5400</v>
      </c>
      <c r="G1722">
        <v>10951</v>
      </c>
      <c r="H1722" t="s">
        <v>830</v>
      </c>
      <c r="I1722" t="s">
        <v>5399</v>
      </c>
      <c r="J1722" t="s">
        <v>5399</v>
      </c>
      <c r="K1722" s="99">
        <v>45714</v>
      </c>
      <c r="L1722" s="99">
        <v>45748</v>
      </c>
      <c r="M1722" s="99">
        <v>45900</v>
      </c>
      <c r="O1722" s="111">
        <v>0</v>
      </c>
      <c r="P1722" s="99">
        <v>45900</v>
      </c>
    </row>
    <row r="1723" spans="1:19" ht="15" customHeight="1">
      <c r="A1723" s="15">
        <v>1723</v>
      </c>
      <c r="B1723" s="102" t="s">
        <v>1555</v>
      </c>
      <c r="C1723" t="s">
        <v>5386</v>
      </c>
      <c r="D1723" t="s">
        <v>3087</v>
      </c>
      <c r="E1723" s="96" t="s">
        <v>4294</v>
      </c>
      <c r="F1723" s="96" t="s">
        <v>5402</v>
      </c>
      <c r="G1723">
        <v>10952</v>
      </c>
      <c r="H1723" t="s">
        <v>830</v>
      </c>
      <c r="I1723" t="s">
        <v>5401</v>
      </c>
      <c r="J1723" t="s">
        <v>5401</v>
      </c>
      <c r="K1723" s="99">
        <v>45709</v>
      </c>
      <c r="L1723" s="99">
        <v>45717</v>
      </c>
      <c r="M1723" s="99">
        <v>45838</v>
      </c>
      <c r="O1723" s="111">
        <v>0</v>
      </c>
      <c r="P1723" s="99">
        <v>45838</v>
      </c>
    </row>
    <row r="1724" spans="1:19" ht="15" customHeight="1">
      <c r="A1724" s="15">
        <v>1724</v>
      </c>
      <c r="B1724" s="102" t="s">
        <v>1555</v>
      </c>
      <c r="C1724" t="s">
        <v>5387</v>
      </c>
      <c r="D1724" t="s">
        <v>3087</v>
      </c>
      <c r="E1724" s="96" t="s">
        <v>4294</v>
      </c>
      <c r="F1724" s="96" t="s">
        <v>5404</v>
      </c>
      <c r="G1724">
        <v>10953</v>
      </c>
      <c r="H1724" t="s">
        <v>830</v>
      </c>
      <c r="I1724" t="s">
        <v>5403</v>
      </c>
      <c r="J1724" t="s">
        <v>5403</v>
      </c>
      <c r="K1724" s="99">
        <v>45709</v>
      </c>
      <c r="L1724" s="99">
        <v>45761</v>
      </c>
      <c r="M1724" s="99">
        <v>45800</v>
      </c>
      <c r="O1724" s="111">
        <v>0</v>
      </c>
      <c r="P1724" s="99">
        <v>45800</v>
      </c>
    </row>
    <row r="1725" spans="1:19" ht="15" customHeight="1">
      <c r="A1725" s="15">
        <v>1725</v>
      </c>
      <c r="B1725" s="102" t="s">
        <v>1555</v>
      </c>
      <c r="C1725" t="s">
        <v>5388</v>
      </c>
      <c r="D1725" t="s">
        <v>3087</v>
      </c>
      <c r="E1725" s="96" t="s">
        <v>4294</v>
      </c>
      <c r="F1725" s="96" t="s">
        <v>5406</v>
      </c>
      <c r="G1725">
        <v>10954</v>
      </c>
      <c r="H1725" t="s">
        <v>830</v>
      </c>
      <c r="I1725" t="s">
        <v>5405</v>
      </c>
      <c r="J1725" t="s">
        <v>5405</v>
      </c>
      <c r="K1725" s="99">
        <v>45712</v>
      </c>
      <c r="L1725" s="99">
        <v>45748</v>
      </c>
      <c r="M1725" s="99">
        <v>45900</v>
      </c>
      <c r="O1725" s="111">
        <v>0</v>
      </c>
      <c r="P1725" s="99">
        <v>45900</v>
      </c>
    </row>
    <row r="1726" spans="1:19" ht="15" customHeight="1">
      <c r="A1726" s="15">
        <v>1726</v>
      </c>
      <c r="B1726" s="102" t="s">
        <v>1555</v>
      </c>
      <c r="C1726" t="s">
        <v>5389</v>
      </c>
      <c r="D1726" t="s">
        <v>3087</v>
      </c>
      <c r="E1726" t="s">
        <v>3811</v>
      </c>
      <c r="F1726" s="96" t="s">
        <v>3711</v>
      </c>
      <c r="G1726">
        <v>4808428</v>
      </c>
      <c r="H1726" t="s">
        <v>180</v>
      </c>
      <c r="I1726" t="s">
        <v>5407</v>
      </c>
      <c r="J1726" t="s">
        <v>5407</v>
      </c>
      <c r="K1726" s="99">
        <v>45714</v>
      </c>
      <c r="L1726" s="99">
        <v>45794</v>
      </c>
      <c r="M1726" s="99">
        <v>45794</v>
      </c>
      <c r="O1726" s="111">
        <v>0</v>
      </c>
      <c r="P1726" s="99">
        <v>45794</v>
      </c>
    </row>
    <row r="1727" spans="1:19" ht="15" customHeight="1">
      <c r="A1727" s="15">
        <v>1727</v>
      </c>
      <c r="B1727" s="102" t="s">
        <v>1555</v>
      </c>
      <c r="C1727" t="s">
        <v>5408</v>
      </c>
      <c r="D1727" t="s">
        <v>3087</v>
      </c>
      <c r="E1727" s="96" t="s">
        <v>4294</v>
      </c>
      <c r="F1727" s="96" t="s">
        <v>5419</v>
      </c>
      <c r="G1727">
        <v>10955</v>
      </c>
      <c r="H1727" t="s">
        <v>830</v>
      </c>
      <c r="I1727" t="s">
        <v>5420</v>
      </c>
      <c r="J1727" t="s">
        <v>5420</v>
      </c>
      <c r="K1727" s="99">
        <v>45720</v>
      </c>
      <c r="L1727" s="99">
        <v>45748</v>
      </c>
      <c r="M1727" s="99">
        <v>45900</v>
      </c>
      <c r="O1727" s="111">
        <v>0</v>
      </c>
      <c r="P1727" s="99">
        <v>45900</v>
      </c>
    </row>
    <row r="1728" spans="1:19" ht="15" customHeight="1">
      <c r="A1728" s="15">
        <v>1728</v>
      </c>
      <c r="B1728" s="102" t="s">
        <v>3086</v>
      </c>
      <c r="C1728" t="s">
        <v>5409</v>
      </c>
      <c r="D1728" t="s">
        <v>3110</v>
      </c>
      <c r="E1728" s="96" t="s">
        <v>3117</v>
      </c>
      <c r="F1728" s="96" t="s">
        <v>5421</v>
      </c>
      <c r="G1728">
        <v>49903209</v>
      </c>
      <c r="H1728" t="s">
        <v>5418</v>
      </c>
      <c r="I1728" t="s">
        <v>5422</v>
      </c>
      <c r="J1728" t="s">
        <v>5422</v>
      </c>
      <c r="K1728" s="99">
        <v>45733</v>
      </c>
      <c r="L1728" s="99">
        <v>45734</v>
      </c>
      <c r="M1728" s="99">
        <v>46022</v>
      </c>
      <c r="N1728">
        <v>1</v>
      </c>
      <c r="O1728" s="111">
        <v>65160</v>
      </c>
      <c r="P1728" s="99">
        <v>46022</v>
      </c>
      <c r="Q1728" s="111">
        <v>325800</v>
      </c>
      <c r="R1728">
        <v>30481332</v>
      </c>
      <c r="S1728" s="99">
        <v>45734</v>
      </c>
    </row>
    <row r="1729" spans="1:19" ht="15" customHeight="1">
      <c r="A1729" s="15">
        <v>1729</v>
      </c>
      <c r="B1729" s="102" t="s">
        <v>1555</v>
      </c>
      <c r="C1729" t="s">
        <v>5410</v>
      </c>
      <c r="D1729" t="s">
        <v>3087</v>
      </c>
      <c r="E1729" s="96" t="s">
        <v>4294</v>
      </c>
      <c r="F1729" s="96" t="s">
        <v>5423</v>
      </c>
      <c r="G1729">
        <v>10956</v>
      </c>
      <c r="H1729" t="s">
        <v>830</v>
      </c>
      <c r="I1729" t="s">
        <v>5424</v>
      </c>
      <c r="J1729" t="s">
        <v>5424</v>
      </c>
      <c r="K1729" s="99">
        <v>45719</v>
      </c>
      <c r="L1729" s="99">
        <v>45809</v>
      </c>
      <c r="M1729" s="99">
        <v>45869</v>
      </c>
      <c r="O1729" s="111">
        <v>0</v>
      </c>
      <c r="P1729" s="99">
        <v>45869</v>
      </c>
    </row>
    <row r="1730" spans="1:19" ht="15" customHeight="1">
      <c r="A1730" s="15">
        <v>1730</v>
      </c>
      <c r="B1730" s="102" t="s">
        <v>1555</v>
      </c>
      <c r="C1730" t="s">
        <v>5411</v>
      </c>
      <c r="D1730" t="s">
        <v>3087</v>
      </c>
      <c r="E1730" s="96" t="s">
        <v>4294</v>
      </c>
      <c r="F1730" s="96" t="s">
        <v>5425</v>
      </c>
      <c r="G1730">
        <v>10957</v>
      </c>
      <c r="H1730" t="s">
        <v>830</v>
      </c>
      <c r="I1730" t="s">
        <v>5426</v>
      </c>
      <c r="J1730" t="s">
        <v>5426</v>
      </c>
      <c r="K1730" s="99">
        <v>45720</v>
      </c>
      <c r="L1730" s="99">
        <v>45748</v>
      </c>
      <c r="M1730" s="99">
        <v>45900</v>
      </c>
      <c r="O1730" s="111">
        <v>0</v>
      </c>
      <c r="P1730" s="99">
        <v>45900</v>
      </c>
    </row>
    <row r="1731" spans="1:19" ht="15" customHeight="1">
      <c r="A1731" s="15">
        <v>1731</v>
      </c>
      <c r="B1731" s="102" t="s">
        <v>1555</v>
      </c>
      <c r="C1731" t="s">
        <v>5412</v>
      </c>
      <c r="D1731" t="s">
        <v>3087</v>
      </c>
      <c r="E1731" s="96" t="s">
        <v>4294</v>
      </c>
      <c r="F1731" s="96" t="s">
        <v>5427</v>
      </c>
      <c r="G1731">
        <v>10958</v>
      </c>
      <c r="H1731" t="s">
        <v>830</v>
      </c>
      <c r="I1731" t="s">
        <v>5428</v>
      </c>
      <c r="J1731" t="s">
        <v>5428</v>
      </c>
      <c r="K1731" s="99">
        <v>45722</v>
      </c>
      <c r="L1731" s="99">
        <v>45838</v>
      </c>
      <c r="M1731" s="99">
        <v>45842</v>
      </c>
      <c r="N1731">
        <v>7</v>
      </c>
      <c r="O1731" s="111">
        <v>2500</v>
      </c>
      <c r="P1731" s="99">
        <v>45842</v>
      </c>
    </row>
    <row r="1732" spans="1:19" ht="15" customHeight="1">
      <c r="A1732" s="15">
        <v>1732</v>
      </c>
      <c r="B1732" s="102" t="s">
        <v>1555</v>
      </c>
      <c r="C1732" t="s">
        <v>5413</v>
      </c>
      <c r="D1732" t="s">
        <v>3087</v>
      </c>
      <c r="E1732" s="96" t="s">
        <v>4294</v>
      </c>
      <c r="F1732" s="96" t="s">
        <v>5429</v>
      </c>
      <c r="G1732">
        <v>10959</v>
      </c>
      <c r="H1732" t="s">
        <v>830</v>
      </c>
      <c r="I1732" t="s">
        <v>5430</v>
      </c>
      <c r="J1732" t="s">
        <v>5430</v>
      </c>
      <c r="K1732" s="99">
        <v>45723</v>
      </c>
      <c r="L1732" s="99">
        <v>45748</v>
      </c>
      <c r="M1732" s="99">
        <v>45900</v>
      </c>
      <c r="N1732">
        <v>7</v>
      </c>
      <c r="O1732" s="111">
        <v>500</v>
      </c>
      <c r="P1732" s="99">
        <v>45900</v>
      </c>
    </row>
    <row r="1733" spans="1:19" ht="15" customHeight="1">
      <c r="A1733" s="15">
        <v>1733</v>
      </c>
      <c r="B1733" s="102" t="s">
        <v>1555</v>
      </c>
      <c r="C1733" t="s">
        <v>5414</v>
      </c>
      <c r="D1733" t="s">
        <v>3087</v>
      </c>
      <c r="E1733" s="96" t="s">
        <v>4294</v>
      </c>
      <c r="F1733" s="96" t="s">
        <v>5431</v>
      </c>
      <c r="G1733">
        <v>10960</v>
      </c>
      <c r="H1733" t="s">
        <v>830</v>
      </c>
      <c r="I1733" t="s">
        <v>5432</v>
      </c>
      <c r="J1733" t="s">
        <v>5432</v>
      </c>
      <c r="K1733" s="99">
        <v>45723</v>
      </c>
      <c r="L1733" s="99">
        <v>45810</v>
      </c>
      <c r="M1733" s="99">
        <v>45821</v>
      </c>
      <c r="N1733">
        <v>7</v>
      </c>
      <c r="O1733" s="111">
        <v>2500</v>
      </c>
      <c r="P1733" s="99">
        <v>45821</v>
      </c>
    </row>
    <row r="1734" spans="1:19" ht="15" customHeight="1">
      <c r="A1734" s="15">
        <v>1734</v>
      </c>
      <c r="B1734" s="102" t="s">
        <v>1555</v>
      </c>
      <c r="C1734" t="s">
        <v>5415</v>
      </c>
      <c r="D1734" t="s">
        <v>3087</v>
      </c>
      <c r="E1734" s="96" t="s">
        <v>4294</v>
      </c>
      <c r="F1734" s="96" t="s">
        <v>5433</v>
      </c>
      <c r="G1734">
        <v>10961</v>
      </c>
      <c r="H1734" t="s">
        <v>830</v>
      </c>
      <c r="I1734" t="s">
        <v>5434</v>
      </c>
      <c r="J1734" t="s">
        <v>5434</v>
      </c>
      <c r="K1734" s="99">
        <v>45726</v>
      </c>
      <c r="L1734" s="99">
        <v>45748</v>
      </c>
      <c r="M1734" s="99">
        <v>45900</v>
      </c>
      <c r="N1734">
        <v>7</v>
      </c>
      <c r="O1734" s="111">
        <v>500</v>
      </c>
      <c r="P1734" s="99">
        <v>45900</v>
      </c>
    </row>
    <row r="1735" spans="1:19" ht="15" customHeight="1">
      <c r="A1735" s="15">
        <v>1735</v>
      </c>
      <c r="B1735" s="102" t="s">
        <v>1555</v>
      </c>
      <c r="C1735" t="s">
        <v>5416</v>
      </c>
      <c r="D1735" t="s">
        <v>3087</v>
      </c>
      <c r="E1735" s="96" t="s">
        <v>4294</v>
      </c>
      <c r="F1735" s="96" t="s">
        <v>5435</v>
      </c>
      <c r="G1735">
        <v>10962</v>
      </c>
      <c r="H1735" t="s">
        <v>830</v>
      </c>
      <c r="I1735" t="s">
        <v>5436</v>
      </c>
      <c r="J1735" t="s">
        <v>5436</v>
      </c>
      <c r="K1735" s="99">
        <v>45726</v>
      </c>
      <c r="L1735" s="99">
        <v>45748</v>
      </c>
      <c r="M1735" s="99">
        <v>45900</v>
      </c>
      <c r="N1735">
        <v>7</v>
      </c>
      <c r="O1735" s="111">
        <v>500</v>
      </c>
      <c r="P1735" s="99">
        <v>45900</v>
      </c>
    </row>
    <row r="1736" spans="1:19" ht="15" customHeight="1">
      <c r="A1736" s="15">
        <v>1736</v>
      </c>
      <c r="B1736" s="102" t="s">
        <v>1555</v>
      </c>
      <c r="C1736" t="s">
        <v>5417</v>
      </c>
      <c r="D1736" t="s">
        <v>3087</v>
      </c>
      <c r="E1736" s="96" t="s">
        <v>4294</v>
      </c>
      <c r="F1736" s="96" t="s">
        <v>5437</v>
      </c>
      <c r="G1736">
        <v>10963</v>
      </c>
      <c r="H1736" t="s">
        <v>830</v>
      </c>
      <c r="I1736" t="s">
        <v>5438</v>
      </c>
      <c r="J1736" t="s">
        <v>5438</v>
      </c>
      <c r="K1736" s="99">
        <v>45727</v>
      </c>
      <c r="L1736" s="99">
        <v>45748</v>
      </c>
      <c r="M1736" s="99">
        <v>45900</v>
      </c>
      <c r="N1736">
        <v>7</v>
      </c>
      <c r="O1736" s="111">
        <v>500</v>
      </c>
      <c r="P1736" s="99">
        <v>45900</v>
      </c>
    </row>
    <row r="1737" spans="1:19" ht="15" customHeight="1">
      <c r="A1737" s="15">
        <v>1737</v>
      </c>
      <c r="B1737" s="102" t="s">
        <v>1555</v>
      </c>
      <c r="C1737" t="s">
        <v>5450</v>
      </c>
      <c r="D1737" t="s">
        <v>3087</v>
      </c>
      <c r="E1737" s="96" t="s">
        <v>4294</v>
      </c>
      <c r="F1737" s="96" t="s">
        <v>5439</v>
      </c>
      <c r="G1737">
        <v>10964</v>
      </c>
      <c r="H1737" t="s">
        <v>830</v>
      </c>
      <c r="I1737" t="s">
        <v>5440</v>
      </c>
      <c r="J1737" t="s">
        <v>5440</v>
      </c>
      <c r="K1737" s="99">
        <v>45727</v>
      </c>
      <c r="L1737" s="99">
        <v>45748</v>
      </c>
      <c r="M1737" s="99">
        <v>45900</v>
      </c>
      <c r="N1737">
        <v>7</v>
      </c>
      <c r="O1737" s="111">
        <v>500</v>
      </c>
      <c r="P1737" s="99">
        <v>45900</v>
      </c>
    </row>
    <row r="1738" spans="1:19" ht="15" customHeight="1">
      <c r="A1738" s="15">
        <v>1738</v>
      </c>
      <c r="B1738" s="102" t="s">
        <v>1555</v>
      </c>
      <c r="C1738" t="s">
        <v>5451</v>
      </c>
      <c r="D1738" t="s">
        <v>3087</v>
      </c>
      <c r="E1738" s="96" t="s">
        <v>4294</v>
      </c>
      <c r="F1738" s="96" t="s">
        <v>5441</v>
      </c>
      <c r="G1738">
        <v>10965</v>
      </c>
      <c r="H1738" t="s">
        <v>830</v>
      </c>
      <c r="I1738" t="s">
        <v>5442</v>
      </c>
      <c r="J1738" t="s">
        <v>5442</v>
      </c>
      <c r="K1738" s="99">
        <v>45726</v>
      </c>
      <c r="L1738" s="99">
        <v>45748</v>
      </c>
      <c r="M1738" s="99">
        <v>45900</v>
      </c>
      <c r="N1738">
        <v>7</v>
      </c>
      <c r="O1738" s="111">
        <v>500</v>
      </c>
      <c r="P1738" s="99">
        <v>45900</v>
      </c>
    </row>
    <row r="1739" spans="1:19" ht="15" customHeight="1">
      <c r="A1739" s="15">
        <v>1739</v>
      </c>
      <c r="B1739" s="102" t="s">
        <v>1555</v>
      </c>
      <c r="C1739" t="s">
        <v>5452</v>
      </c>
      <c r="D1739" t="s">
        <v>3087</v>
      </c>
      <c r="E1739" s="96" t="s">
        <v>4294</v>
      </c>
      <c r="F1739" s="96" t="s">
        <v>5443</v>
      </c>
      <c r="G1739">
        <v>10966</v>
      </c>
      <c r="H1739" t="s">
        <v>830</v>
      </c>
      <c r="I1739" t="s">
        <v>5444</v>
      </c>
      <c r="J1739" t="s">
        <v>5444</v>
      </c>
      <c r="K1739" s="99">
        <v>45726</v>
      </c>
      <c r="L1739" s="99">
        <v>45748</v>
      </c>
      <c r="M1739" s="99">
        <v>45900</v>
      </c>
      <c r="N1739" t="s">
        <v>5445</v>
      </c>
      <c r="O1739" s="111">
        <v>0</v>
      </c>
      <c r="P1739" s="99">
        <v>45900</v>
      </c>
    </row>
    <row r="1740" spans="1:19" ht="15" customHeight="1">
      <c r="A1740" s="15">
        <v>1740</v>
      </c>
      <c r="B1740" s="102" t="s">
        <v>1555</v>
      </c>
      <c r="C1740" t="s">
        <v>5453</v>
      </c>
      <c r="D1740" t="s">
        <v>3087</v>
      </c>
      <c r="E1740" s="96" t="s">
        <v>4294</v>
      </c>
      <c r="F1740" s="96" t="s">
        <v>5446</v>
      </c>
      <c r="G1740">
        <v>10967</v>
      </c>
      <c r="H1740" t="s">
        <v>830</v>
      </c>
      <c r="I1740" t="s">
        <v>5447</v>
      </c>
      <c r="J1740" t="s">
        <v>5447</v>
      </c>
      <c r="K1740" s="99">
        <v>45726</v>
      </c>
      <c r="L1740" s="99">
        <v>45726</v>
      </c>
      <c r="M1740" s="99">
        <v>45777</v>
      </c>
      <c r="N1740">
        <v>7</v>
      </c>
      <c r="O1740" s="111">
        <v>1500</v>
      </c>
      <c r="P1740" s="99">
        <v>45777</v>
      </c>
    </row>
    <row r="1741" spans="1:19" ht="15" customHeight="1">
      <c r="A1741" s="15">
        <v>1741</v>
      </c>
      <c r="B1741" s="102" t="s">
        <v>1555</v>
      </c>
      <c r="C1741" t="s">
        <v>5454</v>
      </c>
      <c r="D1741" t="s">
        <v>3087</v>
      </c>
      <c r="E1741" s="96" t="s">
        <v>4294</v>
      </c>
      <c r="F1741" s="96" t="s">
        <v>5448</v>
      </c>
      <c r="G1741">
        <v>27167992</v>
      </c>
      <c r="H1741" t="s">
        <v>830</v>
      </c>
      <c r="I1741" t="s">
        <v>5449</v>
      </c>
      <c r="J1741" t="s">
        <v>5449</v>
      </c>
      <c r="K1741" s="99">
        <v>45727</v>
      </c>
      <c r="L1741" s="99">
        <v>45778</v>
      </c>
      <c r="M1741" s="99">
        <v>45795</v>
      </c>
      <c r="N1741">
        <v>7</v>
      </c>
      <c r="O1741" s="111">
        <v>4200</v>
      </c>
      <c r="P1741" s="99">
        <v>45795</v>
      </c>
    </row>
    <row r="1742" spans="1:19" ht="15" customHeight="1">
      <c r="A1742" s="15">
        <v>1742</v>
      </c>
      <c r="B1742" s="102" t="s">
        <v>3086</v>
      </c>
      <c r="C1742" t="s">
        <v>5455</v>
      </c>
      <c r="D1742" t="s">
        <v>4667</v>
      </c>
      <c r="E1742" s="96" t="s">
        <v>3117</v>
      </c>
      <c r="F1742" s="96" t="s">
        <v>5456</v>
      </c>
      <c r="G1742">
        <v>75063425</v>
      </c>
      <c r="H1742" t="s">
        <v>3982</v>
      </c>
      <c r="I1742" t="s">
        <v>5457</v>
      </c>
      <c r="J1742" t="s">
        <v>5457</v>
      </c>
      <c r="K1742" s="99">
        <v>45730</v>
      </c>
      <c r="L1742" s="99">
        <v>45730</v>
      </c>
      <c r="M1742" s="99">
        <v>46022</v>
      </c>
      <c r="N1742">
        <v>6</v>
      </c>
      <c r="O1742" s="111">
        <v>150000</v>
      </c>
      <c r="P1742" s="99">
        <v>46022</v>
      </c>
      <c r="Q1742" s="111">
        <v>150000</v>
      </c>
      <c r="R1742">
        <v>30449180</v>
      </c>
      <c r="S1742" s="99">
        <v>45730</v>
      </c>
    </row>
    <row r="1743" spans="1:19" ht="15" customHeight="1">
      <c r="A1743" s="15">
        <v>1743</v>
      </c>
      <c r="B1743" s="102" t="s">
        <v>1555</v>
      </c>
      <c r="C1743" t="s">
        <v>5458</v>
      </c>
      <c r="D1743" t="s">
        <v>4667</v>
      </c>
      <c r="E1743" s="96" t="s">
        <v>3197</v>
      </c>
      <c r="F1743" s="96" t="s">
        <v>5460</v>
      </c>
      <c r="G1743">
        <v>9855769</v>
      </c>
      <c r="H1743" t="s">
        <v>546</v>
      </c>
      <c r="I1743" t="s">
        <v>5459</v>
      </c>
      <c r="J1743" t="s">
        <v>5459</v>
      </c>
      <c r="K1743" s="99">
        <v>45733</v>
      </c>
      <c r="L1743" s="99">
        <v>45733</v>
      </c>
      <c r="M1743" s="99">
        <v>45838</v>
      </c>
      <c r="N1743">
        <v>7</v>
      </c>
      <c r="O1743" s="111">
        <v>174240</v>
      </c>
      <c r="P1743" s="99">
        <v>45838</v>
      </c>
      <c r="Q1743" s="111">
        <v>174240</v>
      </c>
      <c r="R1743">
        <v>30458356</v>
      </c>
      <c r="S1743" s="99">
        <v>45733</v>
      </c>
    </row>
    <row r="1744" spans="1:19" ht="15" customHeight="1">
      <c r="A1744" s="15">
        <v>1744</v>
      </c>
      <c r="B1744" s="102" t="s">
        <v>3086</v>
      </c>
      <c r="C1744" t="s">
        <v>5462</v>
      </c>
      <c r="D1744" t="s">
        <v>3110</v>
      </c>
      <c r="E1744" s="96" t="s">
        <v>5463</v>
      </c>
      <c r="F1744" s="96" t="s">
        <v>3438</v>
      </c>
      <c r="G1744">
        <v>27295567</v>
      </c>
      <c r="H1744" t="s">
        <v>5464</v>
      </c>
      <c r="I1744" t="s">
        <v>5465</v>
      </c>
      <c r="J1744" t="s">
        <v>5466</v>
      </c>
      <c r="K1744" s="99">
        <v>45733</v>
      </c>
      <c r="L1744" s="99">
        <v>45733</v>
      </c>
      <c r="M1744" s="99">
        <v>2958465</v>
      </c>
      <c r="O1744" s="111">
        <v>0</v>
      </c>
      <c r="P1744" s="99">
        <v>2958465</v>
      </c>
    </row>
    <row r="1745" spans="1:19" ht="15" customHeight="1">
      <c r="A1745" s="15">
        <v>1745</v>
      </c>
      <c r="B1745" s="102" t="s">
        <v>1555</v>
      </c>
      <c r="C1745" t="s">
        <v>5470</v>
      </c>
      <c r="D1745" t="s">
        <v>3087</v>
      </c>
      <c r="E1745" s="96" t="s">
        <v>3811</v>
      </c>
      <c r="F1745" s="96" t="s">
        <v>5486</v>
      </c>
      <c r="G1745">
        <v>65601793</v>
      </c>
      <c r="H1745" t="s">
        <v>180</v>
      </c>
      <c r="I1745" t="s">
        <v>5487</v>
      </c>
      <c r="J1745" t="s">
        <v>5487</v>
      </c>
      <c r="K1745" s="99">
        <v>45734</v>
      </c>
      <c r="L1745" s="99">
        <v>45752</v>
      </c>
      <c r="M1745" s="99">
        <v>45752</v>
      </c>
      <c r="N1745">
        <v>7</v>
      </c>
      <c r="O1745" s="111">
        <v>12960</v>
      </c>
      <c r="P1745" s="99">
        <v>45752</v>
      </c>
    </row>
    <row r="1746" spans="1:19" ht="15" customHeight="1">
      <c r="A1746" s="15">
        <v>1746</v>
      </c>
      <c r="B1746" s="102" t="s">
        <v>1555</v>
      </c>
      <c r="C1746" t="s">
        <v>5471</v>
      </c>
      <c r="D1746" t="s">
        <v>3087</v>
      </c>
      <c r="E1746" s="96" t="s">
        <v>3811</v>
      </c>
      <c r="F1746" s="96" t="s">
        <v>3975</v>
      </c>
      <c r="G1746">
        <v>14801973</v>
      </c>
      <c r="H1746" t="s">
        <v>180</v>
      </c>
      <c r="I1746" t="s">
        <v>5488</v>
      </c>
      <c r="J1746" t="s">
        <v>5488</v>
      </c>
      <c r="K1746" s="99">
        <v>45733</v>
      </c>
      <c r="L1746" s="99">
        <v>45743</v>
      </c>
      <c r="M1746" s="99">
        <v>45743</v>
      </c>
      <c r="O1746" s="111">
        <v>0</v>
      </c>
      <c r="P1746" s="99">
        <v>45743</v>
      </c>
    </row>
    <row r="1747" spans="1:19" ht="15" customHeight="1">
      <c r="A1747" s="15">
        <v>1747</v>
      </c>
      <c r="B1747" s="102" t="s">
        <v>1555</v>
      </c>
      <c r="C1747" t="s">
        <v>5472</v>
      </c>
      <c r="D1747" t="s">
        <v>3087</v>
      </c>
      <c r="E1747" s="96" t="s">
        <v>3811</v>
      </c>
      <c r="F1747" s="96" t="s">
        <v>3687</v>
      </c>
      <c r="G1747">
        <v>7556586</v>
      </c>
      <c r="H1747" t="s">
        <v>180</v>
      </c>
      <c r="I1747" t="s">
        <v>5489</v>
      </c>
      <c r="J1747" t="s">
        <v>5489</v>
      </c>
      <c r="K1747" s="99">
        <v>45733</v>
      </c>
      <c r="L1747" s="99">
        <v>45759</v>
      </c>
      <c r="M1747" s="99">
        <v>45760</v>
      </c>
      <c r="O1747" s="111">
        <v>0</v>
      </c>
      <c r="P1747" s="99">
        <v>45760</v>
      </c>
    </row>
    <row r="1748" spans="1:19" ht="15" customHeight="1">
      <c r="A1748" s="15">
        <v>1748</v>
      </c>
      <c r="B1748" s="102" t="s">
        <v>1555</v>
      </c>
      <c r="C1748" t="s">
        <v>5473</v>
      </c>
      <c r="D1748" t="s">
        <v>3087</v>
      </c>
      <c r="E1748" s="96" t="s">
        <v>4294</v>
      </c>
      <c r="F1748" s="96" t="s">
        <v>5490</v>
      </c>
      <c r="G1748">
        <v>10974</v>
      </c>
      <c r="H1748" t="s">
        <v>830</v>
      </c>
      <c r="I1748" t="s">
        <v>5491</v>
      </c>
      <c r="J1748" t="s">
        <v>5491</v>
      </c>
      <c r="K1748" s="99">
        <v>45734</v>
      </c>
      <c r="L1748" s="99">
        <v>45748</v>
      </c>
      <c r="M1748" s="99">
        <v>45900</v>
      </c>
      <c r="N1748">
        <v>7</v>
      </c>
      <c r="O1748" s="111">
        <v>500</v>
      </c>
      <c r="P1748" s="99">
        <v>45900</v>
      </c>
    </row>
    <row r="1749" spans="1:19" ht="15" customHeight="1">
      <c r="A1749" s="15">
        <v>1749</v>
      </c>
      <c r="B1749" s="102" t="s">
        <v>1555</v>
      </c>
      <c r="C1749" t="s">
        <v>5474</v>
      </c>
      <c r="D1749" t="s">
        <v>3087</v>
      </c>
      <c r="E1749" s="96" t="s">
        <v>4294</v>
      </c>
      <c r="F1749" s="96" t="s">
        <v>5492</v>
      </c>
      <c r="G1749">
        <v>10975</v>
      </c>
      <c r="H1749" t="s">
        <v>830</v>
      </c>
      <c r="I1749" t="s">
        <v>5493</v>
      </c>
      <c r="J1749" t="s">
        <v>5493</v>
      </c>
      <c r="K1749" s="99">
        <v>45730</v>
      </c>
      <c r="L1749" s="99">
        <v>45748</v>
      </c>
      <c r="M1749" s="99">
        <v>45900</v>
      </c>
      <c r="O1749" s="111">
        <v>0</v>
      </c>
      <c r="P1749" s="99">
        <v>45900</v>
      </c>
    </row>
    <row r="1750" spans="1:19" ht="15" customHeight="1">
      <c r="A1750" s="15">
        <v>1750</v>
      </c>
      <c r="B1750" s="102" t="s">
        <v>1555</v>
      </c>
      <c r="C1750" t="s">
        <v>5475</v>
      </c>
      <c r="D1750" t="s">
        <v>3087</v>
      </c>
      <c r="E1750" s="96" t="s">
        <v>4294</v>
      </c>
      <c r="F1750" s="96" t="s">
        <v>5494</v>
      </c>
      <c r="G1750">
        <v>10976</v>
      </c>
      <c r="H1750" t="s">
        <v>830</v>
      </c>
      <c r="I1750" t="s">
        <v>5495</v>
      </c>
      <c r="J1750" t="s">
        <v>5495</v>
      </c>
      <c r="K1750" s="99">
        <v>45729</v>
      </c>
      <c r="L1750" s="99">
        <v>45729</v>
      </c>
      <c r="M1750" s="99">
        <v>45808</v>
      </c>
      <c r="O1750" s="111">
        <v>0</v>
      </c>
      <c r="P1750" s="99">
        <v>45808</v>
      </c>
    </row>
    <row r="1751" spans="1:19" ht="15" customHeight="1">
      <c r="A1751" s="15">
        <v>1751</v>
      </c>
      <c r="B1751" s="102" t="s">
        <v>1555</v>
      </c>
      <c r="C1751" t="s">
        <v>5478</v>
      </c>
      <c r="D1751" t="s">
        <v>3087</v>
      </c>
      <c r="E1751" s="96" t="s">
        <v>4294</v>
      </c>
      <c r="F1751" s="96" t="s">
        <v>5496</v>
      </c>
      <c r="G1751">
        <v>10981</v>
      </c>
      <c r="H1751" t="s">
        <v>830</v>
      </c>
      <c r="I1751" t="s">
        <v>5497</v>
      </c>
      <c r="J1751" t="s">
        <v>5497</v>
      </c>
      <c r="K1751" s="99">
        <v>45730</v>
      </c>
      <c r="L1751" s="99">
        <v>45748</v>
      </c>
      <c r="M1751" s="99">
        <v>45900</v>
      </c>
      <c r="N1751">
        <v>7</v>
      </c>
      <c r="O1751" s="111">
        <v>500</v>
      </c>
      <c r="P1751" s="99">
        <v>45900</v>
      </c>
    </row>
    <row r="1752" spans="1:19" ht="15" customHeight="1">
      <c r="A1752" s="15">
        <v>1752</v>
      </c>
      <c r="B1752" s="102" t="s">
        <v>3086</v>
      </c>
      <c r="C1752" t="s">
        <v>5476</v>
      </c>
      <c r="D1752" t="s">
        <v>3121</v>
      </c>
      <c r="E1752" s="96" t="s">
        <v>3117</v>
      </c>
      <c r="F1752" s="96" t="s">
        <v>5498</v>
      </c>
      <c r="G1752">
        <v>29055130</v>
      </c>
      <c r="H1752" t="s">
        <v>3982</v>
      </c>
      <c r="I1752" t="s">
        <v>5499</v>
      </c>
      <c r="J1752" t="s">
        <v>5499</v>
      </c>
      <c r="K1752" s="99">
        <v>45738</v>
      </c>
      <c r="L1752" s="99">
        <v>45740</v>
      </c>
      <c r="N1752">
        <v>1</v>
      </c>
      <c r="O1752" s="111">
        <v>154880</v>
      </c>
      <c r="Q1752" s="111">
        <v>154880</v>
      </c>
      <c r="R1752">
        <v>30546116</v>
      </c>
      <c r="S1752" s="99">
        <v>45740</v>
      </c>
    </row>
    <row r="1753" spans="1:19" ht="15" customHeight="1">
      <c r="A1753" s="15">
        <v>1753</v>
      </c>
      <c r="B1753" s="102" t="s">
        <v>1555</v>
      </c>
      <c r="C1753" t="s">
        <v>5479</v>
      </c>
      <c r="D1753" t="s">
        <v>3087</v>
      </c>
      <c r="E1753" s="96" t="s">
        <v>4294</v>
      </c>
      <c r="F1753" s="96" t="s">
        <v>5394</v>
      </c>
      <c r="G1753">
        <v>10949</v>
      </c>
      <c r="H1753" t="s">
        <v>830</v>
      </c>
      <c r="I1753" t="s">
        <v>5500</v>
      </c>
      <c r="J1753" t="s">
        <v>5500</v>
      </c>
      <c r="K1753" s="99">
        <v>45733</v>
      </c>
      <c r="L1753" s="99">
        <v>45748</v>
      </c>
      <c r="M1753" s="99">
        <v>45900</v>
      </c>
      <c r="O1753" s="111">
        <v>0</v>
      </c>
      <c r="P1753" s="99">
        <v>45900</v>
      </c>
    </row>
    <row r="1754" spans="1:19" ht="15" customHeight="1">
      <c r="A1754" s="15">
        <v>1754</v>
      </c>
      <c r="B1754" s="102" t="s">
        <v>1555</v>
      </c>
      <c r="C1754" t="s">
        <v>5480</v>
      </c>
      <c r="D1754" t="s">
        <v>3087</v>
      </c>
      <c r="E1754" s="96" t="s">
        <v>4294</v>
      </c>
      <c r="F1754" s="96" t="s">
        <v>5501</v>
      </c>
      <c r="G1754">
        <v>10982</v>
      </c>
      <c r="H1754" t="s">
        <v>830</v>
      </c>
      <c r="I1754" t="s">
        <v>5502</v>
      </c>
      <c r="J1754" t="s">
        <v>5502</v>
      </c>
      <c r="K1754" s="99">
        <v>45733</v>
      </c>
      <c r="L1754" s="99">
        <v>45748</v>
      </c>
      <c r="M1754" s="99">
        <v>45900</v>
      </c>
      <c r="N1754">
        <v>7</v>
      </c>
      <c r="O1754" s="111">
        <v>500</v>
      </c>
      <c r="P1754" s="99">
        <v>45900</v>
      </c>
    </row>
    <row r="1755" spans="1:19" ht="15" customHeight="1">
      <c r="A1755" s="15">
        <v>1755</v>
      </c>
      <c r="B1755" s="102" t="s">
        <v>1555</v>
      </c>
      <c r="C1755" t="s">
        <v>5481</v>
      </c>
      <c r="D1755" t="s">
        <v>3087</v>
      </c>
      <c r="E1755" s="96" t="s">
        <v>4294</v>
      </c>
      <c r="F1755" s="96" t="s">
        <v>5503</v>
      </c>
      <c r="G1755">
        <v>10983</v>
      </c>
      <c r="H1755" t="s">
        <v>830</v>
      </c>
      <c r="I1755" t="s">
        <v>5504</v>
      </c>
      <c r="J1755" t="s">
        <v>5504</v>
      </c>
      <c r="K1755" s="99">
        <v>45729</v>
      </c>
      <c r="L1755" s="99">
        <v>45870</v>
      </c>
      <c r="M1755" s="99">
        <v>45930</v>
      </c>
      <c r="N1755">
        <v>7</v>
      </c>
      <c r="O1755" s="111">
        <v>8500</v>
      </c>
      <c r="P1755" s="99">
        <v>45930</v>
      </c>
    </row>
    <row r="1756" spans="1:19" ht="15" customHeight="1">
      <c r="A1756" s="15">
        <v>1756</v>
      </c>
      <c r="B1756" s="102" t="s">
        <v>1555</v>
      </c>
      <c r="C1756" t="s">
        <v>5482</v>
      </c>
      <c r="D1756" t="s">
        <v>3087</v>
      </c>
      <c r="E1756" s="96" t="s">
        <v>4294</v>
      </c>
      <c r="F1756" s="96" t="s">
        <v>5505</v>
      </c>
      <c r="G1756">
        <v>10984</v>
      </c>
      <c r="H1756" t="s">
        <v>830</v>
      </c>
      <c r="I1756" t="s">
        <v>5506</v>
      </c>
      <c r="J1756" t="s">
        <v>5506</v>
      </c>
      <c r="K1756" s="99">
        <v>45730</v>
      </c>
      <c r="L1756" s="99">
        <v>45839</v>
      </c>
      <c r="M1756" s="99">
        <v>45961</v>
      </c>
      <c r="N1756">
        <v>7</v>
      </c>
      <c r="O1756" s="111">
        <v>7000</v>
      </c>
      <c r="P1756" s="99">
        <v>45961</v>
      </c>
    </row>
    <row r="1757" spans="1:19" ht="15" customHeight="1">
      <c r="A1757" s="15">
        <v>1757</v>
      </c>
      <c r="B1757" s="102" t="s">
        <v>1555</v>
      </c>
      <c r="C1757" s="96" t="s">
        <v>5483</v>
      </c>
      <c r="D1757" t="s">
        <v>3087</v>
      </c>
      <c r="E1757" s="96" t="s">
        <v>4294</v>
      </c>
      <c r="F1757" s="96" t="s">
        <v>5507</v>
      </c>
      <c r="G1757">
        <v>28243706</v>
      </c>
      <c r="H1757" t="s">
        <v>830</v>
      </c>
      <c r="I1757" t="s">
        <v>5508</v>
      </c>
      <c r="J1757" t="s">
        <v>5508</v>
      </c>
      <c r="K1757" s="99">
        <v>45733</v>
      </c>
      <c r="L1757" s="99">
        <v>45852</v>
      </c>
      <c r="M1757" s="99">
        <v>45863</v>
      </c>
      <c r="N1757">
        <v>7</v>
      </c>
      <c r="O1757" s="111">
        <v>4200</v>
      </c>
      <c r="P1757" s="99">
        <v>45863</v>
      </c>
    </row>
    <row r="1758" spans="1:19" ht="15" customHeight="1">
      <c r="A1758" s="15">
        <v>1758</v>
      </c>
      <c r="B1758" s="102" t="s">
        <v>1555</v>
      </c>
      <c r="C1758" t="s">
        <v>5484</v>
      </c>
      <c r="D1758" t="s">
        <v>3087</v>
      </c>
      <c r="E1758" s="96" t="s">
        <v>4294</v>
      </c>
      <c r="F1758" s="96" t="s">
        <v>5509</v>
      </c>
      <c r="G1758">
        <v>67364039</v>
      </c>
      <c r="H1758" t="s">
        <v>830</v>
      </c>
      <c r="I1758" t="s">
        <v>5510</v>
      </c>
      <c r="J1758" t="s">
        <v>5510</v>
      </c>
      <c r="K1758" s="99">
        <v>45729</v>
      </c>
      <c r="L1758" s="99">
        <v>45740</v>
      </c>
      <c r="M1758" s="99">
        <v>45758</v>
      </c>
      <c r="N1758">
        <v>7</v>
      </c>
      <c r="O1758" s="111">
        <v>4200</v>
      </c>
      <c r="P1758" s="99">
        <v>45758</v>
      </c>
    </row>
    <row r="1759" spans="1:19" ht="15" customHeight="1">
      <c r="A1759" s="15">
        <v>1759</v>
      </c>
      <c r="B1759" s="102" t="s">
        <v>1555</v>
      </c>
      <c r="C1759" t="s">
        <v>5485</v>
      </c>
      <c r="D1759" t="s">
        <v>3087</v>
      </c>
      <c r="E1759" s="96" t="s">
        <v>4294</v>
      </c>
      <c r="F1759" s="96" t="s">
        <v>5511</v>
      </c>
      <c r="G1759">
        <v>24769941</v>
      </c>
      <c r="H1759" s="96" t="s">
        <v>830</v>
      </c>
      <c r="I1759" t="s">
        <v>5512</v>
      </c>
      <c r="J1759" t="s">
        <v>5512</v>
      </c>
      <c r="K1759" s="99">
        <v>45730</v>
      </c>
      <c r="L1759" s="99">
        <v>45754</v>
      </c>
      <c r="M1759" s="99">
        <v>45764</v>
      </c>
      <c r="N1759">
        <v>7</v>
      </c>
      <c r="O1759" s="111">
        <v>6000</v>
      </c>
      <c r="P1759" s="99">
        <v>45764</v>
      </c>
    </row>
    <row r="1760" spans="1:19" ht="15" customHeight="1">
      <c r="A1760" s="15">
        <v>1760</v>
      </c>
      <c r="B1760" s="102" t="s">
        <v>1555</v>
      </c>
      <c r="C1760" t="s">
        <v>5516</v>
      </c>
      <c r="D1760" t="s">
        <v>3087</v>
      </c>
      <c r="E1760" s="96" t="s">
        <v>4294</v>
      </c>
      <c r="F1760" s="96" t="s">
        <v>5514</v>
      </c>
      <c r="G1760">
        <v>10995</v>
      </c>
      <c r="H1760" t="s">
        <v>830</v>
      </c>
      <c r="I1760" t="s">
        <v>5520</v>
      </c>
      <c r="J1760" t="s">
        <v>5515</v>
      </c>
      <c r="K1760" s="99">
        <v>45707</v>
      </c>
      <c r="L1760" s="99">
        <v>45717</v>
      </c>
      <c r="M1760" s="99">
        <v>45900</v>
      </c>
      <c r="O1760" s="111">
        <v>0</v>
      </c>
      <c r="P1760" s="99">
        <v>45900</v>
      </c>
    </row>
    <row r="1761" spans="1:19" ht="15" customHeight="1">
      <c r="A1761" s="15">
        <v>1761</v>
      </c>
      <c r="B1761" s="102" t="s">
        <v>1555</v>
      </c>
      <c r="C1761" t="s">
        <v>5517</v>
      </c>
      <c r="D1761" t="s">
        <v>3087</v>
      </c>
      <c r="E1761" s="96" t="s">
        <v>4294</v>
      </c>
      <c r="F1761" s="96" t="s">
        <v>5518</v>
      </c>
      <c r="G1761">
        <v>10996</v>
      </c>
      <c r="H1761" t="s">
        <v>830</v>
      </c>
      <c r="I1761" t="s">
        <v>5519</v>
      </c>
      <c r="J1761" t="s">
        <v>5519</v>
      </c>
      <c r="K1761" s="99">
        <v>45707</v>
      </c>
      <c r="L1761" s="99">
        <v>45778</v>
      </c>
      <c r="M1761" s="99">
        <v>45900</v>
      </c>
      <c r="O1761" s="111">
        <v>0</v>
      </c>
      <c r="P1761" s="99">
        <v>45900</v>
      </c>
    </row>
    <row r="1762" spans="1:19" ht="15" customHeight="1">
      <c r="A1762" s="15">
        <v>1762</v>
      </c>
      <c r="B1762" s="102" t="s">
        <v>1555</v>
      </c>
      <c r="C1762" t="s">
        <v>5521</v>
      </c>
      <c r="D1762" t="s">
        <v>3087</v>
      </c>
      <c r="E1762" s="96" t="s">
        <v>4294</v>
      </c>
      <c r="F1762" s="96" t="s">
        <v>5522</v>
      </c>
      <c r="G1762">
        <v>10997</v>
      </c>
      <c r="H1762" t="s">
        <v>830</v>
      </c>
      <c r="I1762" t="s">
        <v>5523</v>
      </c>
      <c r="J1762" t="s">
        <v>5523</v>
      </c>
      <c r="K1762" s="99">
        <v>45707</v>
      </c>
      <c r="L1762" s="99">
        <v>45756</v>
      </c>
      <c r="M1762" s="99">
        <v>45818</v>
      </c>
      <c r="O1762" s="111">
        <v>0</v>
      </c>
      <c r="P1762" s="99">
        <v>45818</v>
      </c>
    </row>
    <row r="1763" spans="1:19" ht="15" customHeight="1">
      <c r="A1763" s="15">
        <v>1763</v>
      </c>
      <c r="B1763" s="102" t="s">
        <v>1555</v>
      </c>
      <c r="C1763" s="96" t="s">
        <v>5524</v>
      </c>
      <c r="D1763" t="s">
        <v>3087</v>
      </c>
      <c r="E1763" s="96" t="s">
        <v>4294</v>
      </c>
      <c r="F1763" s="96" t="s">
        <v>5525</v>
      </c>
      <c r="G1763">
        <v>10998</v>
      </c>
      <c r="H1763" t="s">
        <v>830</v>
      </c>
      <c r="I1763" t="s">
        <v>5526</v>
      </c>
      <c r="J1763" t="s">
        <v>5526</v>
      </c>
      <c r="K1763" s="99">
        <v>45723</v>
      </c>
      <c r="L1763" s="99">
        <v>45728</v>
      </c>
      <c r="M1763" s="99">
        <v>45730</v>
      </c>
      <c r="N1763">
        <v>7</v>
      </c>
      <c r="O1763" s="111">
        <v>1500</v>
      </c>
      <c r="P1763" s="99">
        <v>45730</v>
      </c>
    </row>
    <row r="1764" spans="1:19" ht="15" customHeight="1">
      <c r="A1764" s="15">
        <v>1764</v>
      </c>
      <c r="B1764" s="102" t="s">
        <v>1555</v>
      </c>
      <c r="C1764" s="96" t="s">
        <v>5527</v>
      </c>
      <c r="D1764" t="s">
        <v>3087</v>
      </c>
      <c r="E1764" s="96" t="s">
        <v>4294</v>
      </c>
      <c r="F1764" s="96" t="s">
        <v>5528</v>
      </c>
      <c r="G1764">
        <v>10999</v>
      </c>
      <c r="H1764" s="96" t="s">
        <v>830</v>
      </c>
      <c r="I1764" s="96" t="s">
        <v>5529</v>
      </c>
      <c r="J1764" s="96" t="s">
        <v>5529</v>
      </c>
      <c r="K1764" s="99">
        <v>45728</v>
      </c>
      <c r="L1764" s="99">
        <v>45748</v>
      </c>
      <c r="M1764" s="99">
        <v>45869</v>
      </c>
      <c r="O1764" s="111">
        <v>0</v>
      </c>
      <c r="P1764" s="99">
        <v>45869</v>
      </c>
    </row>
    <row r="1765" spans="1:19" ht="15" customHeight="1">
      <c r="A1765" s="15">
        <v>1765</v>
      </c>
      <c r="B1765" s="102" t="s">
        <v>1555</v>
      </c>
      <c r="C1765" s="96" t="s">
        <v>5530</v>
      </c>
      <c r="D1765" t="s">
        <v>3087</v>
      </c>
      <c r="E1765" s="96" t="s">
        <v>4294</v>
      </c>
      <c r="F1765" s="96" t="s">
        <v>5531</v>
      </c>
      <c r="G1765">
        <v>11000</v>
      </c>
      <c r="H1765" s="96" t="s">
        <v>830</v>
      </c>
      <c r="I1765" s="96" t="s">
        <v>5532</v>
      </c>
      <c r="J1765" s="96" t="s">
        <v>5532</v>
      </c>
      <c r="K1765" s="99">
        <v>45728</v>
      </c>
      <c r="L1765" s="99">
        <v>45748</v>
      </c>
      <c r="M1765" s="99">
        <v>45900</v>
      </c>
      <c r="N1765">
        <v>7</v>
      </c>
      <c r="O1765" s="111">
        <v>500</v>
      </c>
      <c r="P1765" s="99">
        <v>45900</v>
      </c>
    </row>
    <row r="1766" spans="1:19" ht="15" customHeight="1">
      <c r="A1766" s="15">
        <v>1766</v>
      </c>
      <c r="B1766" s="102" t="s">
        <v>1555</v>
      </c>
      <c r="C1766" s="96" t="s">
        <v>5533</v>
      </c>
      <c r="D1766" t="s">
        <v>4667</v>
      </c>
      <c r="E1766" s="96" t="s">
        <v>3197</v>
      </c>
      <c r="F1766" s="96" t="s">
        <v>4344</v>
      </c>
      <c r="G1766">
        <v>27399478</v>
      </c>
      <c r="H1766" s="96" t="s">
        <v>546</v>
      </c>
      <c r="I1766" t="s">
        <v>5534</v>
      </c>
      <c r="J1766" t="s">
        <v>5534</v>
      </c>
      <c r="K1766" s="99">
        <v>45754</v>
      </c>
      <c r="L1766" s="99">
        <v>45755</v>
      </c>
      <c r="M1766" s="99">
        <v>45808</v>
      </c>
      <c r="N1766">
        <v>7</v>
      </c>
      <c r="O1766" s="111">
        <v>191180</v>
      </c>
      <c r="P1766" s="99">
        <v>45808</v>
      </c>
      <c r="Q1766" s="111">
        <v>191180</v>
      </c>
      <c r="R1766">
        <v>30756620</v>
      </c>
      <c r="S1766" s="99">
        <v>45755</v>
      </c>
    </row>
    <row r="1767" spans="1:19" ht="15" customHeight="1">
      <c r="A1767" s="15">
        <v>1767</v>
      </c>
      <c r="B1767" s="102" t="s">
        <v>1555</v>
      </c>
      <c r="C1767" s="96" t="s">
        <v>5535</v>
      </c>
      <c r="D1767" t="s">
        <v>3087</v>
      </c>
      <c r="E1767" s="96" t="s">
        <v>4294</v>
      </c>
      <c r="F1767" s="96" t="s">
        <v>5539</v>
      </c>
      <c r="G1767">
        <v>11004</v>
      </c>
      <c r="H1767" s="96" t="s">
        <v>830</v>
      </c>
      <c r="I1767" s="96" t="s">
        <v>5543</v>
      </c>
      <c r="J1767" t="s">
        <v>5543</v>
      </c>
      <c r="K1767" s="99">
        <v>45737</v>
      </c>
      <c r="L1767" s="99">
        <v>45748</v>
      </c>
      <c r="M1767" s="99">
        <v>45900</v>
      </c>
      <c r="O1767" s="111">
        <v>0</v>
      </c>
      <c r="P1767" s="99">
        <v>45900</v>
      </c>
    </row>
    <row r="1768" spans="1:19" ht="15" customHeight="1">
      <c r="A1768" s="15">
        <v>1768</v>
      </c>
      <c r="B1768" s="102" t="s">
        <v>1555</v>
      </c>
      <c r="C1768" s="96" t="s">
        <v>5536</v>
      </c>
      <c r="D1768" t="s">
        <v>3087</v>
      </c>
      <c r="E1768" s="96" t="s">
        <v>4294</v>
      </c>
      <c r="F1768" s="96" t="s">
        <v>5540</v>
      </c>
      <c r="G1768">
        <v>11005</v>
      </c>
      <c r="H1768" s="96" t="s">
        <v>830</v>
      </c>
      <c r="I1768" s="96" t="s">
        <v>5544</v>
      </c>
      <c r="J1768" t="s">
        <v>5544</v>
      </c>
      <c r="K1768" s="99">
        <v>45736</v>
      </c>
      <c r="L1768" s="99">
        <v>45789</v>
      </c>
      <c r="M1768" s="99">
        <v>45821</v>
      </c>
      <c r="N1768" s="831">
        <v>7</v>
      </c>
      <c r="O1768" s="111">
        <v>2500</v>
      </c>
      <c r="P1768" s="99">
        <v>45821</v>
      </c>
    </row>
    <row r="1769" spans="1:19" ht="15" customHeight="1">
      <c r="A1769" s="15">
        <v>1769</v>
      </c>
      <c r="B1769" s="102" t="s">
        <v>1555</v>
      </c>
      <c r="C1769" s="96" t="s">
        <v>5537</v>
      </c>
      <c r="D1769" t="s">
        <v>3087</v>
      </c>
      <c r="E1769" s="96" t="s">
        <v>4294</v>
      </c>
      <c r="F1769" s="96" t="s">
        <v>5541</v>
      </c>
      <c r="G1769">
        <v>11006</v>
      </c>
      <c r="H1769" s="96" t="s">
        <v>830</v>
      </c>
      <c r="I1769" s="96" t="s">
        <v>5545</v>
      </c>
      <c r="J1769" t="s">
        <v>5545</v>
      </c>
      <c r="K1769" s="832">
        <v>45744</v>
      </c>
      <c r="L1769" s="99">
        <v>45748</v>
      </c>
      <c r="M1769" s="99">
        <v>45900</v>
      </c>
      <c r="N1769" s="831">
        <v>7</v>
      </c>
      <c r="O1769" s="111">
        <v>500</v>
      </c>
      <c r="P1769" s="99">
        <v>45900</v>
      </c>
    </row>
    <row r="1770" spans="1:19" ht="15" customHeight="1">
      <c r="A1770" s="15">
        <v>1770</v>
      </c>
      <c r="B1770" s="102" t="s">
        <v>1555</v>
      </c>
      <c r="C1770" s="96" t="s">
        <v>5538</v>
      </c>
      <c r="D1770" t="s">
        <v>3087</v>
      </c>
      <c r="E1770" s="96" t="s">
        <v>4294</v>
      </c>
      <c r="F1770" s="96" t="s">
        <v>5542</v>
      </c>
      <c r="G1770">
        <v>11007</v>
      </c>
      <c r="H1770" s="96" t="s">
        <v>830</v>
      </c>
      <c r="I1770" s="96" t="s">
        <v>5546</v>
      </c>
      <c r="J1770" t="s">
        <v>5546</v>
      </c>
      <c r="K1770" s="99">
        <v>45740</v>
      </c>
      <c r="L1770" s="99">
        <v>45748</v>
      </c>
      <c r="M1770" s="99">
        <v>45900</v>
      </c>
      <c r="N1770" s="831">
        <v>7</v>
      </c>
      <c r="O1770" s="111">
        <v>500</v>
      </c>
      <c r="P1770" s="99">
        <v>45900</v>
      </c>
    </row>
    <row r="1771" spans="1:19" ht="15" customHeight="1">
      <c r="A1771" s="15">
        <v>1771</v>
      </c>
      <c r="B1771" s="102" t="s">
        <v>3086</v>
      </c>
      <c r="C1771" t="s">
        <v>5550</v>
      </c>
      <c r="D1771" t="s">
        <v>3116</v>
      </c>
      <c r="E1771" s="96" t="s">
        <v>3123</v>
      </c>
      <c r="F1771" s="96" t="s">
        <v>5551</v>
      </c>
      <c r="G1771">
        <v>3173631</v>
      </c>
      <c r="H1771" s="96" t="s">
        <v>5292</v>
      </c>
      <c r="I1771" s="96" t="s">
        <v>5552</v>
      </c>
      <c r="J1771" t="s">
        <v>5552</v>
      </c>
      <c r="K1771" s="99">
        <v>45748</v>
      </c>
      <c r="L1771" s="99">
        <v>45748</v>
      </c>
      <c r="M1771" s="99">
        <v>46022</v>
      </c>
      <c r="N1771" s="831">
        <v>7</v>
      </c>
      <c r="O1771" s="111">
        <v>169185.83</v>
      </c>
      <c r="P1771" s="99">
        <v>46022</v>
      </c>
      <c r="Q1771" s="111">
        <v>169185.83</v>
      </c>
      <c r="R1771">
        <v>30654340.339279201</v>
      </c>
      <c r="S1771" s="99" t="s">
        <v>6634</v>
      </c>
    </row>
    <row r="1772" spans="1:19" ht="15" customHeight="1">
      <c r="A1772" s="15">
        <v>1772</v>
      </c>
      <c r="B1772" s="102" t="s">
        <v>1555</v>
      </c>
      <c r="C1772" t="s">
        <v>5553</v>
      </c>
      <c r="D1772" t="s">
        <v>3168</v>
      </c>
      <c r="E1772" s="96" t="s">
        <v>3197</v>
      </c>
      <c r="F1772" s="96" t="s">
        <v>5554</v>
      </c>
      <c r="G1772">
        <v>15873943</v>
      </c>
      <c r="H1772" s="96" t="s">
        <v>546</v>
      </c>
      <c r="I1772" t="s">
        <v>5555</v>
      </c>
      <c r="J1772" t="s">
        <v>5555</v>
      </c>
      <c r="K1772" s="99">
        <v>45777</v>
      </c>
      <c r="L1772" s="99">
        <v>45782</v>
      </c>
      <c r="M1772" s="99">
        <v>45873</v>
      </c>
      <c r="N1772" s="831">
        <v>7</v>
      </c>
      <c r="O1772" s="111">
        <v>227117</v>
      </c>
      <c r="P1772" s="99">
        <v>46969</v>
      </c>
      <c r="Q1772" s="111">
        <v>227117</v>
      </c>
      <c r="R1772">
        <v>31047152</v>
      </c>
      <c r="S1772" s="99">
        <v>45782</v>
      </c>
    </row>
    <row r="1773" spans="1:19" ht="15" customHeight="1">
      <c r="A1773" s="15">
        <v>1773</v>
      </c>
      <c r="B1773" s="102" t="s">
        <v>3086</v>
      </c>
      <c r="C1773" t="s">
        <v>5556</v>
      </c>
      <c r="D1773" t="s">
        <v>3110</v>
      </c>
      <c r="E1773" s="96" t="s">
        <v>3117</v>
      </c>
      <c r="F1773" s="96" t="s">
        <v>3578</v>
      </c>
      <c r="G1773">
        <v>25186434</v>
      </c>
      <c r="H1773" s="96" t="s">
        <v>271</v>
      </c>
      <c r="I1773" t="s">
        <v>5557</v>
      </c>
      <c r="J1773" t="s">
        <v>5557</v>
      </c>
      <c r="K1773" s="99">
        <v>45754</v>
      </c>
      <c r="L1773" s="99">
        <v>45755</v>
      </c>
      <c r="M1773" s="99">
        <v>46484</v>
      </c>
      <c r="N1773" s="831">
        <v>6</v>
      </c>
      <c r="O1773" s="111">
        <v>145200</v>
      </c>
      <c r="P1773" s="99">
        <v>46484</v>
      </c>
      <c r="Q1773" s="840">
        <v>290400</v>
      </c>
      <c r="R1773">
        <v>30756752</v>
      </c>
      <c r="S1773" s="99">
        <v>45755</v>
      </c>
    </row>
    <row r="1774" spans="1:19" ht="15" customHeight="1">
      <c r="A1774" s="15">
        <v>1774</v>
      </c>
      <c r="B1774" s="102" t="s">
        <v>1555</v>
      </c>
      <c r="C1774" t="s">
        <v>5547</v>
      </c>
      <c r="D1774" t="s">
        <v>3087</v>
      </c>
      <c r="E1774" s="96" t="s">
        <v>4294</v>
      </c>
      <c r="F1774" s="96" t="s">
        <v>5548</v>
      </c>
      <c r="G1774">
        <v>29022614</v>
      </c>
      <c r="H1774" s="96" t="s">
        <v>830</v>
      </c>
      <c r="I1774" s="96" t="s">
        <v>5549</v>
      </c>
      <c r="J1774" t="s">
        <v>5549</v>
      </c>
      <c r="K1774" s="99">
        <v>45741</v>
      </c>
      <c r="L1774" s="99">
        <v>45764</v>
      </c>
      <c r="M1774" s="99">
        <v>45777</v>
      </c>
      <c r="N1774" s="831">
        <v>7</v>
      </c>
      <c r="O1774" s="111">
        <v>6000</v>
      </c>
      <c r="P1774" s="99">
        <v>45777</v>
      </c>
    </row>
    <row r="1775" spans="1:19" ht="15" customHeight="1">
      <c r="A1775" s="15">
        <v>1775</v>
      </c>
      <c r="B1775" s="102" t="s">
        <v>1555</v>
      </c>
      <c r="C1775" t="s">
        <v>5558</v>
      </c>
      <c r="D1775" t="s">
        <v>3110</v>
      </c>
      <c r="E1775" s="96" t="s">
        <v>3197</v>
      </c>
      <c r="F1775" s="96" t="s">
        <v>5559</v>
      </c>
      <c r="G1775">
        <v>29058155</v>
      </c>
      <c r="H1775" s="96" t="s">
        <v>546</v>
      </c>
      <c r="I1775" t="s">
        <v>5560</v>
      </c>
      <c r="J1775" t="s">
        <v>5560</v>
      </c>
      <c r="K1775" s="99">
        <v>45763</v>
      </c>
      <c r="L1775" s="99">
        <v>45763</v>
      </c>
      <c r="M1775" s="99">
        <v>45792</v>
      </c>
      <c r="N1775" s="831">
        <v>7</v>
      </c>
      <c r="O1775" s="111">
        <v>241395</v>
      </c>
      <c r="P1775" s="99">
        <v>45792</v>
      </c>
      <c r="Q1775" s="833" t="s">
        <v>5561</v>
      </c>
      <c r="R1775">
        <v>30860308</v>
      </c>
      <c r="S1775" s="99">
        <v>45763</v>
      </c>
    </row>
    <row r="1776" spans="1:19" ht="15" customHeight="1">
      <c r="A1776" s="15">
        <v>1776</v>
      </c>
      <c r="B1776" s="102" t="s">
        <v>3086</v>
      </c>
      <c r="C1776" t="s">
        <v>5562</v>
      </c>
      <c r="D1776" t="s">
        <v>4667</v>
      </c>
      <c r="E1776" s="96" t="s">
        <v>5563</v>
      </c>
      <c r="F1776" s="96" t="s">
        <v>3170</v>
      </c>
      <c r="G1776" s="96">
        <v>70099618</v>
      </c>
      <c r="H1776" s="96" t="s">
        <v>5564</v>
      </c>
      <c r="I1776" s="96" t="s">
        <v>5606</v>
      </c>
      <c r="J1776" s="96" t="s">
        <v>5606</v>
      </c>
      <c r="K1776" s="99">
        <v>45757</v>
      </c>
      <c r="L1776" s="99">
        <v>45758</v>
      </c>
      <c r="M1776" s="99">
        <v>46356</v>
      </c>
      <c r="N1776" s="831">
        <v>7</v>
      </c>
      <c r="O1776" s="111">
        <v>10011993</v>
      </c>
      <c r="P1776" s="99">
        <v>46356</v>
      </c>
      <c r="Q1776" s="841">
        <v>10011993</v>
      </c>
      <c r="R1776" t="s">
        <v>6249</v>
      </c>
      <c r="S1776" s="99" t="s">
        <v>6250</v>
      </c>
    </row>
    <row r="1777" spans="1:19" ht="15" customHeight="1">
      <c r="A1777" s="15">
        <v>1777</v>
      </c>
      <c r="B1777" s="102" t="s">
        <v>1555</v>
      </c>
      <c r="C1777" t="s">
        <v>5565</v>
      </c>
      <c r="D1777" t="s">
        <v>3110</v>
      </c>
      <c r="E1777" s="96" t="s">
        <v>3197</v>
      </c>
      <c r="F1777" s="96" t="s">
        <v>5566</v>
      </c>
      <c r="G1777">
        <v>48033758</v>
      </c>
      <c r="H1777" s="96" t="s">
        <v>546</v>
      </c>
      <c r="I1777" s="96" t="s">
        <v>5567</v>
      </c>
      <c r="J1777" s="96" t="s">
        <v>5567</v>
      </c>
      <c r="K1777" s="99">
        <v>45754</v>
      </c>
      <c r="L1777" s="99">
        <v>45755</v>
      </c>
      <c r="M1777" s="99">
        <v>45784</v>
      </c>
      <c r="N1777" s="831">
        <v>7</v>
      </c>
      <c r="O1777" s="111">
        <v>1208237.22</v>
      </c>
      <c r="P1777" s="99">
        <v>45784</v>
      </c>
      <c r="Q1777" s="840">
        <v>1208237.22</v>
      </c>
      <c r="R1777">
        <v>30756692</v>
      </c>
      <c r="S1777" s="99">
        <v>45755</v>
      </c>
    </row>
    <row r="1778" spans="1:19" ht="15" customHeight="1">
      <c r="A1778" s="15">
        <v>1778</v>
      </c>
      <c r="B1778" s="102" t="s">
        <v>3086</v>
      </c>
      <c r="C1778" t="s">
        <v>5568</v>
      </c>
      <c r="D1778" t="s">
        <v>3116</v>
      </c>
      <c r="E1778" s="96" t="s">
        <v>3166</v>
      </c>
      <c r="F1778" s="15" t="s">
        <v>3167</v>
      </c>
      <c r="G1778">
        <v>70106975</v>
      </c>
      <c r="H1778" s="96" t="s">
        <v>258</v>
      </c>
      <c r="I1778" t="s">
        <v>5569</v>
      </c>
      <c r="J1778" t="s">
        <v>5569</v>
      </c>
      <c r="K1778" s="99">
        <v>45497</v>
      </c>
      <c r="L1778" s="99">
        <v>45497</v>
      </c>
      <c r="M1778" s="99">
        <v>47299</v>
      </c>
      <c r="N1778" s="831">
        <v>4</v>
      </c>
      <c r="O1778" s="111">
        <v>315188</v>
      </c>
      <c r="P1778" s="99">
        <v>47299</v>
      </c>
      <c r="Q1778" s="111"/>
    </row>
    <row r="1779" spans="1:19" ht="15" customHeight="1">
      <c r="A1779" s="15">
        <v>1779</v>
      </c>
      <c r="B1779" s="102" t="s">
        <v>1555</v>
      </c>
      <c r="C1779" t="s">
        <v>5573</v>
      </c>
      <c r="D1779" t="s">
        <v>3087</v>
      </c>
      <c r="E1779" s="96" t="s">
        <v>4294</v>
      </c>
      <c r="F1779" s="96" t="s">
        <v>5575</v>
      </c>
      <c r="G1779">
        <v>11036</v>
      </c>
      <c r="H1779" s="96" t="s">
        <v>830</v>
      </c>
      <c r="I1779" s="96" t="s">
        <v>5577</v>
      </c>
      <c r="J1779" s="96" t="s">
        <v>5577</v>
      </c>
      <c r="K1779" s="832">
        <v>45747</v>
      </c>
      <c r="L1779" s="99">
        <v>45751</v>
      </c>
      <c r="M1779" s="99">
        <v>45751</v>
      </c>
      <c r="N1779" s="831">
        <v>7</v>
      </c>
      <c r="O1779" s="111">
        <v>500</v>
      </c>
      <c r="P1779" s="99">
        <v>45751</v>
      </c>
    </row>
    <row r="1780" spans="1:19" ht="15" customHeight="1">
      <c r="A1780" s="15">
        <v>1780</v>
      </c>
      <c r="B1780" s="102" t="s">
        <v>1555</v>
      </c>
      <c r="C1780" t="s">
        <v>5574</v>
      </c>
      <c r="D1780" t="s">
        <v>3087</v>
      </c>
      <c r="E1780" s="96" t="s">
        <v>4294</v>
      </c>
      <c r="F1780" s="96" t="s">
        <v>5576</v>
      </c>
      <c r="G1780">
        <v>11037</v>
      </c>
      <c r="H1780" s="96" t="s">
        <v>830</v>
      </c>
      <c r="I1780" s="96" t="s">
        <v>5578</v>
      </c>
      <c r="J1780" s="96" t="s">
        <v>5578</v>
      </c>
      <c r="K1780" s="99">
        <v>45747</v>
      </c>
      <c r="L1780" s="99">
        <v>45748</v>
      </c>
      <c r="M1780" s="99">
        <v>45930</v>
      </c>
      <c r="O1780" s="111">
        <v>0</v>
      </c>
      <c r="P1780" s="99">
        <v>45930</v>
      </c>
    </row>
    <row r="1781" spans="1:19" ht="15" customHeight="1">
      <c r="A1781" s="15">
        <v>1781</v>
      </c>
      <c r="B1781" s="102" t="s">
        <v>1555</v>
      </c>
      <c r="C1781" s="16" t="s">
        <v>5579</v>
      </c>
      <c r="D1781" s="15" t="s">
        <v>3087</v>
      </c>
      <c r="E1781" s="3" t="s">
        <v>4294</v>
      </c>
      <c r="F1781" s="15" t="s">
        <v>5580</v>
      </c>
      <c r="G1781" s="17">
        <v>11055</v>
      </c>
      <c r="H1781" s="2" t="s">
        <v>830</v>
      </c>
      <c r="I1781" s="2" t="s">
        <v>5581</v>
      </c>
      <c r="J1781" t="s">
        <v>5582</v>
      </c>
      <c r="K1781" s="99">
        <v>45748</v>
      </c>
      <c r="L1781" s="99">
        <v>45748</v>
      </c>
      <c r="M1781" s="99">
        <v>45808</v>
      </c>
      <c r="N1781" s="831">
        <v>7</v>
      </c>
      <c r="O1781" s="111">
        <v>1500</v>
      </c>
      <c r="P1781" s="99">
        <v>45808</v>
      </c>
    </row>
    <row r="1782" spans="1:19" ht="15" customHeight="1">
      <c r="A1782" s="15">
        <v>1782</v>
      </c>
      <c r="B1782" s="102" t="s">
        <v>3086</v>
      </c>
      <c r="C1782" t="s">
        <v>5583</v>
      </c>
      <c r="D1782" t="s">
        <v>3087</v>
      </c>
      <c r="E1782" s="96" t="s">
        <v>3093</v>
      </c>
      <c r="F1782" s="96" t="s">
        <v>4634</v>
      </c>
      <c r="G1782">
        <v>64165</v>
      </c>
      <c r="H1782" s="96" t="s">
        <v>5584</v>
      </c>
      <c r="I1782" t="s">
        <v>5585</v>
      </c>
      <c r="J1782" t="s">
        <v>5585</v>
      </c>
      <c r="K1782" s="99">
        <v>45754</v>
      </c>
      <c r="L1782" s="99">
        <v>45754</v>
      </c>
      <c r="M1782" s="99">
        <v>2958465</v>
      </c>
      <c r="O1782" s="111"/>
      <c r="P1782" s="99">
        <v>2958465</v>
      </c>
    </row>
    <row r="1783" spans="1:19" ht="15" customHeight="1">
      <c r="A1783" s="15">
        <v>1783</v>
      </c>
      <c r="B1783" s="102" t="s">
        <v>1555</v>
      </c>
      <c r="C1783" t="s">
        <v>5586</v>
      </c>
      <c r="D1783" t="s">
        <v>3110</v>
      </c>
      <c r="E1783" s="96" t="s">
        <v>3369</v>
      </c>
      <c r="F1783" s="96" t="s">
        <v>3928</v>
      </c>
      <c r="G1783">
        <v>44265778</v>
      </c>
      <c r="H1783" s="96" t="s">
        <v>482</v>
      </c>
      <c r="I1783" t="s">
        <v>5587</v>
      </c>
      <c r="J1783" t="s">
        <v>5587</v>
      </c>
      <c r="K1783" s="99">
        <v>45761</v>
      </c>
      <c r="L1783" s="99">
        <v>45762</v>
      </c>
      <c r="M1783" s="99">
        <v>45782</v>
      </c>
      <c r="N1783" s="831">
        <v>7</v>
      </c>
      <c r="O1783" s="111">
        <v>214000</v>
      </c>
      <c r="P1783" s="99">
        <v>45782</v>
      </c>
      <c r="Q1783" s="840">
        <v>214000</v>
      </c>
      <c r="R1783">
        <v>30831912</v>
      </c>
      <c r="S1783" s="99">
        <v>45762</v>
      </c>
    </row>
    <row r="1784" spans="1:19" ht="15" customHeight="1">
      <c r="A1784" s="15">
        <v>1784</v>
      </c>
      <c r="B1784" s="102" t="s">
        <v>1555</v>
      </c>
      <c r="C1784" t="s">
        <v>5588</v>
      </c>
      <c r="D1784" t="s">
        <v>3087</v>
      </c>
      <c r="E1784" s="96" t="s">
        <v>4294</v>
      </c>
      <c r="F1784" s="96" t="s">
        <v>5589</v>
      </c>
      <c r="G1784">
        <v>11080</v>
      </c>
      <c r="H1784" s="96" t="s">
        <v>830</v>
      </c>
      <c r="I1784" t="s">
        <v>5590</v>
      </c>
      <c r="J1784" t="s">
        <v>5590</v>
      </c>
      <c r="K1784" s="99">
        <v>45754</v>
      </c>
      <c r="L1784" s="99">
        <v>45791</v>
      </c>
      <c r="M1784" s="99">
        <v>45800</v>
      </c>
      <c r="N1784" s="838">
        <v>7</v>
      </c>
      <c r="O1784" s="111">
        <v>2500</v>
      </c>
      <c r="P1784" s="99">
        <v>45800</v>
      </c>
    </row>
    <row r="1785" spans="1:19" ht="15" customHeight="1">
      <c r="A1785" s="15">
        <v>1785</v>
      </c>
      <c r="B1785" s="102" t="s">
        <v>1555</v>
      </c>
      <c r="C1785" t="s">
        <v>5591</v>
      </c>
      <c r="D1785" t="s">
        <v>3087</v>
      </c>
      <c r="E1785" s="96" t="s">
        <v>4294</v>
      </c>
      <c r="F1785" s="96" t="s">
        <v>5592</v>
      </c>
      <c r="G1785">
        <v>11081</v>
      </c>
      <c r="H1785" s="96" t="s">
        <v>830</v>
      </c>
      <c r="I1785" t="s">
        <v>5593</v>
      </c>
      <c r="J1785" t="s">
        <v>5593</v>
      </c>
      <c r="K1785" s="99">
        <v>45754</v>
      </c>
      <c r="L1785" s="99">
        <v>45778</v>
      </c>
      <c r="M1785" s="99">
        <v>45808</v>
      </c>
      <c r="N1785" s="838">
        <v>7</v>
      </c>
      <c r="O1785" s="111">
        <v>3500</v>
      </c>
      <c r="P1785" s="99">
        <v>45808</v>
      </c>
    </row>
    <row r="1786" spans="1:19" ht="15" customHeight="1">
      <c r="A1786" s="15">
        <v>1786</v>
      </c>
      <c r="B1786" s="102" t="s">
        <v>1555</v>
      </c>
      <c r="C1786" t="s">
        <v>5594</v>
      </c>
      <c r="D1786" t="s">
        <v>3087</v>
      </c>
      <c r="E1786" s="96" t="s">
        <v>4294</v>
      </c>
      <c r="F1786" s="96" t="s">
        <v>5595</v>
      </c>
      <c r="G1786">
        <v>11082</v>
      </c>
      <c r="H1786" s="96" t="s">
        <v>830</v>
      </c>
      <c r="I1786" t="s">
        <v>5596</v>
      </c>
      <c r="J1786" t="s">
        <v>5596</v>
      </c>
      <c r="K1786" s="99">
        <v>45754</v>
      </c>
      <c r="L1786" s="99">
        <v>45754</v>
      </c>
      <c r="M1786" s="99">
        <v>45900</v>
      </c>
      <c r="N1786" s="838">
        <v>7</v>
      </c>
      <c r="O1786" s="111">
        <v>500</v>
      </c>
      <c r="P1786" s="99">
        <v>45900</v>
      </c>
    </row>
    <row r="1787" spans="1:19" ht="15" customHeight="1">
      <c r="A1787" s="15">
        <v>1787</v>
      </c>
      <c r="B1787" s="102" t="s">
        <v>1555</v>
      </c>
      <c r="C1787" t="s">
        <v>5597</v>
      </c>
      <c r="D1787" t="s">
        <v>3087</v>
      </c>
      <c r="E1787" s="96" t="s">
        <v>4294</v>
      </c>
      <c r="F1787" s="96" t="s">
        <v>5598</v>
      </c>
      <c r="G1787">
        <v>11083</v>
      </c>
      <c r="H1787" s="96" t="s">
        <v>830</v>
      </c>
      <c r="I1787" t="s">
        <v>5599</v>
      </c>
      <c r="J1787" t="s">
        <v>5599</v>
      </c>
      <c r="K1787" s="99">
        <v>45754</v>
      </c>
      <c r="L1787" s="99">
        <v>45754</v>
      </c>
      <c r="M1787" s="99">
        <v>45900</v>
      </c>
      <c r="N1787" s="838">
        <v>7</v>
      </c>
      <c r="O1787" s="111">
        <v>500</v>
      </c>
      <c r="P1787" s="99">
        <v>45900</v>
      </c>
    </row>
    <row r="1788" spans="1:19" ht="15" customHeight="1">
      <c r="A1788" s="15">
        <v>1788</v>
      </c>
      <c r="B1788" s="102" t="s">
        <v>1555</v>
      </c>
      <c r="C1788" t="s">
        <v>5600</v>
      </c>
      <c r="D1788" t="s">
        <v>3087</v>
      </c>
      <c r="E1788" s="96" t="s">
        <v>4294</v>
      </c>
      <c r="F1788" s="96" t="s">
        <v>5601</v>
      </c>
      <c r="G1788">
        <v>11084</v>
      </c>
      <c r="H1788" s="96" t="s">
        <v>830</v>
      </c>
      <c r="I1788" s="96" t="s">
        <v>5602</v>
      </c>
      <c r="J1788" s="96" t="s">
        <v>5602</v>
      </c>
      <c r="K1788" s="99">
        <v>45754</v>
      </c>
      <c r="L1788" s="99">
        <v>45754</v>
      </c>
      <c r="M1788" s="99">
        <v>45900</v>
      </c>
      <c r="N1788" s="838">
        <v>7</v>
      </c>
      <c r="O1788" s="111">
        <v>500</v>
      </c>
      <c r="P1788" s="99">
        <v>45900</v>
      </c>
    </row>
    <row r="1789" spans="1:19" ht="15" customHeight="1">
      <c r="A1789" s="15">
        <v>1789</v>
      </c>
      <c r="B1789" s="102" t="s">
        <v>3086</v>
      </c>
      <c r="C1789" t="s">
        <v>5603</v>
      </c>
      <c r="D1789" t="s">
        <v>3087</v>
      </c>
      <c r="E1789" s="96" t="s">
        <v>3202</v>
      </c>
      <c r="F1789" s="96" t="s">
        <v>5605</v>
      </c>
      <c r="G1789">
        <v>27226158</v>
      </c>
      <c r="H1789" s="96" t="s">
        <v>361</v>
      </c>
      <c r="I1789" s="96" t="s">
        <v>5604</v>
      </c>
      <c r="J1789" s="96" t="s">
        <v>5604</v>
      </c>
      <c r="K1789" s="99">
        <v>45775</v>
      </c>
      <c r="L1789" s="99">
        <v>45775</v>
      </c>
      <c r="M1789" s="99">
        <v>46139</v>
      </c>
      <c r="N1789" s="839">
        <v>6</v>
      </c>
      <c r="O1789" s="111">
        <v>1089000</v>
      </c>
      <c r="P1789" s="99">
        <v>46139</v>
      </c>
      <c r="Q1789" s="111">
        <v>1089000</v>
      </c>
      <c r="R1789">
        <v>30980000</v>
      </c>
      <c r="S1789" s="99">
        <v>45775</v>
      </c>
    </row>
    <row r="1790" spans="1:19" ht="15" customHeight="1">
      <c r="A1790" s="15">
        <v>1790</v>
      </c>
      <c r="B1790" s="102" t="s">
        <v>1555</v>
      </c>
      <c r="C1790" t="s">
        <v>5607</v>
      </c>
      <c r="D1790" t="s">
        <v>3110</v>
      </c>
      <c r="E1790" s="96" t="s">
        <v>3197</v>
      </c>
      <c r="F1790" s="837" t="s">
        <v>5608</v>
      </c>
      <c r="G1790" s="66">
        <v>25367463</v>
      </c>
      <c r="H1790" s="96" t="s">
        <v>546</v>
      </c>
      <c r="I1790" s="112" t="s">
        <v>5609</v>
      </c>
      <c r="J1790" s="112" t="s">
        <v>5609</v>
      </c>
      <c r="K1790" s="99">
        <v>45777</v>
      </c>
      <c r="L1790" s="99">
        <v>45777</v>
      </c>
      <c r="M1790" s="99">
        <v>45792</v>
      </c>
      <c r="N1790" s="824">
        <v>7</v>
      </c>
      <c r="O1790" s="111">
        <v>1334872</v>
      </c>
      <c r="P1790" s="99">
        <v>45792</v>
      </c>
      <c r="Q1790" s="840">
        <v>1334872</v>
      </c>
      <c r="R1790">
        <v>31017604</v>
      </c>
      <c r="S1790" s="99">
        <v>45777</v>
      </c>
    </row>
    <row r="1791" spans="1:19" ht="15" customHeight="1">
      <c r="A1791" s="15">
        <v>1791</v>
      </c>
      <c r="B1791" s="102" t="s">
        <v>3086</v>
      </c>
      <c r="C1791" t="s">
        <v>5612</v>
      </c>
      <c r="D1791" t="s">
        <v>3110</v>
      </c>
      <c r="E1791" s="96" t="s">
        <v>3157</v>
      </c>
      <c r="F1791" t="s">
        <v>4115</v>
      </c>
      <c r="G1791">
        <v>241245</v>
      </c>
      <c r="H1791" s="96" t="s">
        <v>250</v>
      </c>
      <c r="I1791" t="s">
        <v>5613</v>
      </c>
      <c r="J1791" t="s">
        <v>5613</v>
      </c>
      <c r="K1791" s="99">
        <v>45763</v>
      </c>
      <c r="L1791" s="99">
        <v>45768</v>
      </c>
      <c r="M1791" s="99">
        <v>47603</v>
      </c>
      <c r="N1791" s="824">
        <v>1</v>
      </c>
      <c r="O1791" s="111">
        <v>432000</v>
      </c>
      <c r="P1791" s="99">
        <v>47603</v>
      </c>
      <c r="Q1791" s="111">
        <v>2160000</v>
      </c>
      <c r="R1791">
        <v>30860468</v>
      </c>
      <c r="S1791" s="99">
        <v>45763</v>
      </c>
    </row>
    <row r="1792" spans="1:19" ht="15" customHeight="1">
      <c r="A1792" s="15">
        <v>1792</v>
      </c>
      <c r="B1792" s="102" t="s">
        <v>1555</v>
      </c>
      <c r="C1792" t="s">
        <v>5614</v>
      </c>
      <c r="D1792" t="s">
        <v>3087</v>
      </c>
      <c r="E1792" s="96" t="s">
        <v>4294</v>
      </c>
      <c r="F1792" s="96" t="s">
        <v>5615</v>
      </c>
      <c r="G1792">
        <v>11092</v>
      </c>
      <c r="H1792" s="96" t="s">
        <v>830</v>
      </c>
      <c r="I1792" t="s">
        <v>5616</v>
      </c>
      <c r="J1792" t="s">
        <v>5616</v>
      </c>
      <c r="K1792" s="99">
        <v>45754</v>
      </c>
      <c r="L1792" s="99">
        <v>45754</v>
      </c>
      <c r="M1792" s="99">
        <v>45900</v>
      </c>
      <c r="N1792" s="839">
        <v>7</v>
      </c>
      <c r="O1792" s="111">
        <v>500</v>
      </c>
      <c r="P1792" s="99">
        <v>45900</v>
      </c>
    </row>
    <row r="1793" spans="1:19" ht="15" customHeight="1">
      <c r="A1793" s="15">
        <v>1793</v>
      </c>
      <c r="B1793" s="102" t="s">
        <v>1555</v>
      </c>
      <c r="C1793" s="96" t="s">
        <v>5619</v>
      </c>
      <c r="D1793" t="s">
        <v>3087</v>
      </c>
      <c r="E1793" s="96" t="s">
        <v>3811</v>
      </c>
      <c r="F1793" s="96" t="s">
        <v>5635</v>
      </c>
      <c r="G1793">
        <v>49855221</v>
      </c>
      <c r="H1793" s="96" t="s">
        <v>180</v>
      </c>
      <c r="I1793" s="96" t="s">
        <v>5634</v>
      </c>
      <c r="J1793" s="96" t="s">
        <v>5634</v>
      </c>
      <c r="K1793" s="99">
        <v>45761</v>
      </c>
      <c r="L1793" s="99">
        <v>45820</v>
      </c>
      <c r="M1793" s="99">
        <v>45820</v>
      </c>
      <c r="N1793" s="842"/>
      <c r="O1793" s="111">
        <v>0</v>
      </c>
      <c r="P1793" s="99">
        <v>45820</v>
      </c>
    </row>
    <row r="1794" spans="1:19" ht="15" customHeight="1">
      <c r="A1794" s="15">
        <v>1794</v>
      </c>
      <c r="B1794" s="102" t="s">
        <v>1555</v>
      </c>
      <c r="C1794" t="s">
        <v>5617</v>
      </c>
      <c r="D1794" t="s">
        <v>3087</v>
      </c>
      <c r="E1794" s="96" t="s">
        <v>3811</v>
      </c>
      <c r="F1794" t="s">
        <v>4220</v>
      </c>
      <c r="G1794">
        <v>873489</v>
      </c>
      <c r="H1794" s="96" t="s">
        <v>180</v>
      </c>
      <c r="I1794" t="s">
        <v>5618</v>
      </c>
      <c r="J1794" t="s">
        <v>5618</v>
      </c>
      <c r="K1794" s="99">
        <v>45762</v>
      </c>
      <c r="L1794" s="99">
        <v>45763</v>
      </c>
      <c r="M1794" s="99">
        <v>45763</v>
      </c>
      <c r="N1794" s="843"/>
      <c r="O1794" s="111">
        <v>0</v>
      </c>
      <c r="P1794" s="99">
        <v>45763</v>
      </c>
    </row>
    <row r="1795" spans="1:19" ht="15" customHeight="1">
      <c r="A1795" s="15">
        <v>1795</v>
      </c>
      <c r="B1795" s="102" t="s">
        <v>1555</v>
      </c>
      <c r="C1795" t="s">
        <v>5620</v>
      </c>
      <c r="D1795" t="s">
        <v>3087</v>
      </c>
      <c r="E1795" s="96" t="s">
        <v>4294</v>
      </c>
      <c r="F1795" s="96" t="s">
        <v>4772</v>
      </c>
      <c r="G1795">
        <v>8749</v>
      </c>
      <c r="H1795" s="96" t="s">
        <v>830</v>
      </c>
      <c r="I1795" s="96" t="s">
        <v>5621</v>
      </c>
      <c r="J1795" s="96" t="s">
        <v>5621</v>
      </c>
      <c r="K1795" s="99">
        <v>45758</v>
      </c>
      <c r="L1795" s="99">
        <v>45761</v>
      </c>
      <c r="M1795" s="99">
        <v>45772</v>
      </c>
      <c r="N1795" s="843">
        <v>7</v>
      </c>
      <c r="O1795" s="111">
        <v>4000</v>
      </c>
      <c r="P1795" s="99">
        <v>45772</v>
      </c>
    </row>
    <row r="1796" spans="1:19" ht="15" customHeight="1">
      <c r="A1796" s="15">
        <v>1796</v>
      </c>
      <c r="B1796" s="102" t="s">
        <v>1555</v>
      </c>
      <c r="C1796" t="s">
        <v>5622</v>
      </c>
      <c r="D1796" t="s">
        <v>3087</v>
      </c>
      <c r="E1796" s="96" t="s">
        <v>4294</v>
      </c>
      <c r="F1796" s="96" t="s">
        <v>5623</v>
      </c>
      <c r="G1796">
        <v>11094</v>
      </c>
      <c r="H1796" s="96" t="s">
        <v>830</v>
      </c>
      <c r="I1796" s="96" t="s">
        <v>5624</v>
      </c>
      <c r="J1796" s="96" t="s">
        <v>5624</v>
      </c>
      <c r="K1796" s="99">
        <v>45761</v>
      </c>
      <c r="L1796" s="99">
        <v>45778</v>
      </c>
      <c r="M1796" s="99">
        <v>45808</v>
      </c>
      <c r="N1796" s="839">
        <v>7</v>
      </c>
      <c r="O1796" s="111">
        <v>2500</v>
      </c>
      <c r="P1796" s="99">
        <v>45808</v>
      </c>
    </row>
    <row r="1797" spans="1:19" ht="15" customHeight="1">
      <c r="A1797" s="15">
        <v>1797</v>
      </c>
      <c r="B1797" s="102" t="s">
        <v>1555</v>
      </c>
      <c r="C1797" t="s">
        <v>5625</v>
      </c>
      <c r="D1797" t="s">
        <v>3087</v>
      </c>
      <c r="E1797" s="96" t="s">
        <v>4294</v>
      </c>
      <c r="F1797" s="96" t="s">
        <v>5626</v>
      </c>
      <c r="G1797">
        <v>11095</v>
      </c>
      <c r="H1797" s="96" t="s">
        <v>830</v>
      </c>
      <c r="I1797" s="96" t="s">
        <v>5627</v>
      </c>
      <c r="J1797" s="96" t="s">
        <v>5627</v>
      </c>
      <c r="K1797" s="99">
        <v>45762</v>
      </c>
      <c r="L1797" s="99">
        <v>45762</v>
      </c>
      <c r="M1797" s="99">
        <v>45900</v>
      </c>
      <c r="N1797" s="831">
        <v>7</v>
      </c>
      <c r="O1797" s="111">
        <v>500</v>
      </c>
      <c r="P1797" s="99">
        <v>45900</v>
      </c>
    </row>
    <row r="1798" spans="1:19" ht="15" customHeight="1">
      <c r="A1798" s="15">
        <v>1798</v>
      </c>
      <c r="B1798" s="102" t="s">
        <v>1555</v>
      </c>
      <c r="C1798" t="s">
        <v>5628</v>
      </c>
      <c r="D1798" t="s">
        <v>3087</v>
      </c>
      <c r="E1798" s="96" t="s">
        <v>4294</v>
      </c>
      <c r="F1798" s="96" t="s">
        <v>5629</v>
      </c>
      <c r="G1798">
        <v>11096</v>
      </c>
      <c r="H1798" s="96" t="s">
        <v>830</v>
      </c>
      <c r="I1798" s="96" t="s">
        <v>5630</v>
      </c>
      <c r="J1798" s="96" t="s">
        <v>5630</v>
      </c>
      <c r="K1798" s="99">
        <v>45761</v>
      </c>
      <c r="L1798" s="99">
        <v>45761</v>
      </c>
      <c r="M1798" s="99">
        <v>45808</v>
      </c>
      <c r="N1798" s="831">
        <v>7</v>
      </c>
      <c r="O1798" s="111">
        <v>1500</v>
      </c>
      <c r="P1798" s="99">
        <v>45808</v>
      </c>
    </row>
    <row r="1799" spans="1:19" ht="15" customHeight="1">
      <c r="A1799" s="15">
        <v>1799</v>
      </c>
      <c r="B1799" s="102" t="s">
        <v>1555</v>
      </c>
      <c r="C1799" t="s">
        <v>5631</v>
      </c>
      <c r="D1799" t="s">
        <v>3087</v>
      </c>
      <c r="E1799" s="96" t="s">
        <v>4294</v>
      </c>
      <c r="F1799" s="96" t="s">
        <v>5632</v>
      </c>
      <c r="G1799">
        <v>11097</v>
      </c>
      <c r="H1799" s="96" t="s">
        <v>830</v>
      </c>
      <c r="I1799" s="96" t="s">
        <v>5633</v>
      </c>
      <c r="J1799" s="96" t="s">
        <v>5633</v>
      </c>
      <c r="K1799" s="99">
        <v>45758</v>
      </c>
      <c r="L1799" s="99">
        <v>45758</v>
      </c>
      <c r="M1799" s="99">
        <v>45900</v>
      </c>
      <c r="N1799" s="831">
        <v>7</v>
      </c>
      <c r="O1799" s="111">
        <v>2500</v>
      </c>
      <c r="P1799" s="99">
        <v>45900</v>
      </c>
    </row>
    <row r="1800" spans="1:19" ht="15" customHeight="1">
      <c r="A1800" s="15">
        <v>1800</v>
      </c>
      <c r="B1800" s="102" t="s">
        <v>3086</v>
      </c>
      <c r="C1800" t="s">
        <v>5637</v>
      </c>
      <c r="D1800" t="s">
        <v>3139</v>
      </c>
      <c r="E1800" s="96" t="s">
        <v>3117</v>
      </c>
      <c r="F1800" s="96" t="s">
        <v>4938</v>
      </c>
      <c r="G1800">
        <v>18383084</v>
      </c>
      <c r="H1800" s="96" t="s">
        <v>3982</v>
      </c>
      <c r="I1800" s="96" t="s">
        <v>5692</v>
      </c>
      <c r="J1800" s="96" t="s">
        <v>5692</v>
      </c>
      <c r="K1800" s="99">
        <v>45777</v>
      </c>
      <c r="L1800" s="99">
        <v>45777</v>
      </c>
      <c r="M1800" s="99">
        <v>46506</v>
      </c>
      <c r="N1800" s="831">
        <v>6</v>
      </c>
      <c r="O1800" s="111">
        <v>726000</v>
      </c>
      <c r="P1800" s="99">
        <v>46506</v>
      </c>
      <c r="Q1800" s="111">
        <v>726000</v>
      </c>
      <c r="R1800">
        <v>31021020</v>
      </c>
      <c r="S1800" s="99">
        <v>45777</v>
      </c>
    </row>
    <row r="1801" spans="1:19" ht="15" customHeight="1">
      <c r="A1801" s="15">
        <v>1801</v>
      </c>
      <c r="B1801" s="102" t="s">
        <v>1555</v>
      </c>
      <c r="C1801" t="s">
        <v>5638</v>
      </c>
      <c r="D1801" t="s">
        <v>3087</v>
      </c>
      <c r="E1801" s="96" t="s">
        <v>3811</v>
      </c>
      <c r="F1801" s="96" t="s">
        <v>5639</v>
      </c>
      <c r="G1801">
        <v>244341</v>
      </c>
      <c r="H1801" s="96" t="s">
        <v>180</v>
      </c>
      <c r="I1801" t="s">
        <v>5640</v>
      </c>
      <c r="J1801" t="s">
        <v>5640</v>
      </c>
      <c r="K1801" s="99">
        <v>45771</v>
      </c>
      <c r="L1801" s="99">
        <v>45779</v>
      </c>
      <c r="M1801" s="99">
        <v>45779</v>
      </c>
      <c r="N1801" s="831">
        <v>7</v>
      </c>
      <c r="O1801" s="111">
        <v>9990</v>
      </c>
      <c r="P1801" s="99">
        <v>45779</v>
      </c>
    </row>
    <row r="1802" spans="1:19" ht="15" customHeight="1">
      <c r="A1802" s="15">
        <v>1802</v>
      </c>
      <c r="B1802" s="102" t="s">
        <v>1555</v>
      </c>
      <c r="C1802" t="s">
        <v>5641</v>
      </c>
      <c r="D1802" t="s">
        <v>3110</v>
      </c>
      <c r="E1802" s="96" t="s">
        <v>3123</v>
      </c>
      <c r="F1802" s="96" t="s">
        <v>4634</v>
      </c>
      <c r="G1802">
        <v>64165</v>
      </c>
      <c r="H1802" s="96" t="s">
        <v>5292</v>
      </c>
      <c r="I1802" t="s">
        <v>5661</v>
      </c>
      <c r="J1802" t="s">
        <v>5661</v>
      </c>
      <c r="K1802" s="99">
        <v>45777</v>
      </c>
      <c r="L1802" s="99">
        <v>45778</v>
      </c>
      <c r="M1802" s="99">
        <v>45961</v>
      </c>
      <c r="N1802" s="831">
        <v>1</v>
      </c>
      <c r="O1802" s="111">
        <v>197962</v>
      </c>
      <c r="P1802" s="99">
        <v>45961</v>
      </c>
      <c r="Q1802" s="111">
        <v>1385734</v>
      </c>
      <c r="R1802" t="s">
        <v>6253</v>
      </c>
      <c r="S1802" s="99" t="s">
        <v>6254</v>
      </c>
    </row>
    <row r="1803" spans="1:19" ht="15" customHeight="1">
      <c r="A1803" s="15">
        <v>1803</v>
      </c>
      <c r="B1803" s="102" t="s">
        <v>3086</v>
      </c>
      <c r="C1803" t="s">
        <v>5642</v>
      </c>
      <c r="D1803" t="s">
        <v>3110</v>
      </c>
      <c r="E1803" s="96" t="s">
        <v>3958</v>
      </c>
      <c r="F1803" s="96" t="s">
        <v>4634</v>
      </c>
      <c r="G1803">
        <v>64165</v>
      </c>
      <c r="H1803" s="96" t="s">
        <v>5647</v>
      </c>
      <c r="I1803" t="s">
        <v>5662</v>
      </c>
      <c r="J1803" t="s">
        <v>5662</v>
      </c>
      <c r="K1803" s="99">
        <v>45777</v>
      </c>
      <c r="L1803" s="99">
        <v>45777</v>
      </c>
      <c r="M1803" s="99">
        <v>48304</v>
      </c>
      <c r="N1803" s="831">
        <v>7</v>
      </c>
      <c r="O1803" s="111">
        <v>14740.52</v>
      </c>
      <c r="P1803" s="99">
        <v>48304</v>
      </c>
      <c r="Q1803" s="111">
        <v>17836</v>
      </c>
      <c r="R1803">
        <v>31016608</v>
      </c>
      <c r="S1803" s="99">
        <v>45777</v>
      </c>
    </row>
    <row r="1804" spans="1:19" ht="15" customHeight="1">
      <c r="A1804" s="15">
        <v>1804</v>
      </c>
      <c r="B1804" s="102" t="s">
        <v>1555</v>
      </c>
      <c r="C1804" t="s">
        <v>5643</v>
      </c>
      <c r="D1804" t="s">
        <v>3087</v>
      </c>
      <c r="E1804" s="96" t="s">
        <v>3811</v>
      </c>
      <c r="F1804" s="96" t="s">
        <v>3796</v>
      </c>
      <c r="G1804">
        <v>243191</v>
      </c>
      <c r="H1804" s="96" t="s">
        <v>180</v>
      </c>
      <c r="I1804" t="s">
        <v>5644</v>
      </c>
      <c r="J1804" t="s">
        <v>5644</v>
      </c>
      <c r="K1804" s="99">
        <v>45771</v>
      </c>
      <c r="L1804" s="99">
        <v>45771</v>
      </c>
      <c r="M1804" s="99">
        <v>45798</v>
      </c>
      <c r="N1804" s="831">
        <v>7</v>
      </c>
      <c r="O1804" s="111">
        <v>2000</v>
      </c>
      <c r="P1804" s="99">
        <v>45798</v>
      </c>
      <c r="Q1804" s="111"/>
    </row>
    <row r="1805" spans="1:19" ht="15" customHeight="1">
      <c r="A1805" s="15">
        <v>1805</v>
      </c>
      <c r="B1805" s="102" t="s">
        <v>1555</v>
      </c>
      <c r="C1805" t="s">
        <v>5645</v>
      </c>
      <c r="D1805" t="s">
        <v>3110</v>
      </c>
      <c r="E1805" s="96" t="s">
        <v>3369</v>
      </c>
      <c r="F1805" s="96" t="s">
        <v>3928</v>
      </c>
      <c r="G1805">
        <v>44265778</v>
      </c>
      <c r="H1805" s="96" t="s">
        <v>482</v>
      </c>
      <c r="I1805" t="s">
        <v>5646</v>
      </c>
      <c r="J1805" t="s">
        <v>5646</v>
      </c>
      <c r="K1805" s="99">
        <v>45791</v>
      </c>
      <c r="L1805" s="99">
        <v>45791</v>
      </c>
      <c r="M1805" s="99">
        <v>45811</v>
      </c>
      <c r="N1805" s="831">
        <v>7</v>
      </c>
      <c r="O1805" s="111">
        <v>184000</v>
      </c>
      <c r="P1805" s="99">
        <v>45811</v>
      </c>
      <c r="Q1805" s="111">
        <v>184000</v>
      </c>
      <c r="R1805">
        <v>3116804</v>
      </c>
      <c r="S1805" s="99">
        <v>45791</v>
      </c>
    </row>
    <row r="1806" spans="1:19" ht="15" customHeight="1">
      <c r="A1806" s="15">
        <v>1806</v>
      </c>
      <c r="B1806" s="102" t="s">
        <v>1555</v>
      </c>
      <c r="C1806" t="s">
        <v>5648</v>
      </c>
      <c r="D1806" t="s">
        <v>3087</v>
      </c>
      <c r="E1806" s="96" t="s">
        <v>4294</v>
      </c>
      <c r="F1806" s="96" t="s">
        <v>5649</v>
      </c>
      <c r="G1806">
        <v>11109</v>
      </c>
      <c r="H1806" s="96" t="s">
        <v>830</v>
      </c>
      <c r="I1806" t="s">
        <v>5650</v>
      </c>
      <c r="J1806" t="s">
        <v>5650</v>
      </c>
      <c r="K1806" s="99">
        <v>45771</v>
      </c>
      <c r="L1806" s="99">
        <v>45406</v>
      </c>
      <c r="M1806" s="99">
        <v>45900</v>
      </c>
      <c r="N1806" s="831"/>
      <c r="O1806" s="111">
        <v>0</v>
      </c>
      <c r="P1806" s="99">
        <v>45900</v>
      </c>
      <c r="Q1806" s="111"/>
    </row>
    <row r="1807" spans="1:19" ht="15" customHeight="1">
      <c r="A1807" s="15">
        <v>1807</v>
      </c>
      <c r="B1807" s="102" t="s">
        <v>1555</v>
      </c>
      <c r="C1807" t="s">
        <v>5651</v>
      </c>
      <c r="D1807" t="s">
        <v>3087</v>
      </c>
      <c r="E1807" s="96" t="s">
        <v>3811</v>
      </c>
      <c r="F1807" s="96" t="s">
        <v>5652</v>
      </c>
      <c r="G1807">
        <v>4815319</v>
      </c>
      <c r="H1807" s="96" t="s">
        <v>180</v>
      </c>
      <c r="I1807" t="s">
        <v>5653</v>
      </c>
      <c r="J1807" t="s">
        <v>5653</v>
      </c>
      <c r="K1807" s="99">
        <v>45764</v>
      </c>
      <c r="L1807" s="99">
        <v>45773</v>
      </c>
      <c r="M1807" s="99">
        <v>45773</v>
      </c>
      <c r="N1807" s="831"/>
      <c r="O1807" s="111">
        <v>0</v>
      </c>
      <c r="P1807" s="99">
        <v>45773</v>
      </c>
      <c r="Q1807" s="111"/>
    </row>
    <row r="1808" spans="1:19" ht="15" customHeight="1">
      <c r="A1808" s="15">
        <v>1808</v>
      </c>
      <c r="B1808" s="102" t="s">
        <v>1555</v>
      </c>
      <c r="C1808" t="s">
        <v>5654</v>
      </c>
      <c r="D1808" t="s">
        <v>3087</v>
      </c>
      <c r="E1808" s="96" t="s">
        <v>3811</v>
      </c>
      <c r="F1808" s="96" t="s">
        <v>3502</v>
      </c>
      <c r="G1808">
        <v>26747618</v>
      </c>
      <c r="H1808" s="96" t="s">
        <v>180</v>
      </c>
      <c r="I1808" t="s">
        <v>5655</v>
      </c>
      <c r="J1808" t="s">
        <v>5655</v>
      </c>
      <c r="K1808" s="99">
        <v>45725</v>
      </c>
      <c r="L1808" s="99">
        <v>45726</v>
      </c>
      <c r="M1808" s="99">
        <v>45742</v>
      </c>
      <c r="N1808" s="831">
        <v>7</v>
      </c>
      <c r="O1808" s="111">
        <v>31600</v>
      </c>
      <c r="P1808" s="99">
        <v>45742</v>
      </c>
      <c r="Q1808" s="111"/>
    </row>
    <row r="1809" spans="1:19" ht="15" customHeight="1">
      <c r="A1809" s="15">
        <v>1809</v>
      </c>
      <c r="B1809" s="102" t="s">
        <v>3086</v>
      </c>
      <c r="C1809" t="s">
        <v>5656</v>
      </c>
      <c r="D1809" t="s">
        <v>3110</v>
      </c>
      <c r="E1809" s="96" t="s">
        <v>3141</v>
      </c>
      <c r="F1809" s="96" t="s">
        <v>5657</v>
      </c>
      <c r="G1809">
        <v>3328325</v>
      </c>
      <c r="H1809" s="96" t="s">
        <v>4844</v>
      </c>
      <c r="I1809" t="s">
        <v>5658</v>
      </c>
      <c r="J1809" t="s">
        <v>5658</v>
      </c>
      <c r="K1809" s="99">
        <v>45779</v>
      </c>
      <c r="L1809" s="99">
        <v>45782</v>
      </c>
      <c r="M1809" s="99">
        <v>2958465</v>
      </c>
      <c r="N1809" s="831">
        <v>1</v>
      </c>
      <c r="O1809" s="111">
        <v>25000</v>
      </c>
      <c r="P1809" s="99">
        <v>2958465</v>
      </c>
      <c r="Q1809" s="111">
        <v>151250</v>
      </c>
      <c r="R1809">
        <v>31041620</v>
      </c>
      <c r="S1809" s="99">
        <v>45782</v>
      </c>
    </row>
    <row r="1810" spans="1:19" ht="15" customHeight="1">
      <c r="A1810" s="15">
        <v>1810</v>
      </c>
      <c r="B1810" s="102" t="s">
        <v>3086</v>
      </c>
      <c r="C1810" t="s">
        <v>5659</v>
      </c>
      <c r="D1810" t="s">
        <v>3110</v>
      </c>
      <c r="E1810" s="96" t="s">
        <v>3621</v>
      </c>
      <c r="F1810" s="96" t="s">
        <v>3693</v>
      </c>
      <c r="G1810">
        <v>6647561</v>
      </c>
      <c r="H1810" s="96" t="s">
        <v>1991</v>
      </c>
      <c r="I1810" t="s">
        <v>5660</v>
      </c>
      <c r="J1810" t="s">
        <v>5660</v>
      </c>
      <c r="K1810" s="99">
        <v>45811</v>
      </c>
      <c r="L1810" s="99">
        <v>45811</v>
      </c>
      <c r="M1810" s="99">
        <v>2958465</v>
      </c>
      <c r="N1810" s="831">
        <v>1</v>
      </c>
      <c r="O1810" s="111">
        <v>122280</v>
      </c>
      <c r="P1810" s="99">
        <v>2958465</v>
      </c>
      <c r="Q1810" s="111">
        <v>611400</v>
      </c>
      <c r="R1810">
        <v>31403584</v>
      </c>
      <c r="S1810" s="99">
        <v>45811</v>
      </c>
    </row>
    <row r="1811" spans="1:19" ht="15" customHeight="1">
      <c r="A1811" s="15">
        <v>1811</v>
      </c>
      <c r="B1811" s="102" t="s">
        <v>1555</v>
      </c>
      <c r="C1811" t="s">
        <v>5663</v>
      </c>
      <c r="D1811" t="s">
        <v>4667</v>
      </c>
      <c r="E1811" s="96" t="s">
        <v>3197</v>
      </c>
      <c r="F1811" t="s">
        <v>5664</v>
      </c>
      <c r="G1811">
        <v>46902473</v>
      </c>
      <c r="H1811" s="96" t="s">
        <v>546</v>
      </c>
      <c r="I1811" t="s">
        <v>5665</v>
      </c>
      <c r="J1811" t="s">
        <v>5665</v>
      </c>
      <c r="K1811" s="99">
        <v>45789</v>
      </c>
      <c r="L1811" s="99">
        <v>45789</v>
      </c>
      <c r="M1811" s="99">
        <v>45869</v>
      </c>
      <c r="N1811" s="831">
        <v>7</v>
      </c>
      <c r="O1811" s="111">
        <v>159492.51999999999</v>
      </c>
      <c r="P1811" s="99">
        <v>45869</v>
      </c>
      <c r="Q1811" s="111">
        <v>159492.51999999999</v>
      </c>
      <c r="R1811">
        <v>31128940</v>
      </c>
      <c r="S1811" s="99">
        <v>45789</v>
      </c>
    </row>
    <row r="1812" spans="1:19" ht="15" customHeight="1">
      <c r="A1812" s="15">
        <v>1812</v>
      </c>
      <c r="B1812" s="102" t="s">
        <v>3086</v>
      </c>
      <c r="C1812" t="s">
        <v>5666</v>
      </c>
      <c r="D1812" t="s">
        <v>3110</v>
      </c>
      <c r="E1812" s="96" t="s">
        <v>3123</v>
      </c>
      <c r="F1812" s="96" t="s">
        <v>5667</v>
      </c>
      <c r="G1812">
        <v>11085</v>
      </c>
      <c r="H1812" s="96" t="s">
        <v>5292</v>
      </c>
      <c r="I1812" s="96" t="s">
        <v>5668</v>
      </c>
      <c r="J1812" s="96" t="s">
        <v>5668</v>
      </c>
      <c r="K1812" s="99">
        <v>45782</v>
      </c>
      <c r="L1812" s="99">
        <v>45782</v>
      </c>
      <c r="M1812" s="99">
        <v>47607</v>
      </c>
      <c r="N1812" s="831">
        <v>1</v>
      </c>
      <c r="O1812" s="111">
        <v>598800</v>
      </c>
      <c r="P1812" s="99">
        <v>47608</v>
      </c>
      <c r="Q1812" s="111">
        <v>2994000</v>
      </c>
    </row>
    <row r="1813" spans="1:19" ht="15" customHeight="1">
      <c r="A1813" s="15">
        <v>1813</v>
      </c>
      <c r="B1813" s="102" t="s">
        <v>1555</v>
      </c>
      <c r="C1813" t="s">
        <v>5670</v>
      </c>
      <c r="D1813" t="s">
        <v>3110</v>
      </c>
      <c r="E1813" s="96" t="s">
        <v>3958</v>
      </c>
      <c r="F1813" s="96" t="s">
        <v>3627</v>
      </c>
      <c r="G1813">
        <v>24174319</v>
      </c>
      <c r="H1813" s="96" t="s">
        <v>5647</v>
      </c>
      <c r="I1813" s="96" t="s">
        <v>5865</v>
      </c>
      <c r="J1813" s="96" t="s">
        <v>5865</v>
      </c>
      <c r="K1813" s="99">
        <v>45803</v>
      </c>
      <c r="L1813" s="99">
        <v>45803</v>
      </c>
      <c r="M1813" s="99">
        <v>45808</v>
      </c>
      <c r="N1813" s="831">
        <v>1</v>
      </c>
      <c r="O1813" s="111">
        <v>40701</v>
      </c>
      <c r="P1813" s="99">
        <v>45808</v>
      </c>
      <c r="Q1813" s="111">
        <v>40701</v>
      </c>
      <c r="R1813">
        <v>31300880</v>
      </c>
      <c r="S1813" s="99">
        <v>45803</v>
      </c>
    </row>
    <row r="1814" spans="1:19" ht="15" customHeight="1">
      <c r="A1814" s="15">
        <v>1814</v>
      </c>
      <c r="B1814" s="102" t="s">
        <v>3086</v>
      </c>
      <c r="C1814" t="s">
        <v>5673</v>
      </c>
      <c r="D1814" t="s">
        <v>3121</v>
      </c>
      <c r="E1814" s="96" t="s">
        <v>3117</v>
      </c>
      <c r="F1814" s="96" t="s">
        <v>5498</v>
      </c>
      <c r="G1814">
        <v>29055130</v>
      </c>
      <c r="H1814" s="96" t="s">
        <v>3982</v>
      </c>
      <c r="I1814" t="s">
        <v>5727</v>
      </c>
      <c r="J1814" t="s">
        <v>5727</v>
      </c>
      <c r="K1814" s="99">
        <v>45791</v>
      </c>
      <c r="L1814" s="99">
        <v>45791</v>
      </c>
      <c r="M1814" s="99">
        <v>2958465</v>
      </c>
      <c r="N1814" s="831">
        <v>1</v>
      </c>
      <c r="O1814" s="111">
        <v>81312</v>
      </c>
      <c r="P1814" s="99">
        <v>2958465</v>
      </c>
      <c r="Q1814" s="111">
        <v>81312</v>
      </c>
      <c r="R1814">
        <v>31176728</v>
      </c>
      <c r="S1814" s="99">
        <v>45792</v>
      </c>
    </row>
    <row r="1815" spans="1:19" ht="15" customHeight="1">
      <c r="A1815" s="15">
        <v>1815</v>
      </c>
      <c r="B1815" s="102" t="s">
        <v>1555</v>
      </c>
      <c r="C1815" t="s">
        <v>5675</v>
      </c>
      <c r="D1815" t="s">
        <v>3087</v>
      </c>
      <c r="E1815" s="96" t="s">
        <v>3811</v>
      </c>
      <c r="F1815" s="96" t="s">
        <v>3250</v>
      </c>
      <c r="G1815">
        <v>60162694</v>
      </c>
      <c r="H1815" s="96" t="s">
        <v>180</v>
      </c>
      <c r="I1815" t="s">
        <v>5676</v>
      </c>
      <c r="J1815" t="s">
        <v>5676</v>
      </c>
      <c r="K1815" s="99">
        <v>45776</v>
      </c>
      <c r="L1815" s="99">
        <v>45794</v>
      </c>
      <c r="M1815" s="99">
        <v>45794</v>
      </c>
      <c r="O1815" s="111">
        <v>0</v>
      </c>
      <c r="P1815" s="99">
        <v>45794</v>
      </c>
      <c r="Q1815" s="111"/>
    </row>
    <row r="1816" spans="1:19" ht="15" customHeight="1">
      <c r="A1816" s="15">
        <v>1816</v>
      </c>
      <c r="B1816" s="102" t="s">
        <v>1555</v>
      </c>
      <c r="C1816" t="s">
        <v>5677</v>
      </c>
      <c r="D1816" t="s">
        <v>3087</v>
      </c>
      <c r="E1816" s="96" t="s">
        <v>4294</v>
      </c>
      <c r="F1816" s="96" t="s">
        <v>5260</v>
      </c>
      <c r="G1816">
        <v>10800</v>
      </c>
      <c r="H1816" s="96" t="s">
        <v>830</v>
      </c>
      <c r="I1816" t="s">
        <v>5678</v>
      </c>
      <c r="J1816" t="s">
        <v>5678</v>
      </c>
      <c r="K1816" s="99">
        <v>45777</v>
      </c>
      <c r="L1816" s="99">
        <v>45778</v>
      </c>
      <c r="M1816" s="99">
        <v>45900</v>
      </c>
      <c r="O1816" s="111">
        <v>0</v>
      </c>
      <c r="P1816" s="99">
        <v>45900</v>
      </c>
      <c r="Q1816" s="111"/>
    </row>
    <row r="1817" spans="1:19" ht="15" customHeight="1">
      <c r="A1817" s="15">
        <v>1817</v>
      </c>
      <c r="B1817" s="102" t="s">
        <v>1555</v>
      </c>
      <c r="C1817" t="s">
        <v>5679</v>
      </c>
      <c r="D1817" t="s">
        <v>3087</v>
      </c>
      <c r="E1817" s="96" t="s">
        <v>4294</v>
      </c>
      <c r="F1817" s="96" t="s">
        <v>5680</v>
      </c>
      <c r="G1817">
        <v>11122</v>
      </c>
      <c r="H1817" s="96" t="s">
        <v>830</v>
      </c>
      <c r="I1817" t="s">
        <v>5681</v>
      </c>
      <c r="J1817" t="s">
        <v>5681</v>
      </c>
      <c r="K1817" s="99">
        <v>45782</v>
      </c>
      <c r="L1817" s="99">
        <v>45811</v>
      </c>
      <c r="M1817" s="99">
        <v>45811</v>
      </c>
      <c r="N1817" s="831">
        <v>7</v>
      </c>
      <c r="O1817" s="111">
        <v>500</v>
      </c>
      <c r="P1817" s="99">
        <v>45811</v>
      </c>
      <c r="Q1817" s="111"/>
    </row>
    <row r="1818" spans="1:19" ht="15" customHeight="1">
      <c r="A1818" s="15">
        <v>1818</v>
      </c>
      <c r="B1818" s="102" t="s">
        <v>1555</v>
      </c>
      <c r="C1818" t="s">
        <v>5682</v>
      </c>
      <c r="D1818" t="s">
        <v>3087</v>
      </c>
      <c r="E1818" s="96" t="s">
        <v>3811</v>
      </c>
      <c r="F1818" s="96" t="s">
        <v>5684</v>
      </c>
      <c r="G1818">
        <v>70807469</v>
      </c>
      <c r="H1818" s="96" t="s">
        <v>180</v>
      </c>
      <c r="I1818" t="s">
        <v>5683</v>
      </c>
      <c r="J1818" t="s">
        <v>5683</v>
      </c>
      <c r="K1818" s="99">
        <v>45783</v>
      </c>
      <c r="L1818" s="99">
        <v>45787</v>
      </c>
      <c r="M1818" s="99">
        <v>45787</v>
      </c>
      <c r="O1818" s="111">
        <v>0</v>
      </c>
      <c r="P1818" s="99">
        <v>45787</v>
      </c>
      <c r="Q1818" s="111"/>
    </row>
    <row r="1819" spans="1:19" ht="15" customHeight="1">
      <c r="A1819" s="15">
        <v>1819</v>
      </c>
      <c r="B1819" s="102" t="s">
        <v>1555</v>
      </c>
      <c r="C1819" t="s">
        <v>5685</v>
      </c>
      <c r="D1819" t="s">
        <v>3087</v>
      </c>
      <c r="E1819" s="96" t="s">
        <v>4294</v>
      </c>
      <c r="F1819" s="96" t="s">
        <v>5431</v>
      </c>
      <c r="G1819">
        <v>10960</v>
      </c>
      <c r="H1819" s="96" t="s">
        <v>830</v>
      </c>
      <c r="I1819" t="s">
        <v>5686</v>
      </c>
      <c r="J1819" t="s">
        <v>5686</v>
      </c>
      <c r="K1819" s="99">
        <v>45782</v>
      </c>
      <c r="L1819" s="99">
        <v>45866</v>
      </c>
      <c r="M1819" s="99">
        <v>45870</v>
      </c>
      <c r="N1819" s="859">
        <v>7</v>
      </c>
      <c r="O1819" s="111">
        <v>1000</v>
      </c>
      <c r="P1819" s="99">
        <v>45870</v>
      </c>
      <c r="Q1819" s="111"/>
    </row>
    <row r="1820" spans="1:19" ht="15" customHeight="1">
      <c r="A1820" s="15">
        <v>1820</v>
      </c>
      <c r="B1820" s="102" t="s">
        <v>1555</v>
      </c>
      <c r="C1820" s="96" t="s">
        <v>5687</v>
      </c>
      <c r="D1820" t="s">
        <v>3087</v>
      </c>
      <c r="E1820" s="96" t="s">
        <v>3811</v>
      </c>
      <c r="F1820" s="96" t="s">
        <v>5688</v>
      </c>
      <c r="G1820">
        <v>70885371</v>
      </c>
      <c r="H1820" s="96" t="s">
        <v>180</v>
      </c>
      <c r="I1820" s="96" t="s">
        <v>5689</v>
      </c>
      <c r="J1820" t="s">
        <v>5689</v>
      </c>
      <c r="K1820" s="99">
        <v>45782</v>
      </c>
      <c r="L1820" s="99">
        <v>45783</v>
      </c>
      <c r="M1820" s="99">
        <v>45783</v>
      </c>
      <c r="N1820" s="859"/>
      <c r="O1820" s="111">
        <v>0</v>
      </c>
      <c r="P1820" s="99">
        <v>45783</v>
      </c>
      <c r="Q1820" s="111"/>
    </row>
    <row r="1821" spans="1:19" ht="15" customHeight="1">
      <c r="A1821" s="15">
        <v>1821</v>
      </c>
      <c r="B1821" s="102" t="s">
        <v>1555</v>
      </c>
      <c r="C1821" t="s">
        <v>5690</v>
      </c>
      <c r="D1821" t="s">
        <v>3087</v>
      </c>
      <c r="E1821" s="96" t="s">
        <v>3811</v>
      </c>
      <c r="F1821" s="96" t="s">
        <v>4230</v>
      </c>
      <c r="G1821">
        <v>1420054</v>
      </c>
      <c r="H1821" s="96" t="s">
        <v>180</v>
      </c>
      <c r="I1821" s="96" t="s">
        <v>5691</v>
      </c>
      <c r="J1821" s="96" t="s">
        <v>5691</v>
      </c>
      <c r="K1821" s="99">
        <v>45779</v>
      </c>
      <c r="L1821" s="99">
        <v>45780</v>
      </c>
      <c r="M1821" s="99">
        <v>45781</v>
      </c>
      <c r="N1821" s="859">
        <v>7</v>
      </c>
      <c r="O1821" s="111">
        <v>5000</v>
      </c>
      <c r="P1821" s="99">
        <v>45781</v>
      </c>
      <c r="Q1821" s="111"/>
    </row>
    <row r="1822" spans="1:19" ht="13.2">
      <c r="A1822" s="15">
        <v>1822</v>
      </c>
      <c r="B1822" s="102" t="s">
        <v>1555</v>
      </c>
      <c r="C1822" t="s">
        <v>5702</v>
      </c>
      <c r="D1822" t="s">
        <v>3087</v>
      </c>
      <c r="E1822" s="96" t="s">
        <v>4294</v>
      </c>
      <c r="F1822" s="96" t="s">
        <v>5734</v>
      </c>
      <c r="G1822">
        <v>24225363</v>
      </c>
      <c r="H1822" s="96" t="s">
        <v>830</v>
      </c>
      <c r="I1822" t="s">
        <v>5714</v>
      </c>
      <c r="J1822" t="s">
        <v>5714</v>
      </c>
      <c r="K1822" s="99">
        <v>45786</v>
      </c>
      <c r="L1822" s="99">
        <v>45809</v>
      </c>
      <c r="M1822" s="99">
        <v>45838</v>
      </c>
      <c r="N1822" s="859">
        <v>7</v>
      </c>
      <c r="O1822" s="111">
        <v>4200</v>
      </c>
      <c r="P1822" s="99">
        <v>45838</v>
      </c>
      <c r="Q1822" s="111"/>
    </row>
    <row r="1823" spans="1:19" ht="15" customHeight="1">
      <c r="A1823" s="15">
        <v>1823</v>
      </c>
      <c r="B1823" s="102" t="s">
        <v>1555</v>
      </c>
      <c r="C1823" t="s">
        <v>5703</v>
      </c>
      <c r="D1823" t="s">
        <v>3087</v>
      </c>
      <c r="E1823" s="96" t="s">
        <v>4294</v>
      </c>
      <c r="F1823" s="96" t="s">
        <v>5730</v>
      </c>
      <c r="G1823">
        <v>11138</v>
      </c>
      <c r="H1823" s="96" t="s">
        <v>830</v>
      </c>
      <c r="I1823" t="s">
        <v>5715</v>
      </c>
      <c r="J1823" t="s">
        <v>5715</v>
      </c>
      <c r="K1823" s="99">
        <v>45791</v>
      </c>
      <c r="L1823" s="99">
        <v>45796</v>
      </c>
      <c r="M1823" s="99">
        <v>45838</v>
      </c>
      <c r="N1823" s="859">
        <v>7</v>
      </c>
      <c r="O1823" s="111">
        <v>4200</v>
      </c>
      <c r="P1823" s="99">
        <v>45838</v>
      </c>
      <c r="Q1823" s="111"/>
    </row>
    <row r="1824" spans="1:19" ht="15" customHeight="1">
      <c r="A1824" s="15">
        <v>1824</v>
      </c>
      <c r="B1824" s="102" t="s">
        <v>1555</v>
      </c>
      <c r="C1824" t="s">
        <v>5704</v>
      </c>
      <c r="D1824" t="s">
        <v>3087</v>
      </c>
      <c r="E1824" s="96" t="s">
        <v>3811</v>
      </c>
      <c r="F1824" s="96" t="s">
        <v>3100</v>
      </c>
      <c r="G1824">
        <v>75075741</v>
      </c>
      <c r="H1824" s="96" t="s">
        <v>180</v>
      </c>
      <c r="I1824" t="s">
        <v>5716</v>
      </c>
      <c r="J1824" t="s">
        <v>5716</v>
      </c>
      <c r="K1824" s="99">
        <v>45764</v>
      </c>
      <c r="L1824" s="99">
        <v>45771</v>
      </c>
      <c r="M1824" s="99">
        <v>45771</v>
      </c>
      <c r="N1824" s="859"/>
      <c r="O1824" s="111">
        <v>0</v>
      </c>
      <c r="P1824" s="99">
        <v>45771</v>
      </c>
      <c r="Q1824" s="111"/>
    </row>
    <row r="1825" spans="1:19" ht="15" customHeight="1">
      <c r="A1825" s="15">
        <v>1825</v>
      </c>
      <c r="B1825" s="102" t="s">
        <v>1555</v>
      </c>
      <c r="C1825" t="s">
        <v>5705</v>
      </c>
      <c r="D1825" t="s">
        <v>3087</v>
      </c>
      <c r="E1825" s="96" t="s">
        <v>4294</v>
      </c>
      <c r="F1825" t="s">
        <v>5731</v>
      </c>
      <c r="G1825">
        <v>11139</v>
      </c>
      <c r="H1825" s="96" t="s">
        <v>830</v>
      </c>
      <c r="I1825" t="s">
        <v>5717</v>
      </c>
      <c r="J1825" t="s">
        <v>5717</v>
      </c>
      <c r="K1825" s="99">
        <v>45791</v>
      </c>
      <c r="L1825" s="99">
        <v>45873</v>
      </c>
      <c r="M1825" s="99">
        <v>45875</v>
      </c>
      <c r="N1825" s="859">
        <v>7</v>
      </c>
      <c r="O1825" s="111">
        <v>1500</v>
      </c>
      <c r="P1825" s="99">
        <v>45875</v>
      </c>
      <c r="Q1825" s="111"/>
    </row>
    <row r="1826" spans="1:19" ht="15" customHeight="1">
      <c r="A1826" s="15">
        <v>1826</v>
      </c>
      <c r="B1826" s="102" t="s">
        <v>1555</v>
      </c>
      <c r="C1826" t="s">
        <v>5706</v>
      </c>
      <c r="D1826" t="s">
        <v>3087</v>
      </c>
      <c r="E1826" s="96" t="s">
        <v>4294</v>
      </c>
      <c r="F1826" t="s">
        <v>5732</v>
      </c>
      <c r="G1826">
        <v>11140</v>
      </c>
      <c r="H1826" s="96" t="s">
        <v>830</v>
      </c>
      <c r="I1826" t="s">
        <v>5718</v>
      </c>
      <c r="J1826" t="s">
        <v>5718</v>
      </c>
      <c r="K1826" s="99">
        <v>45790</v>
      </c>
      <c r="L1826" s="99">
        <v>45790</v>
      </c>
      <c r="M1826" s="99">
        <v>45900</v>
      </c>
      <c r="N1826" s="859">
        <v>7</v>
      </c>
      <c r="O1826" s="111">
        <v>5000</v>
      </c>
      <c r="P1826" s="99">
        <v>45900</v>
      </c>
      <c r="Q1826" s="111"/>
    </row>
    <row r="1827" spans="1:19" ht="15" customHeight="1">
      <c r="A1827" s="15">
        <v>1827</v>
      </c>
      <c r="B1827" s="102" t="s">
        <v>1555</v>
      </c>
      <c r="C1827" t="s">
        <v>5707</v>
      </c>
      <c r="D1827" t="s">
        <v>3087</v>
      </c>
      <c r="E1827" s="96" t="s">
        <v>3811</v>
      </c>
      <c r="F1827" t="s">
        <v>5729</v>
      </c>
      <c r="G1827">
        <v>66492203</v>
      </c>
      <c r="H1827" s="96" t="s">
        <v>180</v>
      </c>
      <c r="I1827" t="s">
        <v>5719</v>
      </c>
      <c r="J1827" t="s">
        <v>5719</v>
      </c>
      <c r="K1827" s="99">
        <v>45790</v>
      </c>
      <c r="L1827" s="99">
        <v>45899</v>
      </c>
      <c r="M1827" s="99">
        <v>45899</v>
      </c>
      <c r="N1827" s="859"/>
      <c r="O1827" s="111">
        <v>0</v>
      </c>
      <c r="P1827" s="99">
        <v>45899</v>
      </c>
    </row>
    <row r="1828" spans="1:19" ht="15" customHeight="1">
      <c r="A1828" s="15">
        <v>1828</v>
      </c>
      <c r="B1828" s="102" t="s">
        <v>1555</v>
      </c>
      <c r="C1828" t="s">
        <v>5708</v>
      </c>
      <c r="D1828" t="s">
        <v>3087</v>
      </c>
      <c r="E1828" s="96" t="s">
        <v>3811</v>
      </c>
      <c r="F1828" t="s">
        <v>5735</v>
      </c>
      <c r="G1828">
        <v>47013591</v>
      </c>
      <c r="H1828" s="96" t="s">
        <v>180</v>
      </c>
      <c r="I1828" t="s">
        <v>5720</v>
      </c>
      <c r="J1828" t="s">
        <v>5720</v>
      </c>
      <c r="K1828" s="99">
        <v>45792</v>
      </c>
      <c r="L1828" s="99">
        <v>45809</v>
      </c>
      <c r="M1828" s="99">
        <v>45809</v>
      </c>
      <c r="O1828" s="111">
        <v>0</v>
      </c>
      <c r="P1828" s="99">
        <v>45809</v>
      </c>
    </row>
    <row r="1829" spans="1:19" ht="15" customHeight="1">
      <c r="A1829" s="15">
        <v>1829</v>
      </c>
      <c r="B1829" s="102" t="s">
        <v>1555</v>
      </c>
      <c r="C1829" t="s">
        <v>5709</v>
      </c>
      <c r="D1829" t="s">
        <v>3087</v>
      </c>
      <c r="E1829" s="96" t="s">
        <v>3811</v>
      </c>
      <c r="F1829" t="s">
        <v>3677</v>
      </c>
      <c r="G1829">
        <v>8509760</v>
      </c>
      <c r="H1829" s="96" t="s">
        <v>180</v>
      </c>
      <c r="I1829" t="s">
        <v>5721</v>
      </c>
      <c r="J1829" t="s">
        <v>5721</v>
      </c>
      <c r="K1829" s="99">
        <v>45792</v>
      </c>
      <c r="L1829" s="99">
        <v>45808</v>
      </c>
      <c r="M1829" s="99">
        <v>45808</v>
      </c>
      <c r="O1829" s="111">
        <v>0</v>
      </c>
      <c r="P1829" s="99">
        <v>45808</v>
      </c>
    </row>
    <row r="1830" spans="1:19" ht="15" customHeight="1">
      <c r="A1830" s="15">
        <v>1830</v>
      </c>
      <c r="B1830" s="102" t="s">
        <v>1555</v>
      </c>
      <c r="C1830" t="s">
        <v>5710</v>
      </c>
      <c r="D1830" t="s">
        <v>3087</v>
      </c>
      <c r="E1830" s="96" t="s">
        <v>3811</v>
      </c>
      <c r="F1830" t="s">
        <v>5736</v>
      </c>
      <c r="G1830">
        <v>70927022</v>
      </c>
      <c r="H1830" s="96" t="s">
        <v>180</v>
      </c>
      <c r="I1830" t="s">
        <v>5722</v>
      </c>
      <c r="J1830" t="s">
        <v>5722</v>
      </c>
      <c r="K1830" s="99">
        <v>45792</v>
      </c>
      <c r="L1830" s="99">
        <v>45822</v>
      </c>
      <c r="M1830" s="99">
        <v>45822</v>
      </c>
      <c r="O1830" s="111">
        <v>0</v>
      </c>
      <c r="P1830" s="99">
        <v>45822</v>
      </c>
    </row>
    <row r="1831" spans="1:19" ht="15" customHeight="1">
      <c r="A1831" s="15">
        <v>1831</v>
      </c>
      <c r="B1831" s="102" t="s">
        <v>1555</v>
      </c>
      <c r="C1831" t="s">
        <v>5711</v>
      </c>
      <c r="D1831" t="s">
        <v>3087</v>
      </c>
      <c r="E1831" s="96" t="s">
        <v>4294</v>
      </c>
      <c r="F1831" t="s">
        <v>5733</v>
      </c>
      <c r="G1831">
        <v>11145</v>
      </c>
      <c r="H1831" s="96" t="s">
        <v>830</v>
      </c>
      <c r="I1831" t="s">
        <v>5723</v>
      </c>
      <c r="J1831" t="s">
        <v>5723</v>
      </c>
      <c r="K1831" s="99">
        <v>45792</v>
      </c>
      <c r="L1831" s="99">
        <v>45792</v>
      </c>
      <c r="M1831" s="99">
        <v>45792</v>
      </c>
      <c r="N1831">
        <v>7</v>
      </c>
      <c r="O1831" s="111">
        <v>500</v>
      </c>
      <c r="P1831" s="99">
        <v>45792</v>
      </c>
    </row>
    <row r="1832" spans="1:19" ht="15" customHeight="1">
      <c r="A1832" s="15">
        <v>1832</v>
      </c>
      <c r="B1832" s="102" t="s">
        <v>1555</v>
      </c>
      <c r="C1832" t="s">
        <v>5712</v>
      </c>
      <c r="D1832" t="s">
        <v>3087</v>
      </c>
      <c r="E1832" s="96" t="s">
        <v>3811</v>
      </c>
      <c r="F1832" t="s">
        <v>5688</v>
      </c>
      <c r="G1832">
        <v>70885371</v>
      </c>
      <c r="H1832" s="96" t="s">
        <v>180</v>
      </c>
      <c r="I1832" t="s">
        <v>5724</v>
      </c>
      <c r="J1832" t="s">
        <v>5724</v>
      </c>
      <c r="K1832" s="99">
        <v>45796</v>
      </c>
      <c r="L1832" s="99">
        <v>45815</v>
      </c>
      <c r="M1832" s="99">
        <v>45815</v>
      </c>
      <c r="N1832" s="99"/>
      <c r="O1832" s="111">
        <v>0</v>
      </c>
      <c r="P1832" s="99">
        <v>45815</v>
      </c>
    </row>
    <row r="1833" spans="1:19" ht="15" customHeight="1">
      <c r="A1833" s="15">
        <v>1833</v>
      </c>
      <c r="B1833" s="102" t="s">
        <v>1555</v>
      </c>
      <c r="C1833" t="s">
        <v>5713</v>
      </c>
      <c r="D1833" t="s">
        <v>3087</v>
      </c>
      <c r="E1833" s="96" t="s">
        <v>3811</v>
      </c>
      <c r="F1833" t="s">
        <v>5737</v>
      </c>
      <c r="G1833">
        <v>242292</v>
      </c>
      <c r="H1833" s="96" t="s">
        <v>180</v>
      </c>
      <c r="I1833" t="s">
        <v>5725</v>
      </c>
      <c r="J1833" t="s">
        <v>5725</v>
      </c>
      <c r="K1833" s="99">
        <v>45795</v>
      </c>
      <c r="L1833" s="99">
        <v>45795</v>
      </c>
      <c r="M1833" s="99">
        <v>45795</v>
      </c>
      <c r="N1833">
        <v>7</v>
      </c>
      <c r="O1833" s="111">
        <v>3000</v>
      </c>
      <c r="P1833" s="99">
        <v>45795</v>
      </c>
    </row>
    <row r="1834" spans="1:19" ht="15" customHeight="1">
      <c r="A1834" s="15">
        <v>1834</v>
      </c>
      <c r="B1834" s="102" t="s">
        <v>3086</v>
      </c>
      <c r="C1834" t="s">
        <v>5728</v>
      </c>
      <c r="D1834" t="s">
        <v>3094</v>
      </c>
      <c r="E1834" s="96" t="s">
        <v>3095</v>
      </c>
      <c r="F1834" t="s">
        <v>4692</v>
      </c>
      <c r="G1834">
        <v>1472496</v>
      </c>
      <c r="H1834" s="96" t="s">
        <v>4169</v>
      </c>
      <c r="I1834" t="s">
        <v>5864</v>
      </c>
      <c r="J1834" t="s">
        <v>5864</v>
      </c>
      <c r="K1834" s="99">
        <v>45821</v>
      </c>
      <c r="L1834" s="99">
        <v>45821</v>
      </c>
      <c r="M1834" s="99">
        <v>47300</v>
      </c>
      <c r="N1834" s="831">
        <v>6</v>
      </c>
      <c r="O1834" s="111">
        <v>1</v>
      </c>
      <c r="P1834" s="99">
        <v>47300</v>
      </c>
      <c r="Q1834" s="485">
        <v>1</v>
      </c>
      <c r="R1834">
        <v>31560280</v>
      </c>
      <c r="S1834" s="99">
        <v>45821</v>
      </c>
    </row>
    <row r="1835" spans="1:19" ht="15" customHeight="1">
      <c r="A1835" s="15">
        <v>1835</v>
      </c>
      <c r="B1835" s="102" t="s">
        <v>1555</v>
      </c>
      <c r="C1835" t="s">
        <v>5738</v>
      </c>
      <c r="D1835" t="s">
        <v>3087</v>
      </c>
      <c r="E1835" s="96" t="s">
        <v>3811</v>
      </c>
      <c r="F1835" t="s">
        <v>5739</v>
      </c>
      <c r="G1835">
        <v>236918</v>
      </c>
      <c r="H1835" s="96" t="s">
        <v>180</v>
      </c>
      <c r="I1835" t="s">
        <v>5740</v>
      </c>
      <c r="J1835" t="s">
        <v>5740</v>
      </c>
      <c r="K1835" s="99">
        <v>45798</v>
      </c>
      <c r="L1835" s="99">
        <v>45825</v>
      </c>
      <c r="M1835" s="99">
        <v>45825</v>
      </c>
      <c r="N1835" s="831"/>
      <c r="O1835" s="111">
        <v>0</v>
      </c>
      <c r="P1835" s="99">
        <v>45825</v>
      </c>
    </row>
    <row r="1836" spans="1:19" ht="15" customHeight="1">
      <c r="A1836" s="15">
        <v>1836</v>
      </c>
      <c r="B1836" s="102" t="s">
        <v>1555</v>
      </c>
      <c r="C1836" t="s">
        <v>5741</v>
      </c>
      <c r="D1836" t="s">
        <v>3110</v>
      </c>
      <c r="E1836" s="96" t="s">
        <v>3369</v>
      </c>
      <c r="F1836" s="96" t="s">
        <v>3928</v>
      </c>
      <c r="G1836" s="96">
        <v>44265778</v>
      </c>
      <c r="H1836" s="96" t="s">
        <v>482</v>
      </c>
      <c r="I1836" s="96" t="s">
        <v>5846</v>
      </c>
      <c r="J1836" s="96" t="s">
        <v>5846</v>
      </c>
      <c r="K1836" s="99">
        <v>45838</v>
      </c>
      <c r="L1836" s="99">
        <v>45838</v>
      </c>
      <c r="M1836" s="99">
        <v>45858</v>
      </c>
      <c r="N1836" s="831">
        <v>7</v>
      </c>
      <c r="O1836" s="111">
        <v>519000</v>
      </c>
      <c r="P1836" s="99">
        <v>45858</v>
      </c>
      <c r="Q1836" s="485">
        <v>519000</v>
      </c>
      <c r="R1836">
        <v>31773457</v>
      </c>
      <c r="S1836" s="99">
        <v>45838</v>
      </c>
    </row>
    <row r="1837" spans="1:19" ht="15" customHeight="1">
      <c r="A1837" s="15">
        <v>1837</v>
      </c>
      <c r="B1837" s="102" t="s">
        <v>1555</v>
      </c>
      <c r="C1837" t="s">
        <v>5743</v>
      </c>
      <c r="D1837" t="s">
        <v>3087</v>
      </c>
      <c r="E1837" s="96" t="s">
        <v>3811</v>
      </c>
      <c r="F1837" t="s">
        <v>3722</v>
      </c>
      <c r="G1837">
        <v>3875482</v>
      </c>
      <c r="H1837" s="96" t="s">
        <v>180</v>
      </c>
      <c r="I1837" t="s">
        <v>5750</v>
      </c>
      <c r="J1837" t="s">
        <v>5750</v>
      </c>
      <c r="K1837" s="99">
        <v>45798</v>
      </c>
      <c r="L1837" s="99">
        <v>45801</v>
      </c>
      <c r="M1837" s="99">
        <v>45801</v>
      </c>
      <c r="N1837" s="831"/>
      <c r="O1837" s="111">
        <v>0</v>
      </c>
      <c r="P1837" s="99">
        <v>45801</v>
      </c>
    </row>
    <row r="1838" spans="1:19" ht="15" customHeight="1">
      <c r="A1838" s="15">
        <v>1838</v>
      </c>
      <c r="B1838" s="102" t="s">
        <v>1555</v>
      </c>
      <c r="C1838" t="s">
        <v>5744</v>
      </c>
      <c r="D1838" t="s">
        <v>3087</v>
      </c>
      <c r="E1838" s="96" t="s">
        <v>3811</v>
      </c>
      <c r="F1838" t="s">
        <v>5758</v>
      </c>
      <c r="G1838">
        <v>240583</v>
      </c>
      <c r="H1838" s="96" t="s">
        <v>180</v>
      </c>
      <c r="I1838" t="s">
        <v>5751</v>
      </c>
      <c r="J1838" t="s">
        <v>5751</v>
      </c>
      <c r="K1838" s="99">
        <v>45799</v>
      </c>
      <c r="L1838" s="99">
        <v>45808</v>
      </c>
      <c r="M1838" s="99">
        <v>45808</v>
      </c>
      <c r="N1838" s="831"/>
      <c r="O1838" s="111">
        <v>0</v>
      </c>
      <c r="P1838" s="99">
        <v>45808</v>
      </c>
    </row>
    <row r="1839" spans="1:19" ht="15" customHeight="1">
      <c r="A1839" s="15">
        <v>1839</v>
      </c>
      <c r="B1839" s="102" t="s">
        <v>1555</v>
      </c>
      <c r="C1839" t="s">
        <v>5745</v>
      </c>
      <c r="D1839" t="s">
        <v>3087</v>
      </c>
      <c r="E1839" s="96" t="s">
        <v>3811</v>
      </c>
      <c r="F1839" t="s">
        <v>5759</v>
      </c>
      <c r="G1839">
        <v>62930214</v>
      </c>
      <c r="H1839" s="96" t="s">
        <v>180</v>
      </c>
      <c r="I1839" t="s">
        <v>5752</v>
      </c>
      <c r="J1839" t="s">
        <v>5752</v>
      </c>
      <c r="K1839" s="99">
        <v>45802</v>
      </c>
      <c r="L1839" s="99">
        <v>45809</v>
      </c>
      <c r="M1839" s="99">
        <v>45809</v>
      </c>
      <c r="N1839" s="831"/>
      <c r="O1839" s="111">
        <v>0</v>
      </c>
      <c r="P1839" s="99">
        <v>45809</v>
      </c>
    </row>
    <row r="1840" spans="1:19" ht="15" customHeight="1">
      <c r="A1840" s="15">
        <v>1840</v>
      </c>
      <c r="B1840" s="102" t="s">
        <v>1555</v>
      </c>
      <c r="C1840" t="s">
        <v>5746</v>
      </c>
      <c r="D1840" t="s">
        <v>3087</v>
      </c>
      <c r="E1840" s="96" t="s">
        <v>3811</v>
      </c>
      <c r="F1840" t="s">
        <v>5760</v>
      </c>
      <c r="G1840">
        <v>47016141</v>
      </c>
      <c r="H1840" s="96" t="s">
        <v>180</v>
      </c>
      <c r="I1840" t="s">
        <v>5753</v>
      </c>
      <c r="J1840" t="s">
        <v>5753</v>
      </c>
      <c r="K1840" s="99">
        <v>45800</v>
      </c>
      <c r="L1840" s="99">
        <v>45801</v>
      </c>
      <c r="M1840" s="99">
        <v>45801</v>
      </c>
      <c r="N1840" s="831"/>
      <c r="O1840" s="111">
        <v>0</v>
      </c>
      <c r="P1840" s="99">
        <v>45801</v>
      </c>
    </row>
    <row r="1841" spans="1:19" ht="15" customHeight="1">
      <c r="A1841" s="15">
        <v>1841</v>
      </c>
      <c r="B1841" s="102" t="s">
        <v>1555</v>
      </c>
      <c r="C1841" t="s">
        <v>5747</v>
      </c>
      <c r="D1841" t="s">
        <v>3087</v>
      </c>
      <c r="E1841" s="96" t="s">
        <v>3811</v>
      </c>
      <c r="F1841" t="s">
        <v>5761</v>
      </c>
      <c r="G1841">
        <v>67361897</v>
      </c>
      <c r="H1841" s="96" t="s">
        <v>180</v>
      </c>
      <c r="I1841" t="s">
        <v>5754</v>
      </c>
      <c r="J1841" t="s">
        <v>5754</v>
      </c>
      <c r="K1841" s="99">
        <v>45800</v>
      </c>
      <c r="L1841" s="99">
        <v>45821</v>
      </c>
      <c r="M1841" s="99">
        <v>45821</v>
      </c>
      <c r="N1841" s="831"/>
      <c r="O1841" s="111">
        <v>0</v>
      </c>
      <c r="P1841" s="99">
        <v>45821</v>
      </c>
    </row>
    <row r="1842" spans="1:19" ht="15" customHeight="1">
      <c r="A1842" s="15">
        <v>1842</v>
      </c>
      <c r="B1842" s="102" t="s">
        <v>1555</v>
      </c>
      <c r="C1842" t="s">
        <v>5748</v>
      </c>
      <c r="D1842" t="s">
        <v>3087</v>
      </c>
      <c r="E1842" t="s">
        <v>4294</v>
      </c>
      <c r="F1842" t="s">
        <v>5762</v>
      </c>
      <c r="G1842">
        <v>11165</v>
      </c>
      <c r="H1842" t="s">
        <v>830</v>
      </c>
      <c r="I1842" t="s">
        <v>5755</v>
      </c>
      <c r="J1842" t="s">
        <v>5755</v>
      </c>
      <c r="K1842" s="99">
        <v>45800</v>
      </c>
      <c r="L1842" s="99">
        <v>45806</v>
      </c>
      <c r="M1842" s="99">
        <v>45819</v>
      </c>
      <c r="N1842" s="831"/>
      <c r="O1842" s="111">
        <v>0</v>
      </c>
      <c r="P1842" s="99">
        <v>45819</v>
      </c>
    </row>
    <row r="1843" spans="1:19" ht="15" customHeight="1">
      <c r="A1843" s="15">
        <v>1843</v>
      </c>
      <c r="B1843" s="102" t="s">
        <v>3086</v>
      </c>
      <c r="C1843" t="s">
        <v>5749</v>
      </c>
      <c r="D1843" t="s">
        <v>3110</v>
      </c>
      <c r="E1843" s="96" t="s">
        <v>3092</v>
      </c>
      <c r="F1843" t="s">
        <v>3446</v>
      </c>
      <c r="G1843">
        <v>27256456</v>
      </c>
      <c r="H1843" s="96" t="s">
        <v>592</v>
      </c>
      <c r="I1843" t="s">
        <v>5756</v>
      </c>
      <c r="J1843" t="s">
        <v>5757</v>
      </c>
      <c r="K1843" s="99">
        <v>45810</v>
      </c>
      <c r="L1843" s="99">
        <v>45810</v>
      </c>
      <c r="M1843" s="99">
        <v>2958465</v>
      </c>
      <c r="N1843" s="831">
        <v>7</v>
      </c>
      <c r="O1843" s="111">
        <v>82000</v>
      </c>
      <c r="P1843" s="99">
        <v>2958465</v>
      </c>
      <c r="Q1843" s="663">
        <v>82000</v>
      </c>
      <c r="R1843">
        <v>31394440</v>
      </c>
      <c r="S1843" s="99">
        <v>45810</v>
      </c>
    </row>
    <row r="1844" spans="1:19" ht="15" customHeight="1">
      <c r="A1844" s="15">
        <v>1844</v>
      </c>
      <c r="B1844" s="102" t="s">
        <v>3086</v>
      </c>
      <c r="C1844" t="s">
        <v>5763</v>
      </c>
      <c r="D1844" t="s">
        <v>3110</v>
      </c>
      <c r="E1844" s="96" t="s">
        <v>3144</v>
      </c>
      <c r="F1844" t="s">
        <v>3339</v>
      </c>
      <c r="G1844">
        <v>45272956</v>
      </c>
      <c r="H1844" s="96" t="s">
        <v>215</v>
      </c>
      <c r="I1844" t="s">
        <v>5764</v>
      </c>
      <c r="J1844" t="s">
        <v>5764</v>
      </c>
      <c r="K1844" s="99">
        <v>45807</v>
      </c>
      <c r="L1844" s="99">
        <v>45809</v>
      </c>
      <c r="M1844" s="99">
        <v>46173</v>
      </c>
      <c r="N1844" s="831">
        <v>4</v>
      </c>
      <c r="O1844" s="111">
        <v>132640</v>
      </c>
      <c r="P1844" s="99">
        <v>46173</v>
      </c>
      <c r="Q1844" s="485">
        <v>132640</v>
      </c>
      <c r="R1844">
        <v>31371628</v>
      </c>
      <c r="S1844" s="99">
        <v>45807</v>
      </c>
    </row>
    <row r="1845" spans="1:19" ht="15" customHeight="1">
      <c r="A1845" s="15">
        <v>1845</v>
      </c>
      <c r="B1845" s="102" t="s">
        <v>1555</v>
      </c>
      <c r="C1845" t="s">
        <v>5765</v>
      </c>
      <c r="D1845" t="s">
        <v>3087</v>
      </c>
      <c r="E1845" s="96" t="s">
        <v>4294</v>
      </c>
      <c r="F1845" t="s">
        <v>5766</v>
      </c>
      <c r="G1845">
        <v>11169</v>
      </c>
      <c r="H1845" s="96" t="s">
        <v>830</v>
      </c>
      <c r="I1845" t="s">
        <v>5767</v>
      </c>
      <c r="J1845" t="s">
        <v>5767</v>
      </c>
      <c r="K1845" s="99">
        <v>45805</v>
      </c>
      <c r="L1845" s="99">
        <v>45827</v>
      </c>
      <c r="M1845" s="99">
        <v>45827</v>
      </c>
      <c r="N1845" s="859">
        <v>7</v>
      </c>
      <c r="O1845" s="111">
        <v>500</v>
      </c>
      <c r="P1845" s="99">
        <v>45827</v>
      </c>
    </row>
    <row r="1846" spans="1:19" ht="15" customHeight="1">
      <c r="A1846" s="15">
        <v>1846</v>
      </c>
      <c r="B1846" s="102" t="s">
        <v>3086</v>
      </c>
      <c r="C1846" t="s">
        <v>5768</v>
      </c>
      <c r="D1846" t="s">
        <v>3168</v>
      </c>
      <c r="E1846" t="s">
        <v>5793</v>
      </c>
      <c r="F1846" t="s">
        <v>3345</v>
      </c>
      <c r="G1846">
        <v>45244782</v>
      </c>
      <c r="H1846" s="96" t="s">
        <v>165</v>
      </c>
      <c r="I1846" t="s">
        <v>5773</v>
      </c>
      <c r="J1846" t="s">
        <v>5778</v>
      </c>
      <c r="K1846" s="99">
        <v>43503</v>
      </c>
      <c r="L1846" s="99">
        <v>43503</v>
      </c>
      <c r="O1846" s="111">
        <v>0</v>
      </c>
      <c r="Q1846" t="s">
        <v>5783</v>
      </c>
    </row>
    <row r="1847" spans="1:19" ht="15" customHeight="1">
      <c r="A1847" s="15">
        <v>1847</v>
      </c>
      <c r="B1847" s="102" t="s">
        <v>3086</v>
      </c>
      <c r="C1847" t="s">
        <v>5769</v>
      </c>
      <c r="D1847" t="s">
        <v>3168</v>
      </c>
      <c r="E1847" t="s">
        <v>5793</v>
      </c>
      <c r="F1847" t="s">
        <v>3345</v>
      </c>
      <c r="G1847">
        <v>45244782</v>
      </c>
      <c r="H1847" s="96" t="s">
        <v>165</v>
      </c>
      <c r="I1847" t="s">
        <v>5774</v>
      </c>
      <c r="J1847" t="s">
        <v>5779</v>
      </c>
      <c r="K1847" s="99">
        <v>43503</v>
      </c>
      <c r="L1847" s="99">
        <v>43503</v>
      </c>
      <c r="O1847" s="111">
        <v>0</v>
      </c>
      <c r="Q1847" t="s">
        <v>5784</v>
      </c>
    </row>
    <row r="1848" spans="1:19" ht="15" customHeight="1">
      <c r="A1848" s="15">
        <v>1848</v>
      </c>
      <c r="B1848" s="102" t="s">
        <v>3086</v>
      </c>
      <c r="C1848" t="s">
        <v>5770</v>
      </c>
      <c r="D1848" t="s">
        <v>3168</v>
      </c>
      <c r="E1848" t="s">
        <v>5793</v>
      </c>
      <c r="F1848" t="s">
        <v>3345</v>
      </c>
      <c r="G1848">
        <v>45244782</v>
      </c>
      <c r="H1848" s="96" t="s">
        <v>165</v>
      </c>
      <c r="I1848" t="s">
        <v>5775</v>
      </c>
      <c r="J1848" t="s">
        <v>5780</v>
      </c>
      <c r="K1848" s="99">
        <v>43503</v>
      </c>
      <c r="L1848" s="99">
        <v>43503</v>
      </c>
      <c r="O1848" s="111">
        <v>0</v>
      </c>
      <c r="Q1848" t="s">
        <v>5785</v>
      </c>
    </row>
    <row r="1849" spans="1:19" ht="15" customHeight="1">
      <c r="A1849" s="15">
        <v>1849</v>
      </c>
      <c r="B1849" s="102" t="s">
        <v>3086</v>
      </c>
      <c r="C1849" t="s">
        <v>5771</v>
      </c>
      <c r="D1849" t="s">
        <v>3168</v>
      </c>
      <c r="E1849" t="s">
        <v>5793</v>
      </c>
      <c r="F1849" t="s">
        <v>3345</v>
      </c>
      <c r="G1849">
        <v>45244782</v>
      </c>
      <c r="H1849" s="96" t="s">
        <v>165</v>
      </c>
      <c r="I1849" t="s">
        <v>5776</v>
      </c>
      <c r="J1849" t="s">
        <v>5781</v>
      </c>
      <c r="K1849" s="99">
        <v>43503</v>
      </c>
      <c r="L1849" s="99">
        <v>43503</v>
      </c>
      <c r="O1849" s="111">
        <v>0</v>
      </c>
      <c r="Q1849" t="s">
        <v>5786</v>
      </c>
    </row>
    <row r="1850" spans="1:19" ht="15" customHeight="1">
      <c r="A1850" s="15">
        <v>1850</v>
      </c>
      <c r="B1850" s="102" t="s">
        <v>3086</v>
      </c>
      <c r="C1850" t="s">
        <v>5772</v>
      </c>
      <c r="D1850" t="s">
        <v>3168</v>
      </c>
      <c r="E1850" t="s">
        <v>5793</v>
      </c>
      <c r="F1850" t="s">
        <v>3345</v>
      </c>
      <c r="G1850">
        <v>45244782</v>
      </c>
      <c r="H1850" s="96" t="s">
        <v>165</v>
      </c>
      <c r="I1850" t="s">
        <v>5777</v>
      </c>
      <c r="J1850" t="s">
        <v>5782</v>
      </c>
      <c r="K1850" s="99">
        <v>45810</v>
      </c>
      <c r="L1850" s="99">
        <v>45810</v>
      </c>
      <c r="O1850" s="111">
        <v>0</v>
      </c>
      <c r="Q1850" t="s">
        <v>5787</v>
      </c>
    </row>
    <row r="1851" spans="1:19" ht="15" customHeight="1">
      <c r="A1851" s="15">
        <v>1851</v>
      </c>
      <c r="B1851" s="102" t="s">
        <v>3086</v>
      </c>
      <c r="C1851" t="s">
        <v>5790</v>
      </c>
      <c r="D1851" t="s">
        <v>3110</v>
      </c>
      <c r="E1851" t="s">
        <v>3123</v>
      </c>
      <c r="F1851" t="s">
        <v>5791</v>
      </c>
      <c r="G1851" s="66">
        <v>4492013</v>
      </c>
      <c r="H1851" s="96" t="s">
        <v>250</v>
      </c>
      <c r="I1851" s="96" t="s">
        <v>5792</v>
      </c>
      <c r="J1851" s="96" t="s">
        <v>5792</v>
      </c>
      <c r="K1851" s="99">
        <v>45819</v>
      </c>
      <c r="L1851" s="99">
        <v>45823</v>
      </c>
      <c r="M1851" s="99">
        <v>46187</v>
      </c>
      <c r="N1851" s="859">
        <v>1</v>
      </c>
      <c r="O1851" s="111">
        <v>213000</v>
      </c>
      <c r="P1851" s="99">
        <v>46187</v>
      </c>
      <c r="Q1851" s="111">
        <v>213000</v>
      </c>
      <c r="R1851">
        <v>31538529</v>
      </c>
      <c r="S1851" s="99">
        <v>45820</v>
      </c>
    </row>
    <row r="1852" spans="1:19" ht="15" customHeight="1">
      <c r="A1852" s="15">
        <v>1852</v>
      </c>
      <c r="B1852" s="102" t="s">
        <v>1555</v>
      </c>
      <c r="C1852" t="s">
        <v>5794</v>
      </c>
      <c r="D1852" t="s">
        <v>3087</v>
      </c>
      <c r="E1852" t="s">
        <v>3811</v>
      </c>
      <c r="F1852" t="s">
        <v>3868</v>
      </c>
      <c r="G1852">
        <v>66729</v>
      </c>
      <c r="H1852" s="96" t="s">
        <v>180</v>
      </c>
      <c r="I1852" t="s">
        <v>5817</v>
      </c>
      <c r="J1852" t="s">
        <v>5817</v>
      </c>
      <c r="K1852" s="99">
        <v>45811</v>
      </c>
      <c r="L1852" s="99">
        <v>45821</v>
      </c>
      <c r="M1852" s="99">
        <v>45821</v>
      </c>
      <c r="O1852" s="111">
        <v>0</v>
      </c>
      <c r="P1852" s="99">
        <v>45821</v>
      </c>
    </row>
    <row r="1853" spans="1:19" ht="15" customHeight="1">
      <c r="A1853" s="15">
        <v>1853</v>
      </c>
      <c r="B1853" s="102" t="s">
        <v>1555</v>
      </c>
      <c r="C1853" t="s">
        <v>5795</v>
      </c>
      <c r="D1853" t="s">
        <v>3087</v>
      </c>
      <c r="E1853" t="s">
        <v>3811</v>
      </c>
      <c r="F1853" t="s">
        <v>3842</v>
      </c>
      <c r="G1853">
        <v>233901</v>
      </c>
      <c r="H1853" s="96" t="s">
        <v>180</v>
      </c>
      <c r="I1853" t="s">
        <v>5816</v>
      </c>
      <c r="J1853" t="s">
        <v>5816</v>
      </c>
      <c r="K1853" s="99">
        <v>45805</v>
      </c>
      <c r="L1853" s="99">
        <v>45808</v>
      </c>
      <c r="M1853" s="99">
        <v>45808</v>
      </c>
      <c r="O1853" s="111">
        <v>0</v>
      </c>
      <c r="P1853" s="99">
        <v>45808</v>
      </c>
    </row>
    <row r="1854" spans="1:19" ht="15" customHeight="1">
      <c r="A1854" s="15">
        <v>1854</v>
      </c>
      <c r="B1854" s="102" t="s">
        <v>1555</v>
      </c>
      <c r="C1854" t="s">
        <v>5796</v>
      </c>
      <c r="D1854" t="s">
        <v>3087</v>
      </c>
      <c r="E1854" t="s">
        <v>4294</v>
      </c>
      <c r="F1854" t="s">
        <v>5084</v>
      </c>
      <c r="G1854">
        <v>10622</v>
      </c>
      <c r="H1854" s="96" t="s">
        <v>830</v>
      </c>
      <c r="I1854" t="s">
        <v>5815</v>
      </c>
      <c r="J1854" t="s">
        <v>5815</v>
      </c>
      <c r="K1854" s="99">
        <v>45805</v>
      </c>
      <c r="L1854" s="99">
        <v>45809</v>
      </c>
      <c r="M1854" s="99">
        <v>45900</v>
      </c>
      <c r="O1854" s="111">
        <v>0</v>
      </c>
      <c r="P1854" s="99">
        <v>45900</v>
      </c>
    </row>
    <row r="1855" spans="1:19" ht="15" customHeight="1">
      <c r="A1855" s="15">
        <v>1855</v>
      </c>
      <c r="B1855" s="102" t="s">
        <v>1555</v>
      </c>
      <c r="C1855" t="s">
        <v>5797</v>
      </c>
      <c r="D1855" t="s">
        <v>3087</v>
      </c>
      <c r="E1855" t="s">
        <v>3811</v>
      </c>
      <c r="F1855" t="s">
        <v>5818</v>
      </c>
      <c r="G1855">
        <v>16554582</v>
      </c>
      <c r="H1855" s="96" t="s">
        <v>180</v>
      </c>
      <c r="I1855" t="s">
        <v>5814</v>
      </c>
      <c r="J1855" t="s">
        <v>5814</v>
      </c>
      <c r="K1855" s="99">
        <v>45809</v>
      </c>
      <c r="L1855" s="99">
        <v>45809</v>
      </c>
      <c r="M1855" s="99">
        <v>45809</v>
      </c>
      <c r="O1855" s="111">
        <v>0</v>
      </c>
      <c r="P1855" s="99">
        <v>45809</v>
      </c>
    </row>
    <row r="1856" spans="1:19" ht="15" customHeight="1">
      <c r="A1856" s="15">
        <v>1856</v>
      </c>
      <c r="B1856" s="102" t="s">
        <v>1555</v>
      </c>
      <c r="C1856" t="s">
        <v>5798</v>
      </c>
      <c r="D1856" t="s">
        <v>3087</v>
      </c>
      <c r="E1856" t="s">
        <v>3811</v>
      </c>
      <c r="F1856" t="s">
        <v>5819</v>
      </c>
      <c r="G1856">
        <v>47013711</v>
      </c>
      <c r="H1856" s="96" t="s">
        <v>180</v>
      </c>
      <c r="I1856" t="s">
        <v>5813</v>
      </c>
      <c r="J1856" t="s">
        <v>5813</v>
      </c>
      <c r="K1856" s="99">
        <v>45806</v>
      </c>
      <c r="L1856" s="99">
        <v>45807</v>
      </c>
      <c r="M1856" s="99">
        <v>45807</v>
      </c>
      <c r="O1856" s="111">
        <v>0</v>
      </c>
      <c r="P1856" s="99">
        <v>45807</v>
      </c>
    </row>
    <row r="1857" spans="1:19" ht="15" customHeight="1">
      <c r="A1857" s="15">
        <v>1857</v>
      </c>
      <c r="B1857" s="102" t="s">
        <v>1555</v>
      </c>
      <c r="C1857" t="s">
        <v>5799</v>
      </c>
      <c r="D1857" t="s">
        <v>3087</v>
      </c>
      <c r="E1857" t="s">
        <v>3811</v>
      </c>
      <c r="F1857" t="s">
        <v>3859</v>
      </c>
      <c r="G1857">
        <v>231401</v>
      </c>
      <c r="H1857" s="96" t="s">
        <v>180</v>
      </c>
      <c r="I1857" t="s">
        <v>5812</v>
      </c>
      <c r="J1857" t="s">
        <v>5812</v>
      </c>
      <c r="K1857" s="99">
        <v>45814</v>
      </c>
      <c r="L1857" s="99">
        <v>45815</v>
      </c>
      <c r="M1857" s="99">
        <v>45815</v>
      </c>
      <c r="O1857" s="111">
        <v>0</v>
      </c>
      <c r="P1857" s="99">
        <v>45815</v>
      </c>
    </row>
    <row r="1858" spans="1:19" ht="15" customHeight="1">
      <c r="A1858" s="15">
        <v>1858</v>
      </c>
      <c r="B1858" s="102" t="s">
        <v>1555</v>
      </c>
      <c r="C1858" t="s">
        <v>5800</v>
      </c>
      <c r="D1858" t="s">
        <v>3087</v>
      </c>
      <c r="E1858" t="s">
        <v>3811</v>
      </c>
      <c r="F1858" t="s">
        <v>3792</v>
      </c>
      <c r="G1858">
        <v>243272</v>
      </c>
      <c r="H1858" s="96" t="s">
        <v>180</v>
      </c>
      <c r="I1858" t="s">
        <v>5811</v>
      </c>
      <c r="J1858" t="s">
        <v>5811</v>
      </c>
      <c r="K1858" s="99">
        <v>45814</v>
      </c>
      <c r="L1858" s="99">
        <v>45814</v>
      </c>
      <c r="M1858" s="99">
        <v>45814</v>
      </c>
      <c r="O1858" s="111">
        <v>0</v>
      </c>
      <c r="P1858" s="99">
        <v>45814</v>
      </c>
    </row>
    <row r="1859" spans="1:19" ht="15" customHeight="1">
      <c r="A1859" s="15">
        <v>1859</v>
      </c>
      <c r="B1859" s="102" t="s">
        <v>1555</v>
      </c>
      <c r="C1859" t="s">
        <v>5801</v>
      </c>
      <c r="D1859" t="s">
        <v>3087</v>
      </c>
      <c r="E1859" t="s">
        <v>3811</v>
      </c>
      <c r="F1859" t="s">
        <v>3826</v>
      </c>
      <c r="G1859">
        <v>237051</v>
      </c>
      <c r="H1859" s="96" t="s">
        <v>180</v>
      </c>
      <c r="I1859" t="s">
        <v>5810</v>
      </c>
      <c r="J1859" t="s">
        <v>5810</v>
      </c>
      <c r="K1859" s="99">
        <v>45812</v>
      </c>
      <c r="L1859" s="99">
        <v>45813</v>
      </c>
      <c r="M1859" s="99">
        <v>45813</v>
      </c>
      <c r="O1859" s="111">
        <v>0</v>
      </c>
      <c r="P1859" s="99">
        <v>45813</v>
      </c>
    </row>
    <row r="1860" spans="1:19" ht="15" customHeight="1">
      <c r="A1860" s="15">
        <v>1860</v>
      </c>
      <c r="B1860" s="102" t="s">
        <v>1555</v>
      </c>
      <c r="C1860" t="s">
        <v>5802</v>
      </c>
      <c r="D1860" t="s">
        <v>3087</v>
      </c>
      <c r="E1860" t="s">
        <v>3811</v>
      </c>
      <c r="F1860" t="s">
        <v>3517</v>
      </c>
      <c r="G1860">
        <v>26474638</v>
      </c>
      <c r="H1860" s="96" t="s">
        <v>180</v>
      </c>
      <c r="I1860" t="s">
        <v>5809</v>
      </c>
      <c r="J1860" t="s">
        <v>5809</v>
      </c>
      <c r="K1860" s="99">
        <v>45814</v>
      </c>
      <c r="L1860" s="99">
        <v>45829</v>
      </c>
      <c r="M1860" s="99">
        <v>45829</v>
      </c>
      <c r="N1860">
        <v>7</v>
      </c>
      <c r="O1860" s="111">
        <v>12160</v>
      </c>
      <c r="P1860" s="99">
        <v>45829</v>
      </c>
    </row>
    <row r="1861" spans="1:19" ht="15" customHeight="1">
      <c r="A1861" s="15">
        <v>1861</v>
      </c>
      <c r="B1861" s="102" t="s">
        <v>1555</v>
      </c>
      <c r="C1861" t="s">
        <v>5803</v>
      </c>
      <c r="D1861" t="s">
        <v>3087</v>
      </c>
      <c r="E1861" t="s">
        <v>3811</v>
      </c>
      <c r="F1861" t="s">
        <v>4412</v>
      </c>
      <c r="G1861">
        <v>70886342</v>
      </c>
      <c r="H1861" s="96" t="s">
        <v>180</v>
      </c>
      <c r="I1861" t="s">
        <v>5808</v>
      </c>
      <c r="J1861" t="s">
        <v>5808</v>
      </c>
      <c r="K1861" s="99">
        <v>45814</v>
      </c>
      <c r="L1861" s="99">
        <v>45822</v>
      </c>
      <c r="M1861" s="99">
        <v>45822</v>
      </c>
      <c r="O1861" s="111">
        <v>0</v>
      </c>
      <c r="P1861" s="99">
        <v>45822</v>
      </c>
    </row>
    <row r="1862" spans="1:19" ht="15" customHeight="1">
      <c r="A1862" s="15">
        <v>1862</v>
      </c>
      <c r="B1862" s="102" t="s">
        <v>1555</v>
      </c>
      <c r="C1862" t="s">
        <v>5804</v>
      </c>
      <c r="D1862" t="s">
        <v>3087</v>
      </c>
      <c r="E1862" t="s">
        <v>3811</v>
      </c>
      <c r="F1862" t="s">
        <v>5820</v>
      </c>
      <c r="G1862">
        <v>62452347</v>
      </c>
      <c r="H1862" s="96" t="s">
        <v>180</v>
      </c>
      <c r="I1862" t="s">
        <v>5807</v>
      </c>
      <c r="J1862" t="s">
        <v>5807</v>
      </c>
      <c r="K1862" s="99">
        <v>45813</v>
      </c>
      <c r="L1862" s="99">
        <v>45815</v>
      </c>
      <c r="M1862" s="99">
        <v>45815</v>
      </c>
      <c r="O1862" s="111">
        <v>0</v>
      </c>
      <c r="P1862" s="99">
        <v>45815</v>
      </c>
    </row>
    <row r="1863" spans="1:19" ht="15" customHeight="1">
      <c r="A1863" s="15">
        <v>1863</v>
      </c>
      <c r="B1863" s="102" t="s">
        <v>1555</v>
      </c>
      <c r="C1863" t="s">
        <v>5805</v>
      </c>
      <c r="D1863" t="s">
        <v>3087</v>
      </c>
      <c r="E1863" t="s">
        <v>3811</v>
      </c>
      <c r="F1863" t="s">
        <v>5821</v>
      </c>
      <c r="G1863">
        <v>67363903</v>
      </c>
      <c r="H1863" s="96" t="s">
        <v>180</v>
      </c>
      <c r="I1863" t="s">
        <v>5806</v>
      </c>
      <c r="J1863" t="s">
        <v>5806</v>
      </c>
      <c r="K1863" s="99">
        <v>45813</v>
      </c>
      <c r="L1863" s="99">
        <v>45815</v>
      </c>
      <c r="M1863" s="99">
        <v>45815</v>
      </c>
      <c r="O1863" s="111">
        <v>0</v>
      </c>
      <c r="P1863" s="99">
        <v>45815</v>
      </c>
    </row>
    <row r="1864" spans="1:19" ht="15" customHeight="1">
      <c r="A1864" s="15">
        <v>1864</v>
      </c>
      <c r="B1864" s="102" t="s">
        <v>3086</v>
      </c>
      <c r="C1864" t="s">
        <v>5823</v>
      </c>
      <c r="D1864" t="s">
        <v>3110</v>
      </c>
      <c r="E1864" t="s">
        <v>3369</v>
      </c>
      <c r="F1864" s="66" t="s">
        <v>5186</v>
      </c>
      <c r="G1864" s="66">
        <v>28404971</v>
      </c>
      <c r="H1864" s="96" t="s">
        <v>482</v>
      </c>
      <c r="I1864" s="96" t="s">
        <v>5824</v>
      </c>
      <c r="J1864" s="96" t="s">
        <v>5824</v>
      </c>
      <c r="K1864" s="99">
        <v>45853</v>
      </c>
      <c r="L1864" s="99">
        <v>45853</v>
      </c>
      <c r="M1864" s="99">
        <v>45914</v>
      </c>
      <c r="N1864" s="859">
        <v>7</v>
      </c>
      <c r="O1864" s="111">
        <v>886453.26</v>
      </c>
      <c r="P1864" s="99">
        <v>45914</v>
      </c>
      <c r="Q1864" s="840">
        <v>886453.26</v>
      </c>
      <c r="R1864">
        <v>31960969</v>
      </c>
      <c r="S1864" s="99">
        <v>45853</v>
      </c>
    </row>
    <row r="1865" spans="1:19" ht="15" customHeight="1">
      <c r="A1865" s="15">
        <v>1865</v>
      </c>
      <c r="B1865" s="102" t="s">
        <v>3086</v>
      </c>
      <c r="C1865" t="s">
        <v>5825</v>
      </c>
      <c r="D1865" t="s">
        <v>3087</v>
      </c>
      <c r="E1865" t="s">
        <v>5827</v>
      </c>
      <c r="F1865" s="837" t="s">
        <v>3424</v>
      </c>
      <c r="G1865" s="66">
        <v>27529053</v>
      </c>
      <c r="H1865" s="96" t="s">
        <v>361</v>
      </c>
      <c r="I1865" s="96" t="s">
        <v>5826</v>
      </c>
      <c r="J1865" s="96" t="s">
        <v>5826</v>
      </c>
      <c r="K1865" s="99">
        <v>45833</v>
      </c>
      <c r="L1865" s="99">
        <v>45834</v>
      </c>
      <c r="M1865" s="99">
        <v>46198</v>
      </c>
      <c r="N1865" s="859">
        <v>7</v>
      </c>
      <c r="O1865" s="111">
        <v>459200</v>
      </c>
      <c r="P1865" s="99">
        <v>46198</v>
      </c>
      <c r="Q1865" s="111">
        <v>459200</v>
      </c>
      <c r="R1865">
        <v>31717793</v>
      </c>
      <c r="S1865" s="99">
        <v>45834</v>
      </c>
    </row>
    <row r="1866" spans="1:19" ht="15" customHeight="1">
      <c r="A1866" s="15">
        <v>1866</v>
      </c>
      <c r="B1866" s="102" t="s">
        <v>3086</v>
      </c>
      <c r="C1866" s="96" t="s">
        <v>5831</v>
      </c>
      <c r="D1866" t="s">
        <v>3094</v>
      </c>
      <c r="E1866" s="96" t="s">
        <v>5839</v>
      </c>
      <c r="F1866" s="96" t="s">
        <v>5832</v>
      </c>
      <c r="G1866">
        <v>48199931</v>
      </c>
      <c r="H1866" s="96" t="s">
        <v>467</v>
      </c>
      <c r="I1866" t="s">
        <v>5838</v>
      </c>
      <c r="J1866" s="96" t="s">
        <v>5838</v>
      </c>
      <c r="K1866" s="99">
        <v>45832</v>
      </c>
      <c r="L1866" s="99">
        <v>45832</v>
      </c>
      <c r="M1866" s="99">
        <v>2958465</v>
      </c>
      <c r="O1866" s="111">
        <v>0</v>
      </c>
      <c r="P1866" s="832">
        <v>2958465</v>
      </c>
      <c r="Q1866" s="111">
        <v>1</v>
      </c>
      <c r="R1866">
        <v>31693497</v>
      </c>
      <c r="S1866" s="99">
        <v>45832</v>
      </c>
    </row>
    <row r="1867" spans="1:19" ht="15" customHeight="1">
      <c r="A1867" s="15">
        <v>1867</v>
      </c>
      <c r="B1867" s="102" t="s">
        <v>1555</v>
      </c>
      <c r="C1867" s="96" t="s">
        <v>5834</v>
      </c>
      <c r="D1867" t="s">
        <v>3087</v>
      </c>
      <c r="E1867" t="s">
        <v>3811</v>
      </c>
      <c r="F1867" s="96" t="s">
        <v>3511</v>
      </c>
      <c r="G1867">
        <v>26619032</v>
      </c>
      <c r="H1867" s="96" t="s">
        <v>180</v>
      </c>
      <c r="I1867" t="s">
        <v>5840</v>
      </c>
      <c r="J1867" t="s">
        <v>5840</v>
      </c>
      <c r="K1867" s="99">
        <v>45819</v>
      </c>
      <c r="L1867" s="99">
        <v>45825</v>
      </c>
      <c r="M1867" s="99">
        <v>45825</v>
      </c>
      <c r="O1867" s="111">
        <v>0</v>
      </c>
      <c r="P1867" s="99">
        <v>45825</v>
      </c>
    </row>
    <row r="1868" spans="1:19" ht="15" customHeight="1">
      <c r="A1868" s="15">
        <v>1868</v>
      </c>
      <c r="B1868" s="102" t="s">
        <v>1555</v>
      </c>
      <c r="C1868" s="96" t="s">
        <v>5835</v>
      </c>
      <c r="D1868" t="s">
        <v>3087</v>
      </c>
      <c r="E1868" t="s">
        <v>4294</v>
      </c>
      <c r="F1868" t="s">
        <v>5215</v>
      </c>
      <c r="G1868">
        <v>26752051</v>
      </c>
      <c r="H1868" s="96" t="s">
        <v>830</v>
      </c>
      <c r="I1868" t="s">
        <v>5841</v>
      </c>
      <c r="J1868" t="s">
        <v>5841</v>
      </c>
      <c r="K1868" s="99">
        <v>45810</v>
      </c>
      <c r="L1868" s="99">
        <v>45810</v>
      </c>
      <c r="M1868" s="99">
        <v>45869</v>
      </c>
      <c r="N1868">
        <v>7</v>
      </c>
      <c r="O1868" s="111">
        <v>6000</v>
      </c>
      <c r="P1868" s="99">
        <v>45869</v>
      </c>
    </row>
    <row r="1869" spans="1:19" ht="15" customHeight="1">
      <c r="A1869" s="15">
        <v>1869</v>
      </c>
      <c r="B1869" s="102" t="s">
        <v>1555</v>
      </c>
      <c r="C1869" s="96" t="s">
        <v>5836</v>
      </c>
      <c r="D1869" t="s">
        <v>3087</v>
      </c>
      <c r="E1869" t="s">
        <v>3811</v>
      </c>
      <c r="F1869" t="s">
        <v>5844</v>
      </c>
      <c r="G1869">
        <v>244465</v>
      </c>
      <c r="H1869" s="96" t="s">
        <v>180</v>
      </c>
      <c r="I1869" t="s">
        <v>5842</v>
      </c>
      <c r="J1869" t="s">
        <v>5842</v>
      </c>
      <c r="K1869" s="99">
        <v>45818</v>
      </c>
      <c r="L1869" s="99">
        <v>45836</v>
      </c>
      <c r="M1869" s="99">
        <v>45836</v>
      </c>
      <c r="O1869" s="111">
        <v>0</v>
      </c>
      <c r="P1869" s="99">
        <v>45836</v>
      </c>
    </row>
    <row r="1870" spans="1:19" ht="15" customHeight="1">
      <c r="A1870" s="15">
        <v>1870</v>
      </c>
      <c r="B1870" s="102" t="s">
        <v>1555</v>
      </c>
      <c r="C1870" s="96" t="s">
        <v>5837</v>
      </c>
      <c r="D1870" t="s">
        <v>3087</v>
      </c>
      <c r="E1870" t="s">
        <v>4294</v>
      </c>
      <c r="F1870" t="s">
        <v>5845</v>
      </c>
      <c r="G1870">
        <v>1702378</v>
      </c>
      <c r="H1870" s="96" t="s">
        <v>830</v>
      </c>
      <c r="I1870" t="s">
        <v>5843</v>
      </c>
      <c r="J1870" t="s">
        <v>5843</v>
      </c>
      <c r="K1870" s="99">
        <v>45821</v>
      </c>
      <c r="L1870" s="99">
        <v>45824</v>
      </c>
      <c r="M1870" s="99">
        <v>45838</v>
      </c>
      <c r="N1870">
        <v>7</v>
      </c>
      <c r="O1870" s="111">
        <v>6000</v>
      </c>
      <c r="P1870" s="99">
        <v>45838</v>
      </c>
    </row>
    <row r="1871" spans="1:19" ht="15" customHeight="1">
      <c r="A1871" s="15">
        <v>1871</v>
      </c>
      <c r="B1871" s="102" t="s">
        <v>3086</v>
      </c>
      <c r="C1871" t="s">
        <v>5847</v>
      </c>
      <c r="D1871" t="s">
        <v>3110</v>
      </c>
      <c r="E1871" t="s">
        <v>3228</v>
      </c>
      <c r="F1871" t="s">
        <v>5848</v>
      </c>
      <c r="G1871">
        <v>61680419</v>
      </c>
      <c r="H1871" s="96" t="s">
        <v>245</v>
      </c>
      <c r="I1871" t="s">
        <v>5849</v>
      </c>
      <c r="J1871" t="s">
        <v>5849</v>
      </c>
      <c r="K1871" s="99">
        <v>45838</v>
      </c>
      <c r="L1871" s="99">
        <v>45838</v>
      </c>
      <c r="M1871" s="99">
        <v>2958465</v>
      </c>
      <c r="N1871">
        <v>1</v>
      </c>
      <c r="O1871" s="111">
        <v>25000</v>
      </c>
      <c r="P1871" s="99">
        <v>2958465</v>
      </c>
      <c r="Q1871" s="111">
        <v>125000</v>
      </c>
      <c r="R1871">
        <v>31773657</v>
      </c>
      <c r="S1871" s="99">
        <v>45838</v>
      </c>
    </row>
    <row r="1872" spans="1:19" ht="15" customHeight="1">
      <c r="A1872" s="15">
        <v>1872</v>
      </c>
      <c r="B1872" s="102" t="s">
        <v>1555</v>
      </c>
      <c r="C1872" t="s">
        <v>5850</v>
      </c>
      <c r="D1872" t="s">
        <v>3087</v>
      </c>
      <c r="E1872" t="s">
        <v>4294</v>
      </c>
      <c r="F1872" t="s">
        <v>3876</v>
      </c>
      <c r="G1872">
        <v>64203</v>
      </c>
      <c r="H1872" s="96" t="s">
        <v>830</v>
      </c>
      <c r="I1872" t="s">
        <v>5859</v>
      </c>
      <c r="J1872" t="s">
        <v>5859</v>
      </c>
      <c r="K1872" s="99">
        <v>45807</v>
      </c>
      <c r="L1872" s="99">
        <v>45809</v>
      </c>
      <c r="M1872" s="99">
        <v>45961</v>
      </c>
      <c r="N1872">
        <v>7</v>
      </c>
      <c r="O1872" s="111">
        <v>36000</v>
      </c>
      <c r="P1872" s="99">
        <v>45961</v>
      </c>
    </row>
    <row r="1873" spans="1:19" ht="15" customHeight="1">
      <c r="A1873" s="15">
        <v>1873</v>
      </c>
      <c r="B1873" s="102" t="s">
        <v>1555</v>
      </c>
      <c r="C1873" t="s">
        <v>5851</v>
      </c>
      <c r="D1873" t="s">
        <v>3087</v>
      </c>
      <c r="E1873" t="s">
        <v>3811</v>
      </c>
      <c r="F1873" t="s">
        <v>5860</v>
      </c>
      <c r="G1873">
        <v>235822</v>
      </c>
      <c r="H1873" s="96" t="s">
        <v>180</v>
      </c>
      <c r="I1873" t="s">
        <v>5858</v>
      </c>
      <c r="J1873" t="s">
        <v>5858</v>
      </c>
      <c r="K1873" s="99">
        <v>45833</v>
      </c>
      <c r="L1873" s="99">
        <v>45836</v>
      </c>
      <c r="M1873" s="99">
        <v>45836</v>
      </c>
      <c r="O1873" s="111">
        <v>0</v>
      </c>
      <c r="P1873" s="99">
        <v>45836</v>
      </c>
    </row>
    <row r="1874" spans="1:19" ht="15" customHeight="1">
      <c r="A1874" s="15">
        <v>1874</v>
      </c>
      <c r="B1874" s="102" t="s">
        <v>1555</v>
      </c>
      <c r="C1874" t="s">
        <v>5852</v>
      </c>
      <c r="D1874" t="s">
        <v>3087</v>
      </c>
      <c r="E1874" t="s">
        <v>3811</v>
      </c>
      <c r="F1874" t="s">
        <v>5861</v>
      </c>
      <c r="G1874">
        <v>63805162</v>
      </c>
      <c r="H1874" s="96" t="s">
        <v>180</v>
      </c>
      <c r="I1874" t="s">
        <v>5857</v>
      </c>
      <c r="J1874" t="s">
        <v>5857</v>
      </c>
      <c r="K1874" s="99">
        <v>45833</v>
      </c>
      <c r="L1874" s="99">
        <v>45857</v>
      </c>
      <c r="M1874" s="99">
        <v>45857</v>
      </c>
      <c r="O1874" s="111">
        <v>0</v>
      </c>
      <c r="P1874" s="99">
        <v>45857</v>
      </c>
    </row>
    <row r="1875" spans="1:19" ht="15" customHeight="1">
      <c r="A1875" s="15">
        <v>1875</v>
      </c>
      <c r="B1875" s="102" t="s">
        <v>1555</v>
      </c>
      <c r="C1875" t="s">
        <v>5853</v>
      </c>
      <c r="D1875" t="s">
        <v>3087</v>
      </c>
      <c r="E1875" t="s">
        <v>4294</v>
      </c>
      <c r="F1875" t="s">
        <v>5862</v>
      </c>
      <c r="G1875">
        <v>11260</v>
      </c>
      <c r="H1875" s="96" t="s">
        <v>830</v>
      </c>
      <c r="I1875" t="s">
        <v>5856</v>
      </c>
      <c r="J1875" t="s">
        <v>5856</v>
      </c>
      <c r="K1875" s="99">
        <v>45833</v>
      </c>
      <c r="L1875" s="99">
        <v>45848</v>
      </c>
      <c r="M1875" s="99">
        <v>45848</v>
      </c>
      <c r="N1875">
        <v>7</v>
      </c>
      <c r="O1875" s="111">
        <v>500</v>
      </c>
      <c r="P1875" s="99">
        <v>45848</v>
      </c>
    </row>
    <row r="1876" spans="1:19" ht="15" customHeight="1">
      <c r="A1876" s="15">
        <v>1876</v>
      </c>
      <c r="B1876" s="102" t="s">
        <v>1555</v>
      </c>
      <c r="C1876" t="s">
        <v>5854</v>
      </c>
      <c r="D1876" t="s">
        <v>3087</v>
      </c>
      <c r="E1876" t="s">
        <v>4294</v>
      </c>
      <c r="F1876" t="s">
        <v>5863</v>
      </c>
      <c r="G1876">
        <v>11261</v>
      </c>
      <c r="H1876" s="96" t="s">
        <v>830</v>
      </c>
      <c r="I1876" t="s">
        <v>5855</v>
      </c>
      <c r="J1876" t="s">
        <v>5855</v>
      </c>
      <c r="K1876" s="99">
        <v>45834</v>
      </c>
      <c r="L1876" s="99">
        <v>45849</v>
      </c>
      <c r="M1876" s="99">
        <v>45851</v>
      </c>
      <c r="O1876" s="111">
        <v>0</v>
      </c>
      <c r="P1876" s="99">
        <v>45851</v>
      </c>
    </row>
    <row r="1877" spans="1:19" ht="15" customHeight="1">
      <c r="A1877" s="15">
        <v>1877</v>
      </c>
      <c r="B1877" s="102" t="s">
        <v>3086</v>
      </c>
      <c r="C1877" t="s">
        <v>5866</v>
      </c>
      <c r="D1877" t="s">
        <v>3139</v>
      </c>
      <c r="E1877" t="s">
        <v>3117</v>
      </c>
      <c r="F1877" t="s">
        <v>5867</v>
      </c>
      <c r="G1877">
        <v>11262</v>
      </c>
      <c r="H1877" s="96" t="s">
        <v>3982</v>
      </c>
      <c r="I1877" t="s">
        <v>5868</v>
      </c>
      <c r="J1877" t="s">
        <v>5868</v>
      </c>
      <c r="K1877" s="99">
        <v>45846</v>
      </c>
      <c r="L1877" s="99">
        <v>45846</v>
      </c>
      <c r="M1877" s="99">
        <v>46575</v>
      </c>
      <c r="N1877" s="859">
        <v>6</v>
      </c>
      <c r="O1877" s="111">
        <v>1000000</v>
      </c>
      <c r="P1877" s="99">
        <v>46575</v>
      </c>
      <c r="Q1877" s="485">
        <v>1210000</v>
      </c>
      <c r="R1877">
        <v>31874249</v>
      </c>
      <c r="S1877" s="99">
        <v>45846</v>
      </c>
    </row>
    <row r="1878" spans="1:19" ht="15" customHeight="1">
      <c r="A1878" s="15">
        <v>1878</v>
      </c>
      <c r="B1878" s="102" t="s">
        <v>1555</v>
      </c>
      <c r="C1878" t="s">
        <v>5869</v>
      </c>
      <c r="D1878" t="s">
        <v>3087</v>
      </c>
      <c r="E1878" t="s">
        <v>3197</v>
      </c>
      <c r="F1878" t="s">
        <v>3478</v>
      </c>
      <c r="G1878">
        <v>27094987</v>
      </c>
      <c r="H1878" s="96" t="s">
        <v>546</v>
      </c>
      <c r="I1878" t="s">
        <v>5870</v>
      </c>
      <c r="J1878" t="s">
        <v>5870</v>
      </c>
      <c r="K1878" s="99">
        <v>45842</v>
      </c>
      <c r="L1878" s="99">
        <v>45845</v>
      </c>
      <c r="M1878" s="99">
        <v>45936</v>
      </c>
      <c r="N1878" s="859">
        <v>7</v>
      </c>
      <c r="O1878" s="111">
        <v>2056939.5</v>
      </c>
      <c r="P1878" s="99">
        <v>45936</v>
      </c>
      <c r="Q1878" s="485">
        <v>2056939.5</v>
      </c>
      <c r="R1878">
        <v>31847609</v>
      </c>
      <c r="S1878" s="99">
        <v>45845</v>
      </c>
    </row>
    <row r="1879" spans="1:19" ht="15" customHeight="1">
      <c r="A1879" s="15">
        <v>1879</v>
      </c>
      <c r="B1879" s="102" t="s">
        <v>1555</v>
      </c>
      <c r="C1879" t="s">
        <v>5871</v>
      </c>
      <c r="D1879" t="s">
        <v>3087</v>
      </c>
      <c r="E1879" s="96" t="s">
        <v>3197</v>
      </c>
      <c r="F1879" s="96" t="s">
        <v>3566</v>
      </c>
      <c r="G1879">
        <v>25594681</v>
      </c>
      <c r="H1879" s="96" t="s">
        <v>546</v>
      </c>
      <c r="I1879" s="96" t="s">
        <v>5872</v>
      </c>
      <c r="J1879" s="96" t="s">
        <v>5872</v>
      </c>
      <c r="K1879" s="99">
        <v>45848</v>
      </c>
      <c r="L1879" s="99">
        <v>45848</v>
      </c>
      <c r="M1879" s="99">
        <v>45909</v>
      </c>
      <c r="N1879" s="859">
        <v>7</v>
      </c>
      <c r="O1879" s="111">
        <v>967395</v>
      </c>
      <c r="P1879" s="99">
        <v>45909</v>
      </c>
      <c r="Q1879" s="838" t="s">
        <v>5873</v>
      </c>
      <c r="R1879">
        <v>31907413</v>
      </c>
      <c r="S1879" s="99">
        <v>45848</v>
      </c>
    </row>
    <row r="1880" spans="1:19" ht="15" customHeight="1">
      <c r="A1880" s="15">
        <v>1880</v>
      </c>
      <c r="B1880" s="102" t="s">
        <v>1555</v>
      </c>
      <c r="C1880" t="s">
        <v>5875</v>
      </c>
      <c r="D1880" t="s">
        <v>3110</v>
      </c>
      <c r="E1880" s="96" t="s">
        <v>3369</v>
      </c>
      <c r="F1880" s="96" t="s">
        <v>5566</v>
      </c>
      <c r="G1880">
        <v>48033758</v>
      </c>
      <c r="H1880" s="96" t="s">
        <v>482</v>
      </c>
      <c r="I1880" s="96" t="s">
        <v>5876</v>
      </c>
      <c r="J1880" s="96" t="s">
        <v>5876</v>
      </c>
      <c r="K1880" s="99">
        <v>45859</v>
      </c>
      <c r="L1880" s="99">
        <v>45859</v>
      </c>
      <c r="M1880" s="99">
        <v>45920</v>
      </c>
      <c r="N1880" s="859">
        <v>7</v>
      </c>
      <c r="O1880" s="111">
        <v>498141.9</v>
      </c>
      <c r="P1880" s="99">
        <v>45920</v>
      </c>
      <c r="Q1880" s="485">
        <v>498141.9</v>
      </c>
      <c r="R1880">
        <v>32016081</v>
      </c>
      <c r="S1880" s="99">
        <v>45859</v>
      </c>
    </row>
    <row r="1881" spans="1:19" ht="15" customHeight="1">
      <c r="A1881" s="15">
        <v>1881</v>
      </c>
      <c r="B1881" s="102" t="s">
        <v>1555</v>
      </c>
      <c r="C1881" t="s">
        <v>5877</v>
      </c>
      <c r="D1881" t="s">
        <v>3110</v>
      </c>
      <c r="E1881" s="96" t="s">
        <v>3369</v>
      </c>
      <c r="F1881" s="96" t="s">
        <v>5566</v>
      </c>
      <c r="G1881">
        <v>48033758</v>
      </c>
      <c r="H1881" s="96" t="s">
        <v>482</v>
      </c>
      <c r="I1881" s="96" t="s">
        <v>5878</v>
      </c>
      <c r="J1881" s="96" t="s">
        <v>5878</v>
      </c>
      <c r="K1881" s="99">
        <v>45848</v>
      </c>
      <c r="L1881" s="99">
        <v>45848</v>
      </c>
      <c r="M1881" s="99">
        <v>45909</v>
      </c>
      <c r="N1881" s="859">
        <v>7</v>
      </c>
      <c r="O1881" s="111">
        <v>468951.23</v>
      </c>
      <c r="P1881" s="99">
        <v>45909</v>
      </c>
      <c r="Q1881" s="485">
        <v>468951.23</v>
      </c>
      <c r="R1881">
        <v>31907529</v>
      </c>
      <c r="S1881" s="99">
        <v>45848</v>
      </c>
    </row>
    <row r="1882" spans="1:19" ht="15" customHeight="1">
      <c r="A1882" s="15">
        <v>1882</v>
      </c>
      <c r="B1882" s="102" t="s">
        <v>1555</v>
      </c>
      <c r="C1882" t="s">
        <v>5882</v>
      </c>
      <c r="D1882" t="s">
        <v>3087</v>
      </c>
      <c r="E1882" t="s">
        <v>3811</v>
      </c>
      <c r="F1882" s="96" t="s">
        <v>3819</v>
      </c>
      <c r="G1882">
        <v>238295</v>
      </c>
      <c r="H1882" s="96" t="s">
        <v>180</v>
      </c>
      <c r="I1882" t="s">
        <v>5883</v>
      </c>
      <c r="J1882" t="s">
        <v>5883</v>
      </c>
      <c r="K1882" s="99">
        <v>45824</v>
      </c>
      <c r="L1882" s="99">
        <v>45824</v>
      </c>
      <c r="M1882" s="99">
        <v>45825</v>
      </c>
      <c r="O1882" s="111">
        <v>0</v>
      </c>
      <c r="P1882" s="99">
        <v>45825</v>
      </c>
    </row>
    <row r="1883" spans="1:19" ht="15" customHeight="1">
      <c r="A1883" s="15">
        <v>1883</v>
      </c>
      <c r="B1883" s="102" t="s">
        <v>1555</v>
      </c>
      <c r="C1883" t="s">
        <v>5884</v>
      </c>
      <c r="D1883" t="s">
        <v>3087</v>
      </c>
      <c r="E1883" s="96" t="s">
        <v>4294</v>
      </c>
      <c r="F1883" s="96" t="s">
        <v>5885</v>
      </c>
      <c r="G1883">
        <v>10772847</v>
      </c>
      <c r="H1883" s="96" t="s">
        <v>830</v>
      </c>
      <c r="I1883" t="s">
        <v>5886</v>
      </c>
      <c r="J1883" t="s">
        <v>5886</v>
      </c>
      <c r="K1883" s="99">
        <v>45809</v>
      </c>
      <c r="L1883" s="99">
        <v>45809</v>
      </c>
      <c r="M1883" s="99">
        <v>45869</v>
      </c>
      <c r="N1883" s="859">
        <v>7</v>
      </c>
      <c r="O1883" s="111">
        <v>4200</v>
      </c>
      <c r="P1883" s="99">
        <v>45869</v>
      </c>
    </row>
    <row r="1884" spans="1:19" ht="15" customHeight="1">
      <c r="A1884" s="15">
        <v>1884</v>
      </c>
      <c r="B1884" s="102" t="s">
        <v>1555</v>
      </c>
      <c r="C1884" t="s">
        <v>5887</v>
      </c>
      <c r="D1884" t="s">
        <v>3087</v>
      </c>
      <c r="E1884" s="96" t="s">
        <v>4294</v>
      </c>
      <c r="F1884" s="96" t="s">
        <v>5889</v>
      </c>
      <c r="G1884">
        <v>11271</v>
      </c>
      <c r="H1884" s="96" t="s">
        <v>830</v>
      </c>
      <c r="I1884" t="s">
        <v>5888</v>
      </c>
      <c r="J1884" t="s">
        <v>5888</v>
      </c>
      <c r="K1884" s="99">
        <v>45838</v>
      </c>
      <c r="L1884" s="99">
        <v>45838</v>
      </c>
      <c r="M1884" s="99">
        <v>45846</v>
      </c>
      <c r="O1884" s="111">
        <v>0</v>
      </c>
      <c r="P1884" s="99">
        <v>45846</v>
      </c>
    </row>
    <row r="1885" spans="1:19" ht="15" customHeight="1">
      <c r="A1885" s="15">
        <v>1885</v>
      </c>
      <c r="B1885" s="102" t="s">
        <v>1555</v>
      </c>
      <c r="C1885" t="s">
        <v>5890</v>
      </c>
      <c r="D1885" t="s">
        <v>3121</v>
      </c>
      <c r="E1885" t="s">
        <v>3958</v>
      </c>
      <c r="F1885" s="96" t="s">
        <v>5897</v>
      </c>
      <c r="G1885">
        <v>11272</v>
      </c>
      <c r="H1885" s="96" t="s">
        <v>588</v>
      </c>
      <c r="I1885" t="s">
        <v>5895</v>
      </c>
      <c r="J1885" t="s">
        <v>5895</v>
      </c>
      <c r="K1885" s="99">
        <v>45847</v>
      </c>
      <c r="L1885" s="99">
        <v>45847</v>
      </c>
      <c r="M1885" s="99">
        <v>45877</v>
      </c>
      <c r="N1885">
        <v>7</v>
      </c>
      <c r="O1885" s="111">
        <v>583120</v>
      </c>
      <c r="P1885" s="99">
        <v>45877</v>
      </c>
      <c r="Q1885" s="111">
        <v>583120</v>
      </c>
      <c r="R1885">
        <v>31889733</v>
      </c>
      <c r="S1885" s="99">
        <v>45847</v>
      </c>
    </row>
    <row r="1886" spans="1:19" ht="15" customHeight="1">
      <c r="A1886" s="15">
        <v>1886</v>
      </c>
      <c r="B1886" s="102" t="s">
        <v>3086</v>
      </c>
      <c r="C1886" t="s">
        <v>5891</v>
      </c>
      <c r="D1886" t="s">
        <v>3087</v>
      </c>
      <c r="E1886" t="s">
        <v>4294</v>
      </c>
      <c r="F1886" s="96" t="s">
        <v>3460</v>
      </c>
      <c r="G1886">
        <v>27235530</v>
      </c>
      <c r="H1886" s="96" t="s">
        <v>830</v>
      </c>
      <c r="I1886" t="s">
        <v>5894</v>
      </c>
      <c r="J1886" t="s">
        <v>5894</v>
      </c>
      <c r="K1886" s="99">
        <v>45838</v>
      </c>
      <c r="L1886" s="99">
        <v>45842</v>
      </c>
      <c r="M1886" s="99">
        <v>46203</v>
      </c>
      <c r="N1886">
        <v>7</v>
      </c>
      <c r="O1886" s="111">
        <v>145000</v>
      </c>
      <c r="P1886" s="99">
        <v>46203</v>
      </c>
      <c r="Q1886" s="111">
        <v>145000</v>
      </c>
      <c r="R1886">
        <v>31839929</v>
      </c>
      <c r="S1886" s="99">
        <v>45842</v>
      </c>
    </row>
    <row r="1887" spans="1:19" ht="15" customHeight="1">
      <c r="A1887" s="15">
        <v>1887</v>
      </c>
      <c r="B1887" s="102" t="s">
        <v>3086</v>
      </c>
      <c r="C1887" t="s">
        <v>5892</v>
      </c>
      <c r="D1887" t="s">
        <v>3139</v>
      </c>
      <c r="E1887" t="s">
        <v>3117</v>
      </c>
      <c r="F1887" s="96" t="s">
        <v>3672</v>
      </c>
      <c r="G1887">
        <v>9275525</v>
      </c>
      <c r="H1887" t="s">
        <v>3982</v>
      </c>
      <c r="I1887" t="s">
        <v>5893</v>
      </c>
      <c r="J1887" t="s">
        <v>5896</v>
      </c>
      <c r="K1887" s="99">
        <v>45846</v>
      </c>
      <c r="L1887" s="99">
        <v>45846</v>
      </c>
      <c r="M1887" s="99">
        <v>46575</v>
      </c>
      <c r="N1887">
        <v>6</v>
      </c>
      <c r="O1887" s="111">
        <v>907500</v>
      </c>
      <c r="P1887" s="99">
        <v>46575</v>
      </c>
      <c r="Q1887" s="111">
        <v>907500</v>
      </c>
      <c r="R1887">
        <v>31874325</v>
      </c>
      <c r="S1887" s="99">
        <v>45846</v>
      </c>
    </row>
    <row r="1888" spans="1:19" ht="15" customHeight="1">
      <c r="A1888" s="15">
        <v>1888</v>
      </c>
      <c r="B1888" s="102" t="s">
        <v>1555</v>
      </c>
      <c r="C1888" t="s">
        <v>5898</v>
      </c>
      <c r="D1888" t="s">
        <v>3110</v>
      </c>
      <c r="E1888" s="96" t="s">
        <v>3369</v>
      </c>
      <c r="F1888" t="s">
        <v>3283</v>
      </c>
      <c r="G1888">
        <v>48033758</v>
      </c>
      <c r="H1888" s="96" t="s">
        <v>482</v>
      </c>
      <c r="I1888" t="s">
        <v>5919</v>
      </c>
      <c r="J1888" t="s">
        <v>5919</v>
      </c>
      <c r="K1888" s="99">
        <v>45859</v>
      </c>
      <c r="L1888" s="99">
        <v>45859</v>
      </c>
      <c r="M1888" s="99">
        <v>45880</v>
      </c>
      <c r="N1888" s="859">
        <v>7</v>
      </c>
      <c r="O1888" s="111">
        <v>420000</v>
      </c>
      <c r="P1888" s="99">
        <v>45880</v>
      </c>
      <c r="Q1888" s="111">
        <v>420000</v>
      </c>
      <c r="R1888">
        <v>32016161</v>
      </c>
      <c r="S1888" s="99">
        <v>45859</v>
      </c>
    </row>
    <row r="1889" spans="1:21" ht="15" customHeight="1">
      <c r="A1889" s="15">
        <v>1889</v>
      </c>
      <c r="B1889" s="102" t="s">
        <v>3086</v>
      </c>
      <c r="C1889" t="s">
        <v>5899</v>
      </c>
      <c r="D1889" t="s">
        <v>3110</v>
      </c>
      <c r="E1889" s="96" t="s">
        <v>3123</v>
      </c>
      <c r="F1889" s="96" t="s">
        <v>5900</v>
      </c>
      <c r="G1889">
        <v>27958639</v>
      </c>
      <c r="H1889" s="96" t="s">
        <v>250</v>
      </c>
      <c r="I1889" s="96" t="s">
        <v>5901</v>
      </c>
      <c r="J1889" s="96" t="s">
        <v>5901</v>
      </c>
      <c r="K1889" s="99">
        <v>45855</v>
      </c>
      <c r="L1889" s="99">
        <v>45855</v>
      </c>
      <c r="M1889" s="99">
        <v>2958465</v>
      </c>
      <c r="N1889" s="859">
        <v>4</v>
      </c>
      <c r="O1889" s="111">
        <v>1.21</v>
      </c>
      <c r="P1889" s="99">
        <v>2958465</v>
      </c>
      <c r="Q1889" s="111">
        <v>6.05</v>
      </c>
      <c r="R1889">
        <v>31994969</v>
      </c>
      <c r="S1889" s="99">
        <v>45855</v>
      </c>
    </row>
    <row r="1890" spans="1:21" ht="15" customHeight="1">
      <c r="A1890" s="15">
        <v>1890</v>
      </c>
      <c r="B1890" s="102" t="s">
        <v>1555</v>
      </c>
      <c r="C1890" t="s">
        <v>5909</v>
      </c>
      <c r="D1890" t="s">
        <v>3087</v>
      </c>
      <c r="E1890" s="96" t="s">
        <v>4294</v>
      </c>
      <c r="F1890" s="96" t="s">
        <v>5159</v>
      </c>
      <c r="G1890">
        <v>10742</v>
      </c>
      <c r="H1890" s="96" t="s">
        <v>830</v>
      </c>
      <c r="I1890" t="s">
        <v>5912</v>
      </c>
      <c r="J1890" t="s">
        <v>5912</v>
      </c>
      <c r="K1890" s="99">
        <v>45841</v>
      </c>
      <c r="L1890" s="99">
        <v>45848</v>
      </c>
      <c r="M1890" s="99">
        <v>45869</v>
      </c>
      <c r="N1890" s="859">
        <v>7</v>
      </c>
      <c r="O1890" s="111">
        <v>5500</v>
      </c>
      <c r="P1890" s="99">
        <v>45869</v>
      </c>
    </row>
    <row r="1891" spans="1:21" ht="15" customHeight="1">
      <c r="A1891" s="15">
        <v>1891</v>
      </c>
      <c r="B1891" s="102" t="s">
        <v>1555</v>
      </c>
      <c r="C1891" t="s">
        <v>5910</v>
      </c>
      <c r="D1891" t="s">
        <v>3087</v>
      </c>
      <c r="E1891" s="96" t="s">
        <v>4294</v>
      </c>
      <c r="F1891" s="96" t="s">
        <v>5540</v>
      </c>
      <c r="G1891">
        <v>11005</v>
      </c>
      <c r="H1891" s="96" t="s">
        <v>830</v>
      </c>
      <c r="I1891" t="s">
        <v>5913</v>
      </c>
      <c r="J1891" t="s">
        <v>5913</v>
      </c>
      <c r="K1891" s="99">
        <v>45840</v>
      </c>
      <c r="L1891" s="99">
        <v>45859</v>
      </c>
      <c r="M1891" s="99">
        <v>45873</v>
      </c>
      <c r="N1891" s="859">
        <v>7</v>
      </c>
      <c r="O1891" s="111">
        <v>3500</v>
      </c>
      <c r="P1891" s="99">
        <v>45873</v>
      </c>
    </row>
    <row r="1892" spans="1:21" ht="15" customHeight="1">
      <c r="A1892" s="15">
        <v>1892</v>
      </c>
      <c r="B1892" s="102" t="s">
        <v>3086</v>
      </c>
      <c r="C1892" s="96" t="s">
        <v>5911</v>
      </c>
      <c r="D1892" t="s">
        <v>3087</v>
      </c>
      <c r="E1892" s="96" t="s">
        <v>4294</v>
      </c>
      <c r="F1892" s="96" t="s">
        <v>3460</v>
      </c>
      <c r="G1892">
        <v>27235530</v>
      </c>
      <c r="H1892" s="96" t="s">
        <v>830</v>
      </c>
      <c r="I1892" t="s">
        <v>5914</v>
      </c>
      <c r="J1892" t="s">
        <v>5914</v>
      </c>
      <c r="K1892" s="99">
        <v>45838</v>
      </c>
      <c r="L1892" s="99">
        <v>45839</v>
      </c>
      <c r="M1892" s="99">
        <v>46203</v>
      </c>
      <c r="N1892" s="859">
        <v>7</v>
      </c>
      <c r="O1892" s="111">
        <v>45000</v>
      </c>
      <c r="P1892" s="99">
        <v>46203</v>
      </c>
    </row>
    <row r="1893" spans="1:21" ht="15" customHeight="1">
      <c r="A1893" s="15">
        <v>1893</v>
      </c>
      <c r="B1893" s="102" t="s">
        <v>1555</v>
      </c>
      <c r="C1893" t="s">
        <v>5915</v>
      </c>
      <c r="D1893" t="s">
        <v>3087</v>
      </c>
      <c r="E1893" s="96" t="s">
        <v>4294</v>
      </c>
      <c r="F1893" t="s">
        <v>5916</v>
      </c>
      <c r="G1893">
        <v>11280</v>
      </c>
      <c r="H1893" s="96" t="s">
        <v>830</v>
      </c>
      <c r="I1893" s="96" t="s">
        <v>5917</v>
      </c>
      <c r="J1893" s="96" t="s">
        <v>5917</v>
      </c>
      <c r="K1893" s="99">
        <v>45842</v>
      </c>
      <c r="L1893" s="99">
        <v>45842</v>
      </c>
      <c r="M1893" s="99">
        <v>45900</v>
      </c>
      <c r="O1893" s="111">
        <v>0</v>
      </c>
      <c r="P1893" s="99">
        <v>45900</v>
      </c>
    </row>
    <row r="1894" spans="1:21" ht="15" customHeight="1">
      <c r="A1894" s="15">
        <v>1894</v>
      </c>
      <c r="B1894" s="102" t="s">
        <v>3086</v>
      </c>
      <c r="C1894" t="s">
        <v>5920</v>
      </c>
      <c r="D1894" t="s">
        <v>4667</v>
      </c>
      <c r="E1894" s="96" t="s">
        <v>3197</v>
      </c>
      <c r="F1894" s="96" t="s">
        <v>5921</v>
      </c>
      <c r="G1894">
        <v>5429269</v>
      </c>
      <c r="H1894" s="96" t="s">
        <v>546</v>
      </c>
      <c r="I1894" t="s">
        <v>5922</v>
      </c>
      <c r="J1894" t="s">
        <v>5922</v>
      </c>
      <c r="K1894" s="99">
        <v>45919</v>
      </c>
      <c r="L1894" s="99" t="s">
        <v>6138</v>
      </c>
      <c r="M1894" s="99">
        <v>46081</v>
      </c>
      <c r="N1894" s="859">
        <v>7</v>
      </c>
      <c r="O1894" s="111">
        <v>427280</v>
      </c>
      <c r="P1894" s="99">
        <v>46081</v>
      </c>
      <c r="Q1894" s="485">
        <v>427280</v>
      </c>
      <c r="R1894" t="s">
        <v>6182</v>
      </c>
      <c r="S1894" s="99" t="s">
        <v>6183</v>
      </c>
    </row>
    <row r="1895" spans="1:21" ht="15" customHeight="1">
      <c r="A1895" s="15">
        <v>1895</v>
      </c>
      <c r="B1895" s="102" t="s">
        <v>3086</v>
      </c>
      <c r="C1895" t="s">
        <v>5923</v>
      </c>
      <c r="D1895" t="s">
        <v>3087</v>
      </c>
      <c r="E1895" s="96" t="s">
        <v>5827</v>
      </c>
      <c r="F1895" s="96" t="s">
        <v>3381</v>
      </c>
      <c r="G1895">
        <v>28849809</v>
      </c>
      <c r="H1895" s="96" t="s">
        <v>361</v>
      </c>
      <c r="I1895" t="s">
        <v>5924</v>
      </c>
      <c r="J1895" t="s">
        <v>5924</v>
      </c>
      <c r="K1895" s="99">
        <v>45866</v>
      </c>
      <c r="L1895" s="99">
        <v>45867</v>
      </c>
      <c r="M1895" s="99">
        <v>46231</v>
      </c>
      <c r="N1895" s="859">
        <v>6</v>
      </c>
      <c r="O1895" s="111">
        <v>392000</v>
      </c>
      <c r="P1895" s="99">
        <v>46231</v>
      </c>
      <c r="Q1895" s="485">
        <v>392000</v>
      </c>
      <c r="R1895">
        <v>32107957</v>
      </c>
      <c r="S1895" s="99">
        <v>45867</v>
      </c>
    </row>
    <row r="1896" spans="1:21" ht="15" customHeight="1">
      <c r="A1896" s="15">
        <v>1896</v>
      </c>
      <c r="B1896" s="102" t="s">
        <v>3086</v>
      </c>
      <c r="C1896" t="s">
        <v>5925</v>
      </c>
      <c r="D1896" t="s">
        <v>3087</v>
      </c>
      <c r="E1896" s="96" t="s">
        <v>5827</v>
      </c>
      <c r="F1896" s="96" t="s">
        <v>3478</v>
      </c>
      <c r="G1896">
        <v>27094987</v>
      </c>
      <c r="H1896" s="96" t="s">
        <v>361</v>
      </c>
      <c r="I1896" t="s">
        <v>5926</v>
      </c>
      <c r="J1896" t="s">
        <v>5926</v>
      </c>
      <c r="K1896" s="99">
        <v>45873</v>
      </c>
      <c r="L1896" s="99">
        <v>45873</v>
      </c>
      <c r="M1896" s="99">
        <v>46237</v>
      </c>
      <c r="N1896" s="859">
        <v>6</v>
      </c>
      <c r="O1896" s="111">
        <v>280000</v>
      </c>
      <c r="P1896" s="99">
        <v>46237</v>
      </c>
      <c r="Q1896" s="485">
        <v>280000</v>
      </c>
      <c r="R1896">
        <v>32172169</v>
      </c>
      <c r="S1896" s="99">
        <v>45873</v>
      </c>
    </row>
    <row r="1897" spans="1:21" ht="15" customHeight="1">
      <c r="A1897" s="15">
        <v>1897</v>
      </c>
      <c r="B1897" s="102" t="s">
        <v>1555</v>
      </c>
      <c r="C1897" t="s">
        <v>5927</v>
      </c>
      <c r="D1897" t="s">
        <v>3116</v>
      </c>
      <c r="E1897" s="96" t="s">
        <v>3197</v>
      </c>
      <c r="F1897" s="96" t="s">
        <v>5928</v>
      </c>
      <c r="G1897">
        <v>5902746</v>
      </c>
      <c r="H1897" s="96" t="s">
        <v>546</v>
      </c>
      <c r="I1897" t="s">
        <v>5929</v>
      </c>
      <c r="J1897" t="s">
        <v>5929</v>
      </c>
      <c r="K1897" s="99">
        <v>45884</v>
      </c>
      <c r="L1897" s="99">
        <v>45884</v>
      </c>
      <c r="M1897" s="99">
        <v>45905</v>
      </c>
      <c r="N1897" s="859">
        <v>7</v>
      </c>
      <c r="O1897" s="111">
        <v>88323.95</v>
      </c>
      <c r="P1897" s="99">
        <v>45905</v>
      </c>
      <c r="Q1897" s="485">
        <v>88323.95</v>
      </c>
      <c r="R1897">
        <v>32299497</v>
      </c>
      <c r="S1897" s="99">
        <v>45884</v>
      </c>
    </row>
    <row r="1898" spans="1:21" ht="15" customHeight="1">
      <c r="A1898" s="15">
        <v>1898</v>
      </c>
      <c r="B1898" s="102" t="s">
        <v>3086</v>
      </c>
      <c r="C1898" t="s">
        <v>5930</v>
      </c>
      <c r="D1898" t="s">
        <v>3116</v>
      </c>
      <c r="E1898" s="96" t="s">
        <v>3369</v>
      </c>
      <c r="F1898" s="96" t="s">
        <v>5928</v>
      </c>
      <c r="G1898">
        <v>5902746</v>
      </c>
      <c r="H1898" s="96" t="s">
        <v>482</v>
      </c>
      <c r="I1898" t="s">
        <v>5931</v>
      </c>
      <c r="J1898" t="s">
        <v>5931</v>
      </c>
      <c r="K1898" s="99">
        <v>45884</v>
      </c>
      <c r="L1898" s="99">
        <v>45884</v>
      </c>
      <c r="M1898" s="99">
        <v>46067</v>
      </c>
      <c r="N1898" s="859">
        <v>7</v>
      </c>
      <c r="O1898" s="111">
        <v>885313.44</v>
      </c>
      <c r="P1898" s="838" t="s">
        <v>5996</v>
      </c>
      <c r="Q1898" s="485">
        <v>885313.44</v>
      </c>
      <c r="R1898">
        <v>32299545</v>
      </c>
      <c r="S1898" s="99">
        <v>45884</v>
      </c>
    </row>
    <row r="1899" spans="1:21" ht="15" customHeight="1">
      <c r="A1899" s="15">
        <v>1899</v>
      </c>
      <c r="B1899" s="102" t="s">
        <v>3086</v>
      </c>
      <c r="C1899" t="s">
        <v>5932</v>
      </c>
      <c r="D1899" t="s">
        <v>3087</v>
      </c>
      <c r="E1899" s="96" t="s">
        <v>5827</v>
      </c>
      <c r="F1899" s="96" t="s">
        <v>5096</v>
      </c>
      <c r="G1899">
        <v>24766356</v>
      </c>
      <c r="H1899" s="96" t="s">
        <v>361</v>
      </c>
      <c r="I1899" t="s">
        <v>5933</v>
      </c>
      <c r="J1899" t="s">
        <v>5933</v>
      </c>
      <c r="K1899" s="99">
        <v>45903</v>
      </c>
      <c r="L1899" s="99">
        <v>45903</v>
      </c>
      <c r="M1899" s="99">
        <v>46267</v>
      </c>
      <c r="N1899" s="859">
        <v>6</v>
      </c>
      <c r="O1899" s="111">
        <v>77280</v>
      </c>
      <c r="P1899" s="99">
        <v>46267</v>
      </c>
      <c r="Q1899" s="485">
        <v>77280</v>
      </c>
      <c r="R1899">
        <v>32502045</v>
      </c>
      <c r="S1899" s="99">
        <v>45903</v>
      </c>
    </row>
    <row r="1900" spans="1:21" ht="15" customHeight="1">
      <c r="A1900" s="15">
        <v>1900</v>
      </c>
      <c r="B1900" s="102" t="s">
        <v>3086</v>
      </c>
      <c r="C1900" t="s">
        <v>5934</v>
      </c>
      <c r="D1900" t="s">
        <v>3087</v>
      </c>
      <c r="E1900" s="96" t="s">
        <v>5827</v>
      </c>
      <c r="F1900" s="96" t="s">
        <v>3509</v>
      </c>
      <c r="G1900">
        <v>26698293</v>
      </c>
      <c r="H1900" s="96" t="s">
        <v>361</v>
      </c>
      <c r="I1900" t="s">
        <v>5935</v>
      </c>
      <c r="J1900" t="s">
        <v>5935</v>
      </c>
      <c r="K1900" s="99">
        <v>45887</v>
      </c>
      <c r="L1900" s="99">
        <v>45887</v>
      </c>
      <c r="M1900" s="99">
        <v>46251</v>
      </c>
      <c r="N1900" s="859">
        <v>6</v>
      </c>
      <c r="O1900" s="111">
        <v>86240</v>
      </c>
      <c r="P1900" s="99">
        <v>46251</v>
      </c>
      <c r="Q1900" s="485">
        <v>86240</v>
      </c>
      <c r="R1900">
        <v>32311545</v>
      </c>
      <c r="S1900" s="99">
        <v>45887</v>
      </c>
    </row>
    <row r="1901" spans="1:21" ht="15" customHeight="1">
      <c r="A1901" s="15">
        <v>1901</v>
      </c>
      <c r="B1901" s="102" t="s">
        <v>3086</v>
      </c>
      <c r="C1901" t="s">
        <v>5936</v>
      </c>
      <c r="D1901" t="s">
        <v>3087</v>
      </c>
      <c r="E1901" s="96" t="s">
        <v>5827</v>
      </c>
      <c r="F1901" s="96" t="s">
        <v>5096</v>
      </c>
      <c r="G1901">
        <v>24766356</v>
      </c>
      <c r="H1901" s="96" t="s">
        <v>361</v>
      </c>
      <c r="I1901" t="s">
        <v>5937</v>
      </c>
      <c r="J1901" t="s">
        <v>5937</v>
      </c>
      <c r="K1901" s="99">
        <v>45903</v>
      </c>
      <c r="L1901" s="99">
        <v>45903</v>
      </c>
      <c r="M1901" s="99">
        <v>46267</v>
      </c>
      <c r="N1901" s="859">
        <v>6</v>
      </c>
      <c r="O1901" s="111">
        <v>150080</v>
      </c>
      <c r="P1901" s="99">
        <v>46267</v>
      </c>
      <c r="Q1901" s="485">
        <v>150080</v>
      </c>
      <c r="R1901">
        <v>32502081</v>
      </c>
      <c r="S1901" s="99">
        <v>45903</v>
      </c>
    </row>
    <row r="1902" spans="1:21" ht="15" customHeight="1">
      <c r="A1902" s="15">
        <v>1902</v>
      </c>
      <c r="B1902" s="102" t="s">
        <v>1555</v>
      </c>
      <c r="C1902" t="s">
        <v>5938</v>
      </c>
      <c r="D1902" t="s">
        <v>3110</v>
      </c>
      <c r="E1902" s="96" t="s">
        <v>3369</v>
      </c>
      <c r="F1902" s="96" t="s">
        <v>3628</v>
      </c>
      <c r="G1902">
        <v>24154041</v>
      </c>
      <c r="H1902" s="96" t="s">
        <v>482</v>
      </c>
      <c r="I1902" t="s">
        <v>5939</v>
      </c>
      <c r="J1902" t="s">
        <v>5939</v>
      </c>
      <c r="K1902" s="99">
        <v>45866</v>
      </c>
      <c r="L1902" s="99">
        <v>45866</v>
      </c>
      <c r="M1902" s="99">
        <v>45878</v>
      </c>
      <c r="N1902" s="831">
        <v>7</v>
      </c>
      <c r="O1902" s="111">
        <v>350900</v>
      </c>
      <c r="P1902" s="99">
        <v>45878</v>
      </c>
      <c r="Q1902" s="485">
        <v>350900</v>
      </c>
      <c r="R1902">
        <v>32092057</v>
      </c>
      <c r="S1902" s="99">
        <v>45866</v>
      </c>
      <c r="U1902" s="99"/>
    </row>
    <row r="1903" spans="1:21" ht="15" customHeight="1">
      <c r="A1903" s="15">
        <v>1903</v>
      </c>
      <c r="B1903" s="102" t="s">
        <v>1555</v>
      </c>
      <c r="C1903" t="s">
        <v>5940</v>
      </c>
      <c r="D1903" t="s">
        <v>3087</v>
      </c>
      <c r="E1903" s="96" t="s">
        <v>3811</v>
      </c>
      <c r="F1903" s="96" t="s">
        <v>5959</v>
      </c>
      <c r="G1903">
        <v>241971</v>
      </c>
      <c r="H1903" t="s">
        <v>180</v>
      </c>
      <c r="I1903" t="s">
        <v>5955</v>
      </c>
      <c r="J1903" t="s">
        <v>5955</v>
      </c>
      <c r="K1903" s="99">
        <v>45853</v>
      </c>
      <c r="L1903" s="99">
        <v>45864</v>
      </c>
      <c r="M1903" s="99">
        <v>45864</v>
      </c>
      <c r="N1903" s="831">
        <v>7</v>
      </c>
      <c r="O1903" s="111">
        <v>2780</v>
      </c>
      <c r="P1903" s="99">
        <v>45864</v>
      </c>
    </row>
    <row r="1904" spans="1:21" ht="15" customHeight="1">
      <c r="A1904" s="15">
        <v>1904</v>
      </c>
      <c r="B1904" s="102" t="s">
        <v>1555</v>
      </c>
      <c r="C1904" t="s">
        <v>5941</v>
      </c>
      <c r="D1904" t="s">
        <v>3087</v>
      </c>
      <c r="E1904" s="96" t="s">
        <v>3811</v>
      </c>
      <c r="F1904" s="96" t="s">
        <v>3798</v>
      </c>
      <c r="G1904">
        <v>242535</v>
      </c>
      <c r="H1904" t="s">
        <v>180</v>
      </c>
      <c r="I1904" t="s">
        <v>5954</v>
      </c>
      <c r="J1904" t="s">
        <v>5954</v>
      </c>
      <c r="K1904" s="99">
        <v>45856</v>
      </c>
      <c r="L1904" s="99">
        <v>45878</v>
      </c>
      <c r="M1904" s="99">
        <v>45878</v>
      </c>
      <c r="N1904" s="831"/>
      <c r="O1904" s="111">
        <v>0</v>
      </c>
      <c r="P1904" s="99">
        <v>45878</v>
      </c>
    </row>
    <row r="1905" spans="1:19" ht="15" customHeight="1">
      <c r="A1905" s="15">
        <v>1905</v>
      </c>
      <c r="B1905" s="102" t="s">
        <v>1555</v>
      </c>
      <c r="C1905" t="s">
        <v>5942</v>
      </c>
      <c r="D1905" t="s">
        <v>3087</v>
      </c>
      <c r="E1905" s="96" t="s">
        <v>4294</v>
      </c>
      <c r="F1905" s="96" t="s">
        <v>3098</v>
      </c>
      <c r="G1905">
        <v>75095432</v>
      </c>
      <c r="H1905" s="96" t="s">
        <v>830</v>
      </c>
      <c r="I1905" t="s">
        <v>5953</v>
      </c>
      <c r="J1905" t="s">
        <v>5953</v>
      </c>
      <c r="K1905" s="99">
        <v>45852</v>
      </c>
      <c r="L1905" s="99">
        <v>45887</v>
      </c>
      <c r="M1905" s="99">
        <v>45898</v>
      </c>
      <c r="N1905" s="831">
        <v>7</v>
      </c>
      <c r="O1905" s="111">
        <v>4200</v>
      </c>
      <c r="P1905" s="99">
        <v>45898</v>
      </c>
    </row>
    <row r="1906" spans="1:19" ht="15" customHeight="1">
      <c r="A1906" s="15">
        <v>1906</v>
      </c>
      <c r="B1906" s="102" t="s">
        <v>3086</v>
      </c>
      <c r="C1906" t="s">
        <v>5943</v>
      </c>
      <c r="D1906" t="s">
        <v>3087</v>
      </c>
      <c r="E1906" s="96" t="s">
        <v>4294</v>
      </c>
      <c r="F1906" t="s">
        <v>5958</v>
      </c>
      <c r="G1906">
        <v>11296</v>
      </c>
      <c r="H1906" s="96" t="s">
        <v>830</v>
      </c>
      <c r="I1906" t="s">
        <v>5952</v>
      </c>
      <c r="J1906" t="s">
        <v>5952</v>
      </c>
      <c r="K1906" s="99">
        <v>45855</v>
      </c>
      <c r="L1906" s="99">
        <v>45870</v>
      </c>
      <c r="M1906" s="99">
        <v>46022</v>
      </c>
      <c r="N1906" s="831">
        <v>7</v>
      </c>
      <c r="O1906" s="111">
        <v>7500</v>
      </c>
      <c r="P1906" s="99">
        <v>46022</v>
      </c>
    </row>
    <row r="1907" spans="1:19" ht="15" customHeight="1">
      <c r="A1907" s="15">
        <v>1907</v>
      </c>
      <c r="B1907" s="102" t="s">
        <v>1555</v>
      </c>
      <c r="C1907" t="s">
        <v>5944</v>
      </c>
      <c r="D1907" t="s">
        <v>3087</v>
      </c>
      <c r="E1907" s="96" t="s">
        <v>3811</v>
      </c>
      <c r="F1907" t="s">
        <v>4766</v>
      </c>
      <c r="G1907">
        <v>1323741</v>
      </c>
      <c r="H1907" t="s">
        <v>180</v>
      </c>
      <c r="I1907" t="s">
        <v>5951</v>
      </c>
      <c r="J1907" t="s">
        <v>5951</v>
      </c>
      <c r="K1907" s="99">
        <v>45861</v>
      </c>
      <c r="L1907" s="99">
        <v>45871</v>
      </c>
      <c r="M1907" s="99">
        <v>45871</v>
      </c>
      <c r="N1907" s="831"/>
      <c r="O1907" s="111">
        <v>0</v>
      </c>
      <c r="P1907" s="99">
        <v>45871</v>
      </c>
    </row>
    <row r="1908" spans="1:19" ht="15" customHeight="1">
      <c r="A1908" s="15">
        <v>1908</v>
      </c>
      <c r="B1908" s="102" t="s">
        <v>1555</v>
      </c>
      <c r="C1908" t="s">
        <v>5945</v>
      </c>
      <c r="D1908" t="s">
        <v>3087</v>
      </c>
      <c r="E1908" s="96" t="s">
        <v>4294</v>
      </c>
      <c r="F1908" t="s">
        <v>5957</v>
      </c>
      <c r="G1908">
        <v>9532</v>
      </c>
      <c r="H1908" t="s">
        <v>830</v>
      </c>
      <c r="I1908" t="s">
        <v>5950</v>
      </c>
      <c r="J1908" t="s">
        <v>5950</v>
      </c>
      <c r="K1908" s="99">
        <v>45823</v>
      </c>
      <c r="L1908" s="99">
        <v>45823</v>
      </c>
      <c r="M1908" s="99">
        <v>45823</v>
      </c>
      <c r="N1908" s="831"/>
      <c r="O1908" s="111">
        <v>0</v>
      </c>
      <c r="P1908" s="99">
        <v>45823</v>
      </c>
    </row>
    <row r="1909" spans="1:19" ht="15" customHeight="1">
      <c r="A1909" s="15">
        <v>1909</v>
      </c>
      <c r="B1909" s="102" t="s">
        <v>1555</v>
      </c>
      <c r="C1909" t="s">
        <v>5946</v>
      </c>
      <c r="D1909" t="s">
        <v>3087</v>
      </c>
      <c r="E1909" s="96" t="s">
        <v>4294</v>
      </c>
      <c r="F1909" t="s">
        <v>5956</v>
      </c>
      <c r="G1909">
        <v>11297</v>
      </c>
      <c r="H1909" t="s">
        <v>830</v>
      </c>
      <c r="I1909" t="s">
        <v>5949</v>
      </c>
      <c r="J1909" t="s">
        <v>5949</v>
      </c>
      <c r="K1909" s="99">
        <v>45845</v>
      </c>
      <c r="L1909" s="99">
        <v>45850</v>
      </c>
      <c r="M1909" s="99">
        <v>45862</v>
      </c>
      <c r="N1909" s="831">
        <v>7</v>
      </c>
      <c r="O1909" s="111">
        <v>2500</v>
      </c>
      <c r="P1909" s="99">
        <v>45862</v>
      </c>
    </row>
    <row r="1910" spans="1:19" ht="15" customHeight="1">
      <c r="A1910" s="15">
        <v>1910</v>
      </c>
      <c r="B1910" s="102" t="s">
        <v>3086</v>
      </c>
      <c r="C1910" s="96" t="s">
        <v>5947</v>
      </c>
      <c r="D1910" t="s">
        <v>3087</v>
      </c>
      <c r="E1910" s="96" t="s">
        <v>4294</v>
      </c>
      <c r="F1910" t="s">
        <v>4653</v>
      </c>
      <c r="G1910">
        <v>10331</v>
      </c>
      <c r="H1910" t="s">
        <v>830</v>
      </c>
      <c r="I1910" t="s">
        <v>5948</v>
      </c>
      <c r="J1910" t="s">
        <v>5948</v>
      </c>
      <c r="K1910" s="99">
        <v>45862</v>
      </c>
      <c r="L1910" s="99">
        <v>45901</v>
      </c>
      <c r="M1910" s="99">
        <v>46203</v>
      </c>
      <c r="N1910" s="831"/>
      <c r="O1910" s="111">
        <v>0</v>
      </c>
      <c r="P1910" s="99">
        <v>46203</v>
      </c>
    </row>
    <row r="1911" spans="1:19" ht="15" customHeight="1">
      <c r="A1911" s="15">
        <v>1911</v>
      </c>
      <c r="B1911" s="102" t="s">
        <v>3086</v>
      </c>
      <c r="C1911" t="s">
        <v>5963</v>
      </c>
      <c r="D1911" t="s">
        <v>3110</v>
      </c>
      <c r="E1911" s="96" t="s">
        <v>3141</v>
      </c>
      <c r="F1911" t="s">
        <v>3571</v>
      </c>
      <c r="G1911">
        <v>25458302</v>
      </c>
      <c r="H1911" t="s">
        <v>4207</v>
      </c>
      <c r="I1911" t="s">
        <v>5964</v>
      </c>
      <c r="J1911" t="s">
        <v>5964</v>
      </c>
      <c r="K1911" s="99">
        <v>45866</v>
      </c>
      <c r="L1911" s="99">
        <v>46023</v>
      </c>
      <c r="M1911" s="99">
        <v>46387</v>
      </c>
      <c r="N1911" s="831">
        <v>2</v>
      </c>
      <c r="O1911" s="111">
        <v>0</v>
      </c>
      <c r="P1911" s="99">
        <v>46387</v>
      </c>
    </row>
    <row r="1912" spans="1:19" ht="15" customHeight="1">
      <c r="A1912" s="15">
        <v>1912</v>
      </c>
      <c r="B1912" s="102" t="s">
        <v>3086</v>
      </c>
      <c r="C1912" t="s">
        <v>5965</v>
      </c>
      <c r="D1912" t="s">
        <v>3110</v>
      </c>
      <c r="E1912" s="96" t="s">
        <v>3141</v>
      </c>
      <c r="F1912" t="s">
        <v>4206</v>
      </c>
      <c r="G1912">
        <v>17323886</v>
      </c>
      <c r="H1912" t="s">
        <v>4207</v>
      </c>
      <c r="I1912" t="s">
        <v>5966</v>
      </c>
      <c r="J1912" t="s">
        <v>5966</v>
      </c>
      <c r="K1912" s="99">
        <v>45866</v>
      </c>
      <c r="L1912" s="99">
        <v>46023</v>
      </c>
      <c r="M1912" s="99">
        <v>46387</v>
      </c>
      <c r="N1912" s="831">
        <v>1</v>
      </c>
      <c r="O1912" s="111">
        <v>0</v>
      </c>
      <c r="P1912" s="99">
        <v>46387</v>
      </c>
    </row>
    <row r="1913" spans="1:19" ht="15" customHeight="1">
      <c r="A1913" s="15">
        <v>1913</v>
      </c>
      <c r="B1913" s="102" t="s">
        <v>1555</v>
      </c>
      <c r="C1913" t="s">
        <v>5972</v>
      </c>
      <c r="D1913" t="s">
        <v>3087</v>
      </c>
      <c r="E1913" s="96" t="s">
        <v>4294</v>
      </c>
      <c r="F1913" t="s">
        <v>4570</v>
      </c>
      <c r="G1913">
        <v>10303</v>
      </c>
      <c r="H1913" s="96" t="s">
        <v>830</v>
      </c>
      <c r="I1913" t="s">
        <v>5974</v>
      </c>
      <c r="J1913" t="s">
        <v>5974</v>
      </c>
      <c r="K1913" s="99">
        <v>45866</v>
      </c>
      <c r="L1913" s="99">
        <v>45866</v>
      </c>
      <c r="M1913" s="99">
        <v>45877</v>
      </c>
      <c r="O1913" s="111">
        <v>0</v>
      </c>
      <c r="P1913" s="99">
        <v>45877</v>
      </c>
    </row>
    <row r="1914" spans="1:19" ht="15" customHeight="1">
      <c r="A1914" s="15">
        <v>1914</v>
      </c>
      <c r="B1914" s="102" t="s">
        <v>1555</v>
      </c>
      <c r="C1914" t="s">
        <v>5973</v>
      </c>
      <c r="D1914" t="s">
        <v>3087</v>
      </c>
      <c r="E1914" s="96" t="s">
        <v>4294</v>
      </c>
      <c r="F1914" t="s">
        <v>5394</v>
      </c>
      <c r="G1914">
        <v>10949</v>
      </c>
      <c r="H1914" s="96" t="s">
        <v>830</v>
      </c>
      <c r="I1914" t="s">
        <v>5975</v>
      </c>
      <c r="J1914" t="s">
        <v>5975</v>
      </c>
      <c r="K1914" s="99">
        <v>45863</v>
      </c>
      <c r="L1914" s="99">
        <v>45863</v>
      </c>
      <c r="M1914" s="99">
        <v>45882</v>
      </c>
      <c r="N1914" s="831">
        <v>7</v>
      </c>
      <c r="O1914" s="111">
        <v>2000</v>
      </c>
      <c r="P1914" s="99">
        <v>45882</v>
      </c>
    </row>
    <row r="1915" spans="1:19" ht="15" customHeight="1">
      <c r="A1915" s="15">
        <v>1915</v>
      </c>
      <c r="B1915" s="102" t="s">
        <v>3086</v>
      </c>
      <c r="C1915" t="s">
        <v>5967</v>
      </c>
      <c r="D1915" t="s">
        <v>3094</v>
      </c>
      <c r="E1915" s="96" t="s">
        <v>5827</v>
      </c>
      <c r="F1915" s="96" t="s">
        <v>5968</v>
      </c>
      <c r="G1915">
        <v>49689011</v>
      </c>
      <c r="H1915" t="s">
        <v>4036</v>
      </c>
      <c r="I1915" t="s">
        <v>5969</v>
      </c>
      <c r="J1915" t="s">
        <v>5969</v>
      </c>
      <c r="K1915" s="99">
        <v>45877</v>
      </c>
      <c r="L1915" s="99">
        <v>45877</v>
      </c>
      <c r="M1915" s="99">
        <v>46606</v>
      </c>
      <c r="N1915" s="831">
        <v>6</v>
      </c>
      <c r="O1915" s="111">
        <v>2608021.92</v>
      </c>
      <c r="P1915" s="99">
        <v>46606</v>
      </c>
      <c r="Q1915" s="485">
        <v>2608021.92</v>
      </c>
      <c r="R1915">
        <v>32235257</v>
      </c>
      <c r="S1915" s="99">
        <v>45877</v>
      </c>
    </row>
    <row r="1916" spans="1:19" ht="15" customHeight="1">
      <c r="A1916" s="15">
        <v>1916</v>
      </c>
      <c r="B1916" s="102" t="s">
        <v>3086</v>
      </c>
      <c r="C1916" s="96" t="s">
        <v>5970</v>
      </c>
      <c r="D1916" t="s">
        <v>3094</v>
      </c>
      <c r="E1916" s="96" t="s">
        <v>5827</v>
      </c>
      <c r="F1916" s="96" t="s">
        <v>5977</v>
      </c>
      <c r="G1916">
        <v>48586285</v>
      </c>
      <c r="H1916" s="96" t="s">
        <v>4036</v>
      </c>
      <c r="I1916" s="96" t="s">
        <v>5971</v>
      </c>
      <c r="J1916" s="96" t="s">
        <v>5971</v>
      </c>
      <c r="K1916" s="99">
        <v>45876</v>
      </c>
      <c r="L1916" s="99">
        <v>45877</v>
      </c>
      <c r="M1916" s="99">
        <v>46606</v>
      </c>
      <c r="N1916" s="831">
        <v>6</v>
      </c>
      <c r="O1916" s="111">
        <v>397464.48</v>
      </c>
      <c r="P1916" s="99">
        <v>46606</v>
      </c>
      <c r="Q1916" s="485">
        <v>397464.48</v>
      </c>
      <c r="R1916" s="96" t="s">
        <v>6089</v>
      </c>
      <c r="S1916" s="99" t="s">
        <v>6090</v>
      </c>
    </row>
    <row r="1917" spans="1:19" ht="15" customHeight="1">
      <c r="A1917" s="15">
        <v>1917</v>
      </c>
      <c r="B1917" s="102" t="s">
        <v>3086</v>
      </c>
      <c r="C1917" t="s">
        <v>5978</v>
      </c>
      <c r="D1917" t="s">
        <v>3110</v>
      </c>
      <c r="E1917" s="96" t="s">
        <v>3117</v>
      </c>
      <c r="F1917" t="s">
        <v>3663</v>
      </c>
      <c r="G1917">
        <v>11305304</v>
      </c>
      <c r="H1917" t="s">
        <v>3982</v>
      </c>
      <c r="I1917" t="s">
        <v>5979</v>
      </c>
      <c r="J1917" t="s">
        <v>5979</v>
      </c>
      <c r="K1917" s="99">
        <v>45916</v>
      </c>
      <c r="L1917" s="99">
        <v>45916</v>
      </c>
      <c r="M1917" s="99">
        <v>46645</v>
      </c>
      <c r="N1917" s="831">
        <v>1</v>
      </c>
      <c r="O1917" s="111">
        <v>17424</v>
      </c>
      <c r="P1917" s="99">
        <v>46645</v>
      </c>
      <c r="Q1917" s="485">
        <v>28800</v>
      </c>
      <c r="R1917">
        <v>32654625</v>
      </c>
      <c r="S1917" s="99">
        <v>45916</v>
      </c>
    </row>
    <row r="1918" spans="1:19" ht="15" customHeight="1">
      <c r="A1918" s="15">
        <v>1918</v>
      </c>
      <c r="B1918" s="102" t="s">
        <v>1555</v>
      </c>
      <c r="C1918" t="s">
        <v>5985</v>
      </c>
      <c r="D1918" t="s">
        <v>3087</v>
      </c>
      <c r="E1918" s="96" t="s">
        <v>4294</v>
      </c>
      <c r="F1918" t="s">
        <v>5986</v>
      </c>
      <c r="G1918">
        <v>11348</v>
      </c>
      <c r="H1918" s="96" t="s">
        <v>830</v>
      </c>
      <c r="I1918" t="s">
        <v>5987</v>
      </c>
      <c r="J1918" t="s">
        <v>5987</v>
      </c>
      <c r="K1918" s="99">
        <v>45880</v>
      </c>
      <c r="L1918" s="99">
        <v>45880</v>
      </c>
      <c r="M1918" s="99">
        <v>45900</v>
      </c>
      <c r="N1918" s="831">
        <v>7</v>
      </c>
      <c r="O1918" s="111">
        <v>3000</v>
      </c>
      <c r="P1918" s="99">
        <v>45900</v>
      </c>
    </row>
    <row r="1919" spans="1:19" ht="15" customHeight="1">
      <c r="A1919" s="15">
        <v>1919</v>
      </c>
      <c r="B1919" s="102" t="s">
        <v>3086</v>
      </c>
      <c r="C1919" t="s">
        <v>5991</v>
      </c>
      <c r="D1919" t="s">
        <v>3110</v>
      </c>
      <c r="E1919" s="96" t="s">
        <v>5827</v>
      </c>
      <c r="F1919" t="s">
        <v>5992</v>
      </c>
      <c r="G1919">
        <v>25347047</v>
      </c>
      <c r="H1919" s="96" t="s">
        <v>361</v>
      </c>
      <c r="I1919" t="s">
        <v>5993</v>
      </c>
      <c r="J1919" t="s">
        <v>5993</v>
      </c>
      <c r="K1919" s="99">
        <v>45897</v>
      </c>
      <c r="L1919" s="99">
        <v>45898</v>
      </c>
      <c r="M1919" s="99">
        <v>46627</v>
      </c>
      <c r="N1919" s="831">
        <v>6</v>
      </c>
      <c r="O1919" s="111">
        <v>3509000</v>
      </c>
      <c r="P1919" s="99">
        <v>46627</v>
      </c>
      <c r="Q1919" s="485">
        <v>3509000</v>
      </c>
      <c r="R1919">
        <v>32452165</v>
      </c>
      <c r="S1919" s="99">
        <v>45898</v>
      </c>
    </row>
    <row r="1920" spans="1:19" ht="15" customHeight="1">
      <c r="A1920" s="15">
        <v>1920</v>
      </c>
      <c r="B1920" s="102" t="s">
        <v>3086</v>
      </c>
      <c r="C1920" t="s">
        <v>5994</v>
      </c>
      <c r="D1920" t="s">
        <v>3110</v>
      </c>
      <c r="E1920" s="96" t="s">
        <v>3117</v>
      </c>
      <c r="F1920" t="s">
        <v>3735</v>
      </c>
      <c r="G1920">
        <v>2891506</v>
      </c>
      <c r="H1920" t="s">
        <v>3982</v>
      </c>
      <c r="I1920" t="s">
        <v>5995</v>
      </c>
      <c r="J1920" t="s">
        <v>5995</v>
      </c>
      <c r="K1920" s="99">
        <v>45897</v>
      </c>
      <c r="L1920" s="99">
        <v>45898</v>
      </c>
      <c r="M1920" s="99">
        <v>46752</v>
      </c>
      <c r="N1920" s="831">
        <v>1</v>
      </c>
      <c r="O1920" s="111">
        <v>1391500</v>
      </c>
      <c r="P1920" s="99">
        <v>46752</v>
      </c>
      <c r="Q1920" s="485">
        <v>1391500</v>
      </c>
      <c r="R1920">
        <v>32455209</v>
      </c>
      <c r="S1920" s="99">
        <v>45898</v>
      </c>
    </row>
    <row r="1921" spans="1:19" ht="15" customHeight="1">
      <c r="A1921" s="15">
        <v>1921</v>
      </c>
      <c r="B1921" s="102" t="s">
        <v>1555</v>
      </c>
      <c r="C1921" t="s">
        <v>5997</v>
      </c>
      <c r="D1921" t="s">
        <v>3087</v>
      </c>
      <c r="E1921" s="96" t="s">
        <v>3811</v>
      </c>
      <c r="F1921" t="s">
        <v>5998</v>
      </c>
      <c r="G1921">
        <v>22730885</v>
      </c>
      <c r="H1921" t="s">
        <v>180</v>
      </c>
      <c r="I1921" t="s">
        <v>5999</v>
      </c>
      <c r="J1921" t="s">
        <v>5999</v>
      </c>
      <c r="K1921" s="99">
        <v>45873</v>
      </c>
      <c r="L1921" s="99">
        <v>45899</v>
      </c>
      <c r="M1921" s="99">
        <v>45899</v>
      </c>
      <c r="N1921" s="831"/>
      <c r="O1921" s="111"/>
    </row>
    <row r="1922" spans="1:19" ht="15" customHeight="1">
      <c r="A1922" s="15">
        <v>1922</v>
      </c>
      <c r="B1922" s="102" t="s">
        <v>1555</v>
      </c>
      <c r="C1922" t="s">
        <v>6000</v>
      </c>
      <c r="D1922" t="s">
        <v>3087</v>
      </c>
      <c r="E1922" s="96" t="s">
        <v>3811</v>
      </c>
      <c r="F1922" t="s">
        <v>3502</v>
      </c>
      <c r="G1922">
        <v>26747618</v>
      </c>
      <c r="H1922" t="s">
        <v>180</v>
      </c>
      <c r="I1922" t="s">
        <v>6001</v>
      </c>
      <c r="J1922" t="s">
        <v>6001</v>
      </c>
      <c r="K1922" s="99">
        <v>45870</v>
      </c>
      <c r="L1922" s="99">
        <v>45876</v>
      </c>
      <c r="M1922" s="99">
        <v>45891</v>
      </c>
      <c r="N1922" s="831">
        <v>7</v>
      </c>
      <c r="O1922" s="111">
        <v>25280</v>
      </c>
      <c r="P1922" s="99">
        <v>45891</v>
      </c>
    </row>
    <row r="1923" spans="1:19" ht="15" customHeight="1">
      <c r="A1923" s="15">
        <v>1923</v>
      </c>
      <c r="B1923" s="102" t="s">
        <v>1555</v>
      </c>
      <c r="C1923" t="s">
        <v>6002</v>
      </c>
      <c r="D1923" t="s">
        <v>3087</v>
      </c>
      <c r="E1923" s="96" t="s">
        <v>3811</v>
      </c>
      <c r="F1923" t="s">
        <v>3556</v>
      </c>
      <c r="G1923">
        <v>25691872</v>
      </c>
      <c r="H1923" t="s">
        <v>180</v>
      </c>
      <c r="I1923" t="s">
        <v>6003</v>
      </c>
      <c r="J1923" t="s">
        <v>6003</v>
      </c>
      <c r="K1923" s="99">
        <v>45881</v>
      </c>
      <c r="L1923" s="99">
        <v>45899</v>
      </c>
      <c r="M1923" s="99">
        <v>45899</v>
      </c>
      <c r="N1923" s="831">
        <v>7</v>
      </c>
      <c r="O1923" s="111">
        <v>5000</v>
      </c>
      <c r="P1923" s="99">
        <v>45899</v>
      </c>
    </row>
    <row r="1924" spans="1:19" ht="15" customHeight="1">
      <c r="A1924" s="15">
        <v>1924</v>
      </c>
      <c r="B1924" s="102" t="s">
        <v>1555</v>
      </c>
      <c r="C1924" t="s">
        <v>6004</v>
      </c>
      <c r="D1924" t="s">
        <v>3087</v>
      </c>
      <c r="E1924" s="96" t="s">
        <v>3811</v>
      </c>
      <c r="F1924" t="s">
        <v>4542</v>
      </c>
      <c r="G1924">
        <v>232904</v>
      </c>
      <c r="H1924" t="s">
        <v>180</v>
      </c>
      <c r="I1924" t="s">
        <v>6005</v>
      </c>
      <c r="J1924" t="s">
        <v>6005</v>
      </c>
      <c r="K1924" s="99">
        <v>45881</v>
      </c>
      <c r="L1924" s="99">
        <v>45906</v>
      </c>
      <c r="M1924" s="99">
        <v>45906</v>
      </c>
      <c r="O1924" s="111"/>
      <c r="P1924" s="99">
        <v>45906</v>
      </c>
    </row>
    <row r="1925" spans="1:19" ht="15" customHeight="1">
      <c r="A1925" s="15">
        <v>1925</v>
      </c>
      <c r="B1925" s="102" t="s">
        <v>3086</v>
      </c>
      <c r="C1925" t="s">
        <v>6006</v>
      </c>
      <c r="D1925" t="s">
        <v>3087</v>
      </c>
      <c r="E1925" s="96" t="s">
        <v>4294</v>
      </c>
      <c r="F1925" t="s">
        <v>6007</v>
      </c>
      <c r="G1925">
        <v>960209</v>
      </c>
      <c r="H1925" t="s">
        <v>830</v>
      </c>
      <c r="I1925" t="s">
        <v>6008</v>
      </c>
      <c r="J1925" t="s">
        <v>6008</v>
      </c>
      <c r="K1925" s="99">
        <v>45868</v>
      </c>
      <c r="L1925" s="99">
        <v>45870</v>
      </c>
      <c r="M1925" s="99">
        <v>46022</v>
      </c>
      <c r="O1925" s="111"/>
      <c r="P1925" s="99">
        <v>46022</v>
      </c>
    </row>
    <row r="1926" spans="1:19" ht="15" customHeight="1">
      <c r="A1926" s="15">
        <v>1926</v>
      </c>
      <c r="B1926" s="102" t="s">
        <v>1555</v>
      </c>
      <c r="C1926" t="s">
        <v>6009</v>
      </c>
      <c r="D1926" t="s">
        <v>3087</v>
      </c>
      <c r="E1926" s="96" t="s">
        <v>4294</v>
      </c>
      <c r="F1926" t="s">
        <v>6010</v>
      </c>
      <c r="G1926">
        <v>24250741</v>
      </c>
      <c r="H1926" t="s">
        <v>830</v>
      </c>
      <c r="I1926" t="s">
        <v>6011</v>
      </c>
      <c r="J1926" t="s">
        <v>6011</v>
      </c>
      <c r="K1926" s="99">
        <v>45881</v>
      </c>
      <c r="L1926" s="99">
        <v>45901</v>
      </c>
      <c r="M1926" s="99">
        <v>45912</v>
      </c>
      <c r="N1926" s="831">
        <v>7</v>
      </c>
      <c r="O1926" s="111">
        <v>6000</v>
      </c>
      <c r="P1926" s="99">
        <v>45912</v>
      </c>
    </row>
    <row r="1927" spans="1:19" ht="15" customHeight="1">
      <c r="A1927" s="15">
        <v>1927</v>
      </c>
      <c r="B1927" s="102" t="s">
        <v>3086</v>
      </c>
      <c r="C1927" t="s">
        <v>6012</v>
      </c>
      <c r="D1927" t="s">
        <v>3110</v>
      </c>
      <c r="E1927" s="96" t="s">
        <v>3117</v>
      </c>
      <c r="F1927" s="1299" t="s">
        <v>6013</v>
      </c>
      <c r="G1927" s="1299">
        <v>22302174</v>
      </c>
      <c r="H1927" t="s">
        <v>3982</v>
      </c>
      <c r="I1927" s="96" t="s">
        <v>6014</v>
      </c>
      <c r="J1927" s="96" t="s">
        <v>6014</v>
      </c>
      <c r="K1927" s="99">
        <v>45901</v>
      </c>
      <c r="L1927" s="99">
        <v>45901</v>
      </c>
      <c r="M1927" s="99">
        <v>46173</v>
      </c>
      <c r="N1927" s="831">
        <v>1</v>
      </c>
      <c r="O1927" s="111">
        <v>1147080</v>
      </c>
      <c r="P1927" s="99">
        <v>46173</v>
      </c>
      <c r="Q1927" s="485">
        <v>1147080</v>
      </c>
      <c r="R1927">
        <v>32468473</v>
      </c>
      <c r="S1927" s="99">
        <v>45901</v>
      </c>
    </row>
    <row r="1928" spans="1:19" ht="15" customHeight="1">
      <c r="A1928" s="15">
        <v>1928</v>
      </c>
      <c r="B1928" s="102" t="s">
        <v>3086</v>
      </c>
      <c r="C1928" t="s">
        <v>6015</v>
      </c>
      <c r="D1928" t="s">
        <v>3110</v>
      </c>
      <c r="E1928" s="96" t="s">
        <v>4965</v>
      </c>
      <c r="F1928" t="s">
        <v>6016</v>
      </c>
      <c r="G1928">
        <v>25479237</v>
      </c>
      <c r="H1928" t="s">
        <v>3183</v>
      </c>
      <c r="I1928" t="s">
        <v>6017</v>
      </c>
      <c r="J1928" t="s">
        <v>6017</v>
      </c>
      <c r="K1928" s="99">
        <v>45896</v>
      </c>
      <c r="L1928" s="99">
        <v>45896</v>
      </c>
      <c r="M1928" s="99">
        <v>45987</v>
      </c>
      <c r="N1928" s="831">
        <v>1</v>
      </c>
      <c r="O1928" s="111">
        <v>1815000</v>
      </c>
      <c r="P1928" s="99">
        <v>45987</v>
      </c>
      <c r="Q1928" s="1300">
        <v>1815000</v>
      </c>
      <c r="R1928">
        <v>32421761</v>
      </c>
      <c r="S1928" s="99">
        <v>45896</v>
      </c>
    </row>
    <row r="1929" spans="1:19" ht="15" customHeight="1">
      <c r="A1929" s="15">
        <v>1929</v>
      </c>
      <c r="B1929" s="102" t="s">
        <v>3086</v>
      </c>
      <c r="C1929" t="s">
        <v>6018</v>
      </c>
      <c r="D1929" t="s">
        <v>3110</v>
      </c>
      <c r="E1929" s="96" t="s">
        <v>3123</v>
      </c>
      <c r="F1929" t="s">
        <v>6016</v>
      </c>
      <c r="G1929">
        <v>25479237</v>
      </c>
      <c r="H1929" s="96" t="s">
        <v>5292</v>
      </c>
      <c r="I1929" s="96" t="s">
        <v>6019</v>
      </c>
      <c r="J1929" s="96" t="s">
        <v>6019</v>
      </c>
      <c r="K1929" s="99">
        <v>45890</v>
      </c>
      <c r="L1929" s="99">
        <v>45890</v>
      </c>
      <c r="M1929" s="99">
        <v>49542</v>
      </c>
      <c r="N1929" s="831">
        <v>1</v>
      </c>
      <c r="O1929" s="111"/>
      <c r="P1929" s="99">
        <v>49542</v>
      </c>
    </row>
    <row r="1930" spans="1:19" ht="15" customHeight="1">
      <c r="A1930" s="15">
        <v>1930</v>
      </c>
      <c r="B1930" s="102" t="s">
        <v>3086</v>
      </c>
      <c r="C1930" t="s">
        <v>6020</v>
      </c>
      <c r="D1930" t="s">
        <v>3110</v>
      </c>
      <c r="E1930" s="96" t="s">
        <v>3197</v>
      </c>
      <c r="F1930" t="s">
        <v>3201</v>
      </c>
      <c r="G1930">
        <v>64509214</v>
      </c>
      <c r="H1930" t="s">
        <v>546</v>
      </c>
      <c r="I1930" t="s">
        <v>6024</v>
      </c>
      <c r="J1930" t="s">
        <v>6024</v>
      </c>
      <c r="K1930" s="99">
        <v>45902</v>
      </c>
      <c r="L1930" s="99">
        <v>45902</v>
      </c>
      <c r="M1930" s="99">
        <v>45982</v>
      </c>
      <c r="N1930" s="831">
        <v>7</v>
      </c>
      <c r="O1930" s="111">
        <v>4954950</v>
      </c>
      <c r="P1930" s="99">
        <v>45982</v>
      </c>
      <c r="Q1930" s="485">
        <v>4954950</v>
      </c>
      <c r="R1930">
        <v>32483029</v>
      </c>
      <c r="S1930" s="99">
        <v>45902</v>
      </c>
    </row>
    <row r="1931" spans="1:19" ht="15" customHeight="1">
      <c r="A1931" s="15">
        <v>1931</v>
      </c>
      <c r="B1931" s="102" t="s">
        <v>1555</v>
      </c>
      <c r="C1931" t="s">
        <v>6021</v>
      </c>
      <c r="D1931" t="s">
        <v>3087</v>
      </c>
      <c r="E1931" s="96" t="s">
        <v>4294</v>
      </c>
      <c r="F1931" t="s">
        <v>6050</v>
      </c>
      <c r="G1931">
        <v>8773</v>
      </c>
      <c r="H1931" t="s">
        <v>830</v>
      </c>
      <c r="I1931" t="s">
        <v>6049</v>
      </c>
      <c r="J1931" t="s">
        <v>6049</v>
      </c>
      <c r="K1931" s="99">
        <v>45884</v>
      </c>
      <c r="L1931" s="99">
        <v>45887</v>
      </c>
      <c r="M1931" s="99">
        <v>45895</v>
      </c>
      <c r="O1931" s="111">
        <v>0</v>
      </c>
      <c r="P1931" s="99">
        <v>45895</v>
      </c>
    </row>
    <row r="1932" spans="1:19" ht="15" customHeight="1">
      <c r="A1932" s="15">
        <v>1932</v>
      </c>
      <c r="B1932" s="102" t="s">
        <v>3086</v>
      </c>
      <c r="C1932" t="s">
        <v>6022</v>
      </c>
      <c r="D1932" t="s">
        <v>3087</v>
      </c>
      <c r="E1932" s="96" t="s">
        <v>3117</v>
      </c>
      <c r="F1932" s="66" t="s">
        <v>6023</v>
      </c>
      <c r="G1932" s="66">
        <v>25765728</v>
      </c>
      <c r="H1932" t="s">
        <v>3982</v>
      </c>
      <c r="I1932" s="96" t="s">
        <v>6027</v>
      </c>
      <c r="J1932" s="96" t="s">
        <v>6027</v>
      </c>
      <c r="K1932" s="99">
        <v>45936</v>
      </c>
      <c r="L1932" s="99">
        <v>45980</v>
      </c>
      <c r="M1932" s="99">
        <v>45981</v>
      </c>
      <c r="N1932" s="831">
        <v>7</v>
      </c>
      <c r="O1932" s="111">
        <v>384152</v>
      </c>
      <c r="P1932" s="99">
        <v>45981</v>
      </c>
      <c r="Q1932" s="111">
        <v>384152</v>
      </c>
      <c r="R1932">
        <v>32902009</v>
      </c>
      <c r="S1932" s="99">
        <v>45936</v>
      </c>
    </row>
    <row r="1933" spans="1:19" ht="15" customHeight="1">
      <c r="A1933" s="15">
        <v>1933</v>
      </c>
      <c r="B1933" s="102" t="s">
        <v>1555</v>
      </c>
      <c r="C1933" t="s">
        <v>6028</v>
      </c>
      <c r="D1933" t="s">
        <v>3087</v>
      </c>
      <c r="E1933" s="96" t="s">
        <v>4294</v>
      </c>
      <c r="F1933" t="s">
        <v>6051</v>
      </c>
      <c r="G1933">
        <v>76083292</v>
      </c>
      <c r="H1933" t="s">
        <v>830</v>
      </c>
      <c r="I1933" t="s">
        <v>6048</v>
      </c>
      <c r="J1933" t="s">
        <v>6048</v>
      </c>
      <c r="K1933" s="99">
        <v>45884</v>
      </c>
      <c r="L1933" s="99">
        <v>45931</v>
      </c>
      <c r="M1933" s="99">
        <v>45961</v>
      </c>
      <c r="N1933" s="831">
        <v>7</v>
      </c>
      <c r="O1933" s="111">
        <v>6000</v>
      </c>
      <c r="P1933" s="99">
        <v>45961</v>
      </c>
    </row>
    <row r="1934" spans="1:19" ht="15" customHeight="1">
      <c r="A1934" s="15">
        <v>1934</v>
      </c>
      <c r="B1934" s="102" t="s">
        <v>1555</v>
      </c>
      <c r="C1934" t="s">
        <v>6029</v>
      </c>
      <c r="D1934" t="s">
        <v>3087</v>
      </c>
      <c r="E1934" s="96" t="s">
        <v>4294</v>
      </c>
      <c r="F1934" t="s">
        <v>6052</v>
      </c>
      <c r="G1934">
        <v>14158515</v>
      </c>
      <c r="H1934" t="s">
        <v>830</v>
      </c>
      <c r="I1934" t="s">
        <v>6047</v>
      </c>
      <c r="J1934" t="s">
        <v>6047</v>
      </c>
      <c r="K1934" s="99">
        <v>45884</v>
      </c>
      <c r="L1934" s="99">
        <v>45901</v>
      </c>
      <c r="M1934" s="99">
        <v>45909</v>
      </c>
      <c r="N1934" s="831">
        <v>7</v>
      </c>
      <c r="O1934" s="111">
        <v>4200</v>
      </c>
      <c r="P1934" s="99">
        <v>45909</v>
      </c>
    </row>
    <row r="1935" spans="1:19" ht="15" customHeight="1">
      <c r="A1935" s="15">
        <v>1935</v>
      </c>
      <c r="B1935" s="102" t="s">
        <v>3086</v>
      </c>
      <c r="C1935" t="s">
        <v>6030</v>
      </c>
      <c r="D1935" t="s">
        <v>3087</v>
      </c>
      <c r="E1935" s="96" t="s">
        <v>5827</v>
      </c>
      <c r="F1935" t="s">
        <v>6053</v>
      </c>
      <c r="G1935">
        <v>60719044</v>
      </c>
      <c r="H1935" t="s">
        <v>361</v>
      </c>
      <c r="I1935" t="s">
        <v>6046</v>
      </c>
      <c r="J1935" t="s">
        <v>6046</v>
      </c>
      <c r="K1935" s="99">
        <v>45925</v>
      </c>
      <c r="L1935" s="99">
        <v>45925</v>
      </c>
      <c r="M1935" s="99">
        <v>46470</v>
      </c>
      <c r="N1935" s="831">
        <v>6</v>
      </c>
      <c r="O1935" s="111">
        <v>1028500</v>
      </c>
      <c r="P1935" s="99">
        <v>46470</v>
      </c>
      <c r="Q1935" s="111">
        <v>1028500</v>
      </c>
      <c r="R1935">
        <v>32778037</v>
      </c>
      <c r="S1935" s="99">
        <v>45925</v>
      </c>
    </row>
    <row r="1936" spans="1:19" ht="15" customHeight="1">
      <c r="A1936" s="15">
        <v>1936</v>
      </c>
      <c r="B1936" s="102" t="s">
        <v>3086</v>
      </c>
      <c r="C1936" t="s">
        <v>6031</v>
      </c>
      <c r="D1936" t="s">
        <v>3087</v>
      </c>
      <c r="E1936" s="96" t="s">
        <v>5827</v>
      </c>
      <c r="F1936" s="96" t="s">
        <v>6053</v>
      </c>
      <c r="G1936">
        <v>60719044</v>
      </c>
      <c r="H1936" t="s">
        <v>361</v>
      </c>
      <c r="I1936" t="s">
        <v>6045</v>
      </c>
      <c r="J1936" t="s">
        <v>6045</v>
      </c>
      <c r="K1936" s="99">
        <v>45925</v>
      </c>
      <c r="L1936" s="99">
        <v>45925</v>
      </c>
      <c r="M1936" s="99">
        <v>46470</v>
      </c>
      <c r="N1936" s="831">
        <v>6</v>
      </c>
      <c r="O1936" s="111">
        <v>605000</v>
      </c>
      <c r="P1936" s="99">
        <v>46470</v>
      </c>
      <c r="Q1936" s="111">
        <v>605000</v>
      </c>
      <c r="R1936">
        <v>32778493</v>
      </c>
      <c r="S1936" s="99">
        <v>45925</v>
      </c>
    </row>
    <row r="1937" spans="1:19" ht="15" customHeight="1">
      <c r="A1937" s="15">
        <v>1937</v>
      </c>
      <c r="B1937" s="102" t="s">
        <v>3086</v>
      </c>
      <c r="C1937" t="s">
        <v>6032</v>
      </c>
      <c r="D1937" t="s">
        <v>3087</v>
      </c>
      <c r="E1937" s="96" t="s">
        <v>3197</v>
      </c>
      <c r="F1937" t="s">
        <v>6053</v>
      </c>
      <c r="G1937">
        <v>60719044</v>
      </c>
      <c r="H1937" t="s">
        <v>546</v>
      </c>
      <c r="I1937" t="s">
        <v>6044</v>
      </c>
      <c r="J1937" t="s">
        <v>6044</v>
      </c>
      <c r="K1937" s="99">
        <v>45925</v>
      </c>
      <c r="L1937" s="99">
        <v>45925</v>
      </c>
      <c r="M1937" s="99">
        <v>46105</v>
      </c>
      <c r="N1937" s="831">
        <v>7</v>
      </c>
      <c r="O1937" s="111">
        <v>370744</v>
      </c>
      <c r="P1937" s="99">
        <v>46105</v>
      </c>
      <c r="Q1937" s="111">
        <v>370744</v>
      </c>
      <c r="R1937">
        <v>32779061</v>
      </c>
      <c r="S1937" s="99">
        <v>45925</v>
      </c>
    </row>
    <row r="1938" spans="1:19" ht="15" customHeight="1">
      <c r="A1938" s="15">
        <v>1938</v>
      </c>
      <c r="B1938" s="102" t="s">
        <v>1555</v>
      </c>
      <c r="C1938" t="s">
        <v>6033</v>
      </c>
      <c r="D1938" t="s">
        <v>3087</v>
      </c>
      <c r="E1938" s="96" t="s">
        <v>4294</v>
      </c>
      <c r="F1938" t="s">
        <v>6054</v>
      </c>
      <c r="G1938">
        <v>11405</v>
      </c>
      <c r="H1938" t="s">
        <v>830</v>
      </c>
      <c r="I1938" t="s">
        <v>6043</v>
      </c>
      <c r="J1938" t="s">
        <v>6043</v>
      </c>
      <c r="K1938" s="99">
        <v>45887</v>
      </c>
      <c r="L1938" s="99">
        <v>45887</v>
      </c>
      <c r="M1938" s="99">
        <v>45891</v>
      </c>
      <c r="N1938" s="831">
        <v>7</v>
      </c>
      <c r="O1938" s="111">
        <v>2500</v>
      </c>
      <c r="P1938" s="99">
        <v>45891</v>
      </c>
      <c r="Q1938" s="111"/>
    </row>
    <row r="1939" spans="1:19" ht="15" customHeight="1">
      <c r="A1939" s="15">
        <v>1939</v>
      </c>
      <c r="B1939" s="102" t="s">
        <v>1555</v>
      </c>
      <c r="C1939" t="s">
        <v>6034</v>
      </c>
      <c r="D1939" t="s">
        <v>3087</v>
      </c>
      <c r="E1939" s="96" t="s">
        <v>3811</v>
      </c>
      <c r="F1939" t="s">
        <v>6055</v>
      </c>
      <c r="G1939">
        <v>61882127</v>
      </c>
      <c r="H1939" t="s">
        <v>180</v>
      </c>
      <c r="I1939" t="s">
        <v>6042</v>
      </c>
      <c r="J1939" t="s">
        <v>6042</v>
      </c>
      <c r="K1939" s="99">
        <v>45889</v>
      </c>
      <c r="L1939" s="99">
        <v>45906</v>
      </c>
      <c r="M1939" s="99">
        <v>45906</v>
      </c>
      <c r="N1939" s="831" t="s">
        <v>5445</v>
      </c>
      <c r="O1939" s="111">
        <v>0</v>
      </c>
      <c r="P1939" s="99">
        <v>45906</v>
      </c>
      <c r="Q1939" s="111"/>
    </row>
    <row r="1940" spans="1:19" ht="15" customHeight="1">
      <c r="A1940" s="15">
        <v>1940</v>
      </c>
      <c r="B1940" s="102" t="s">
        <v>1555</v>
      </c>
      <c r="C1940" t="s">
        <v>6035</v>
      </c>
      <c r="D1940" t="s">
        <v>3087</v>
      </c>
      <c r="E1940" s="96" t="s">
        <v>3811</v>
      </c>
      <c r="F1940" t="s">
        <v>6056</v>
      </c>
      <c r="G1940">
        <v>22898867</v>
      </c>
      <c r="H1940" t="s">
        <v>180</v>
      </c>
      <c r="I1940" t="s">
        <v>6041</v>
      </c>
      <c r="J1940" t="s">
        <v>6041</v>
      </c>
      <c r="K1940" s="99">
        <v>45889</v>
      </c>
      <c r="L1940" s="99">
        <v>45905</v>
      </c>
      <c r="M1940" s="99">
        <v>45907</v>
      </c>
      <c r="N1940" s="831">
        <v>7</v>
      </c>
      <c r="O1940" s="111">
        <v>63600</v>
      </c>
      <c r="P1940" s="99">
        <v>45907</v>
      </c>
      <c r="Q1940" s="111">
        <v>63600</v>
      </c>
      <c r="R1940">
        <v>32498549</v>
      </c>
      <c r="S1940" s="99">
        <v>45903</v>
      </c>
    </row>
    <row r="1941" spans="1:19" ht="15" customHeight="1">
      <c r="A1941" s="15">
        <v>1941</v>
      </c>
      <c r="B1941" s="102" t="s">
        <v>1555</v>
      </c>
      <c r="C1941" t="s">
        <v>6036</v>
      </c>
      <c r="D1941" t="s">
        <v>3087</v>
      </c>
      <c r="E1941" s="96" t="s">
        <v>3811</v>
      </c>
      <c r="F1941" t="s">
        <v>6057</v>
      </c>
      <c r="G1941">
        <v>241946</v>
      </c>
      <c r="H1941" t="s">
        <v>180</v>
      </c>
      <c r="I1941" t="s">
        <v>6040</v>
      </c>
      <c r="J1941" t="s">
        <v>6040</v>
      </c>
      <c r="K1941" s="99">
        <v>45894</v>
      </c>
      <c r="L1941" s="99">
        <v>45906</v>
      </c>
      <c r="M1941" s="99">
        <v>45906</v>
      </c>
      <c r="N1941" s="831">
        <v>7</v>
      </c>
      <c r="O1941" s="111">
        <v>2900</v>
      </c>
      <c r="P1941" s="99">
        <v>45906</v>
      </c>
    </row>
    <row r="1942" spans="1:19" ht="15" customHeight="1">
      <c r="A1942" s="15">
        <v>1942</v>
      </c>
      <c r="B1942" s="102" t="s">
        <v>1555</v>
      </c>
      <c r="C1942" t="s">
        <v>6037</v>
      </c>
      <c r="D1942" t="s">
        <v>3087</v>
      </c>
      <c r="E1942" s="96" t="s">
        <v>4294</v>
      </c>
      <c r="F1942" t="s">
        <v>6058</v>
      </c>
      <c r="G1942">
        <v>11407</v>
      </c>
      <c r="H1942" t="s">
        <v>830</v>
      </c>
      <c r="I1942" t="s">
        <v>6039</v>
      </c>
      <c r="J1942" t="s">
        <v>6039</v>
      </c>
      <c r="K1942" s="99">
        <v>45891</v>
      </c>
      <c r="L1942" s="99">
        <v>45894</v>
      </c>
      <c r="M1942" s="99">
        <v>45895</v>
      </c>
      <c r="N1942" s="831">
        <v>7</v>
      </c>
      <c r="O1942" s="111">
        <v>1000</v>
      </c>
      <c r="P1942" s="99">
        <v>45895</v>
      </c>
    </row>
    <row r="1943" spans="1:19" ht="15" customHeight="1">
      <c r="A1943" s="15">
        <v>1943</v>
      </c>
      <c r="B1943" s="102" t="s">
        <v>1555</v>
      </c>
      <c r="C1943" t="s">
        <v>6038</v>
      </c>
      <c r="D1943" t="s">
        <v>3087</v>
      </c>
      <c r="E1943" s="96" t="s">
        <v>4294</v>
      </c>
      <c r="F1943" t="s">
        <v>6058</v>
      </c>
      <c r="G1943">
        <v>11407</v>
      </c>
      <c r="H1943" t="s">
        <v>830</v>
      </c>
      <c r="I1943" t="s">
        <v>6039</v>
      </c>
      <c r="J1943" t="s">
        <v>6039</v>
      </c>
      <c r="K1943" s="99">
        <v>45828</v>
      </c>
      <c r="L1943" s="99">
        <v>45831</v>
      </c>
      <c r="M1943" s="99">
        <v>45832</v>
      </c>
      <c r="N1943" s="831">
        <v>7</v>
      </c>
      <c r="O1943" s="111">
        <v>1000</v>
      </c>
      <c r="P1943" s="99">
        <v>45832</v>
      </c>
    </row>
    <row r="1944" spans="1:19" ht="15" customHeight="1">
      <c r="A1944" s="15">
        <v>1944</v>
      </c>
      <c r="B1944" s="102" t="s">
        <v>3086</v>
      </c>
      <c r="C1944" t="s">
        <v>6059</v>
      </c>
      <c r="D1944" t="s">
        <v>3110</v>
      </c>
      <c r="E1944" s="96" t="s">
        <v>3369</v>
      </c>
      <c r="F1944" t="s">
        <v>6060</v>
      </c>
      <c r="G1944">
        <v>26505525</v>
      </c>
      <c r="H1944" t="s">
        <v>482</v>
      </c>
      <c r="I1944" t="s">
        <v>6061</v>
      </c>
      <c r="J1944" t="s">
        <v>6061</v>
      </c>
      <c r="K1944" s="99">
        <v>45912</v>
      </c>
      <c r="L1944" s="99">
        <v>45912</v>
      </c>
      <c r="M1944" s="99">
        <v>46022</v>
      </c>
      <c r="N1944" s="831">
        <v>7</v>
      </c>
      <c r="O1944" s="111">
        <v>465850</v>
      </c>
      <c r="P1944" s="99">
        <v>46022</v>
      </c>
      <c r="Q1944" s="485">
        <v>465850</v>
      </c>
      <c r="R1944">
        <v>32616385</v>
      </c>
      <c r="S1944" s="99">
        <v>45912</v>
      </c>
    </row>
    <row r="1945" spans="1:19" ht="15" customHeight="1">
      <c r="A1945" s="15">
        <v>1945</v>
      </c>
      <c r="B1945" s="102" t="s">
        <v>3086</v>
      </c>
      <c r="C1945" t="s">
        <v>6062</v>
      </c>
      <c r="D1945" t="s">
        <v>3139</v>
      </c>
      <c r="E1945" s="96" t="s">
        <v>3958</v>
      </c>
      <c r="F1945" t="s">
        <v>4915</v>
      </c>
      <c r="G1945">
        <v>49516736</v>
      </c>
      <c r="H1945" t="s">
        <v>6063</v>
      </c>
      <c r="I1945" t="s">
        <v>6064</v>
      </c>
      <c r="J1945" t="s">
        <v>6064</v>
      </c>
      <c r="K1945" s="99">
        <v>45925</v>
      </c>
      <c r="L1945" s="99">
        <v>45925</v>
      </c>
      <c r="M1945" s="99">
        <v>46142</v>
      </c>
      <c r="N1945" s="831">
        <v>1</v>
      </c>
      <c r="O1945" s="111">
        <v>770230</v>
      </c>
      <c r="P1945" s="99">
        <v>46142</v>
      </c>
      <c r="Q1945" s="485">
        <v>770230</v>
      </c>
      <c r="R1945">
        <v>32779553</v>
      </c>
      <c r="S1945" s="99">
        <v>45925</v>
      </c>
    </row>
    <row r="1946" spans="1:19" ht="15" customHeight="1">
      <c r="A1946" s="15">
        <v>1946</v>
      </c>
      <c r="B1946" s="102" t="s">
        <v>3086</v>
      </c>
      <c r="C1946" t="s">
        <v>6065</v>
      </c>
      <c r="D1946" t="s">
        <v>3094</v>
      </c>
      <c r="E1946" s="96" t="s">
        <v>3093</v>
      </c>
      <c r="F1946" t="s">
        <v>3439</v>
      </c>
      <c r="G1946">
        <v>27256537</v>
      </c>
      <c r="H1946" t="s">
        <v>510</v>
      </c>
      <c r="I1946" t="s">
        <v>6066</v>
      </c>
      <c r="J1946" t="s">
        <v>6066</v>
      </c>
      <c r="K1946" s="99">
        <v>45971</v>
      </c>
      <c r="L1946" s="99">
        <v>45971</v>
      </c>
      <c r="M1946" s="99">
        <v>2958465</v>
      </c>
      <c r="O1946" s="111">
        <v>0</v>
      </c>
      <c r="P1946" s="99">
        <v>2958465</v>
      </c>
      <c r="Q1946" s="824" t="s">
        <v>6283</v>
      </c>
      <c r="R1946">
        <v>33363377</v>
      </c>
      <c r="S1946" s="99">
        <v>45972</v>
      </c>
    </row>
    <row r="1947" spans="1:19" ht="15" customHeight="1">
      <c r="A1947" s="15">
        <v>1947</v>
      </c>
      <c r="B1947" s="102" t="s">
        <v>3086</v>
      </c>
      <c r="C1947" t="s">
        <v>6067</v>
      </c>
      <c r="D1947" t="s">
        <v>3094</v>
      </c>
      <c r="E1947" s="96" t="s">
        <v>3093</v>
      </c>
      <c r="F1947" t="s">
        <v>3439</v>
      </c>
      <c r="G1947">
        <v>27256537</v>
      </c>
      <c r="H1947" t="s">
        <v>510</v>
      </c>
      <c r="I1947" t="s">
        <v>6068</v>
      </c>
      <c r="J1947" t="s">
        <v>6068</v>
      </c>
      <c r="K1947" s="99">
        <v>45971</v>
      </c>
      <c r="L1947" s="99">
        <v>45971</v>
      </c>
      <c r="M1947" s="99">
        <v>2958465</v>
      </c>
      <c r="O1947" s="111">
        <v>0</v>
      </c>
      <c r="P1947" s="99">
        <v>2958465</v>
      </c>
      <c r="Q1947" s="824" t="s">
        <v>6283</v>
      </c>
      <c r="R1947">
        <v>33363413</v>
      </c>
      <c r="S1947" s="99">
        <v>45972</v>
      </c>
    </row>
    <row r="1948" spans="1:19" ht="15" customHeight="1">
      <c r="A1948" s="15">
        <v>1948</v>
      </c>
      <c r="B1948" s="102" t="s">
        <v>3086</v>
      </c>
      <c r="C1948" t="s">
        <v>6069</v>
      </c>
      <c r="D1948" t="s">
        <v>3094</v>
      </c>
      <c r="E1948" s="96" t="s">
        <v>3093</v>
      </c>
      <c r="F1948" t="s">
        <v>3446</v>
      </c>
      <c r="G1948">
        <v>27256456</v>
      </c>
      <c r="H1948" t="s">
        <v>510</v>
      </c>
      <c r="I1948" t="s">
        <v>6066</v>
      </c>
      <c r="J1948" t="s">
        <v>6066</v>
      </c>
      <c r="K1948" s="99">
        <v>45926</v>
      </c>
      <c r="L1948" s="99">
        <v>45926</v>
      </c>
      <c r="M1948" s="99">
        <v>2958465</v>
      </c>
      <c r="O1948" s="111">
        <v>0</v>
      </c>
      <c r="P1948" s="99">
        <v>2958465</v>
      </c>
      <c r="R1948">
        <v>32791221</v>
      </c>
      <c r="S1948" s="99">
        <v>45926</v>
      </c>
    </row>
    <row r="1949" spans="1:19" ht="15" customHeight="1">
      <c r="A1949" s="15">
        <v>1949</v>
      </c>
      <c r="B1949" s="102" t="s">
        <v>3086</v>
      </c>
      <c r="C1949" t="s">
        <v>6070</v>
      </c>
      <c r="D1949" t="s">
        <v>3094</v>
      </c>
      <c r="E1949" s="96" t="s">
        <v>3093</v>
      </c>
      <c r="F1949" t="s">
        <v>3446</v>
      </c>
      <c r="G1949">
        <v>27256456</v>
      </c>
      <c r="H1949" t="s">
        <v>510</v>
      </c>
      <c r="I1949" t="s">
        <v>6068</v>
      </c>
      <c r="J1949" t="s">
        <v>6068</v>
      </c>
      <c r="K1949" s="99">
        <v>45926</v>
      </c>
      <c r="L1949" s="99">
        <v>45926</v>
      </c>
      <c r="M1949" s="99">
        <v>2958465</v>
      </c>
      <c r="O1949" s="111">
        <v>0</v>
      </c>
      <c r="P1949" s="99">
        <v>2958465</v>
      </c>
      <c r="R1949">
        <v>32790733</v>
      </c>
      <c r="S1949" s="99">
        <v>45926</v>
      </c>
    </row>
    <row r="1950" spans="1:19" ht="15" customHeight="1">
      <c r="A1950" s="15">
        <v>1950</v>
      </c>
      <c r="B1950" s="102" t="s">
        <v>3086</v>
      </c>
      <c r="C1950" t="s">
        <v>6071</v>
      </c>
      <c r="D1950" t="s">
        <v>3087</v>
      </c>
      <c r="E1950" s="96" t="s">
        <v>3811</v>
      </c>
      <c r="F1950" t="s">
        <v>3502</v>
      </c>
      <c r="G1950">
        <v>26747618</v>
      </c>
      <c r="H1950" t="s">
        <v>180</v>
      </c>
      <c r="I1950" t="s">
        <v>6077</v>
      </c>
      <c r="J1950" t="s">
        <v>6077</v>
      </c>
      <c r="K1950" s="99">
        <v>45902</v>
      </c>
      <c r="L1950" s="99">
        <v>45905</v>
      </c>
      <c r="M1950" s="99">
        <v>46012</v>
      </c>
      <c r="N1950">
        <v>7</v>
      </c>
      <c r="O1950" s="111">
        <v>101120</v>
      </c>
      <c r="P1950" s="99">
        <v>46012</v>
      </c>
      <c r="Q1950" s="111">
        <v>101120</v>
      </c>
      <c r="R1950">
        <v>32530433</v>
      </c>
      <c r="S1950" s="99">
        <v>45905</v>
      </c>
    </row>
    <row r="1951" spans="1:19" ht="15" customHeight="1">
      <c r="A1951" s="15">
        <v>1951</v>
      </c>
      <c r="B1951" s="102" t="s">
        <v>1555</v>
      </c>
      <c r="C1951" t="s">
        <v>6072</v>
      </c>
      <c r="D1951" t="s">
        <v>3087</v>
      </c>
      <c r="E1951" s="96" t="s">
        <v>4294</v>
      </c>
      <c r="F1951" t="s">
        <v>3250</v>
      </c>
      <c r="G1951">
        <v>60162694</v>
      </c>
      <c r="H1951" t="s">
        <v>830</v>
      </c>
      <c r="I1951" t="s">
        <v>6078</v>
      </c>
      <c r="J1951" t="s">
        <v>6078</v>
      </c>
      <c r="K1951" s="99">
        <v>45901</v>
      </c>
      <c r="L1951" s="99">
        <v>45943</v>
      </c>
      <c r="M1951" s="99">
        <v>45954</v>
      </c>
      <c r="N1951">
        <v>7</v>
      </c>
      <c r="O1951" s="111">
        <v>6000</v>
      </c>
      <c r="P1951" s="99">
        <v>45954</v>
      </c>
    </row>
    <row r="1952" spans="1:19" ht="15" customHeight="1">
      <c r="A1952" s="15">
        <v>1952</v>
      </c>
      <c r="B1952" s="102" t="s">
        <v>1555</v>
      </c>
      <c r="C1952" t="s">
        <v>6073</v>
      </c>
      <c r="D1952" t="s">
        <v>3087</v>
      </c>
      <c r="E1952" s="96" t="s">
        <v>4294</v>
      </c>
      <c r="F1952" t="s">
        <v>6083</v>
      </c>
      <c r="G1952">
        <v>28467990</v>
      </c>
      <c r="H1952" t="s">
        <v>830</v>
      </c>
      <c r="I1952" t="s">
        <v>6079</v>
      </c>
      <c r="J1952" t="s">
        <v>6079</v>
      </c>
      <c r="K1952" s="99">
        <v>45898</v>
      </c>
      <c r="L1952" s="99">
        <v>45901</v>
      </c>
      <c r="M1952" s="99">
        <v>45919</v>
      </c>
      <c r="N1952">
        <v>7</v>
      </c>
      <c r="O1952" s="111">
        <v>6000</v>
      </c>
      <c r="P1952" s="99">
        <v>45919</v>
      </c>
    </row>
    <row r="1953" spans="1:19" ht="15" customHeight="1">
      <c r="A1953" s="15">
        <v>1953</v>
      </c>
      <c r="B1953" s="102" t="s">
        <v>1555</v>
      </c>
      <c r="C1953" t="s">
        <v>6074</v>
      </c>
      <c r="D1953" t="s">
        <v>3087</v>
      </c>
      <c r="E1953" s="96" t="s">
        <v>4294</v>
      </c>
      <c r="F1953" t="s">
        <v>5079</v>
      </c>
      <c r="G1953">
        <v>10621</v>
      </c>
      <c r="H1953" t="s">
        <v>830</v>
      </c>
      <c r="I1953" t="s">
        <v>6080</v>
      </c>
      <c r="J1953" t="s">
        <v>6080</v>
      </c>
      <c r="K1953" s="99">
        <v>45903</v>
      </c>
      <c r="L1953" s="99">
        <v>45929</v>
      </c>
      <c r="M1953" s="99">
        <v>45940</v>
      </c>
      <c r="N1953">
        <v>7</v>
      </c>
      <c r="O1953" s="111">
        <v>5000</v>
      </c>
      <c r="P1953" s="99">
        <v>45940</v>
      </c>
    </row>
    <row r="1954" spans="1:19" ht="15" customHeight="1">
      <c r="A1954" s="15">
        <v>1954</v>
      </c>
      <c r="B1954" s="102" t="s">
        <v>1555</v>
      </c>
      <c r="C1954" t="s">
        <v>6075</v>
      </c>
      <c r="D1954" t="s">
        <v>3087</v>
      </c>
      <c r="E1954" s="96" t="s">
        <v>3811</v>
      </c>
      <c r="F1954" t="s">
        <v>6084</v>
      </c>
      <c r="G1954">
        <v>509124</v>
      </c>
      <c r="H1954" t="s">
        <v>180</v>
      </c>
      <c r="I1954" t="s">
        <v>6081</v>
      </c>
      <c r="J1954" t="s">
        <v>6081</v>
      </c>
      <c r="K1954" s="99">
        <v>45902</v>
      </c>
      <c r="L1954" s="99">
        <v>45913</v>
      </c>
      <c r="M1954" s="99">
        <v>45913</v>
      </c>
      <c r="N1954" t="s">
        <v>5445</v>
      </c>
      <c r="O1954" s="111">
        <v>0</v>
      </c>
      <c r="P1954" s="99">
        <v>45913</v>
      </c>
    </row>
    <row r="1955" spans="1:19" ht="15" customHeight="1">
      <c r="A1955" s="15">
        <v>1955</v>
      </c>
      <c r="B1955" s="102" t="s">
        <v>1555</v>
      </c>
      <c r="C1955" t="s">
        <v>6076</v>
      </c>
      <c r="D1955" t="s">
        <v>3087</v>
      </c>
      <c r="E1955" s="96" t="s">
        <v>3811</v>
      </c>
      <c r="F1955" t="s">
        <v>3859</v>
      </c>
      <c r="G1955">
        <v>231401</v>
      </c>
      <c r="H1955" t="s">
        <v>180</v>
      </c>
      <c r="I1955" t="s">
        <v>6082</v>
      </c>
      <c r="J1955" t="s">
        <v>6082</v>
      </c>
      <c r="K1955" s="99">
        <v>45904</v>
      </c>
      <c r="L1955" s="99">
        <v>45913</v>
      </c>
      <c r="M1955" s="99">
        <v>45913</v>
      </c>
      <c r="N1955" t="s">
        <v>5874</v>
      </c>
      <c r="O1955" s="111">
        <v>0</v>
      </c>
      <c r="P1955" s="99">
        <v>45913</v>
      </c>
    </row>
    <row r="1956" spans="1:19" ht="15" customHeight="1">
      <c r="A1956" s="15">
        <v>1956</v>
      </c>
      <c r="B1956" s="102" t="s">
        <v>3086</v>
      </c>
      <c r="C1956" t="s">
        <v>6087</v>
      </c>
      <c r="D1956" t="s">
        <v>3110</v>
      </c>
      <c r="E1956" s="96" t="s">
        <v>3117</v>
      </c>
      <c r="F1956" t="s">
        <v>5848</v>
      </c>
      <c r="G1956">
        <v>61680419</v>
      </c>
      <c r="H1956" t="s">
        <v>3982</v>
      </c>
      <c r="I1956" t="s">
        <v>6088</v>
      </c>
      <c r="J1956" t="s">
        <v>6088</v>
      </c>
      <c r="K1956" s="99">
        <v>45909</v>
      </c>
      <c r="L1956" s="99">
        <v>45931</v>
      </c>
      <c r="M1956" s="99">
        <v>2958465</v>
      </c>
      <c r="N1956" s="859">
        <v>1</v>
      </c>
      <c r="O1956" s="111">
        <v>20000</v>
      </c>
      <c r="P1956" s="99">
        <v>2958465</v>
      </c>
      <c r="Q1956" s="485">
        <v>100000</v>
      </c>
      <c r="R1956">
        <v>32567521</v>
      </c>
      <c r="S1956" s="99">
        <v>45909</v>
      </c>
    </row>
    <row r="1957" spans="1:19" ht="15" customHeight="1">
      <c r="A1957" s="15">
        <v>1957</v>
      </c>
      <c r="B1957" s="102" t="s">
        <v>3086</v>
      </c>
      <c r="C1957" t="s">
        <v>6093</v>
      </c>
      <c r="D1957" t="s">
        <v>3110</v>
      </c>
      <c r="E1957" s="96" t="s">
        <v>3958</v>
      </c>
      <c r="F1957" t="s">
        <v>3719</v>
      </c>
      <c r="G1957">
        <v>4260431</v>
      </c>
      <c r="H1957" t="s">
        <v>4550</v>
      </c>
      <c r="I1957" t="s">
        <v>6094</v>
      </c>
      <c r="J1957" t="s">
        <v>6094</v>
      </c>
      <c r="K1957" s="99">
        <v>45926</v>
      </c>
      <c r="L1957" s="99">
        <v>45926</v>
      </c>
      <c r="N1957">
        <v>7</v>
      </c>
      <c r="O1957" s="111">
        <v>111745</v>
      </c>
      <c r="Q1957" s="485">
        <v>111745</v>
      </c>
      <c r="R1957">
        <v>32793617</v>
      </c>
      <c r="S1957" s="99">
        <v>45926</v>
      </c>
    </row>
    <row r="1958" spans="1:19" ht="15" customHeight="1">
      <c r="A1958" s="15">
        <v>1958</v>
      </c>
      <c r="B1958" s="102" t="s">
        <v>3086</v>
      </c>
      <c r="C1958" t="s">
        <v>6095</v>
      </c>
      <c r="D1958" t="s">
        <v>3110</v>
      </c>
      <c r="E1958" s="96" t="s">
        <v>3117</v>
      </c>
      <c r="F1958" t="s">
        <v>3719</v>
      </c>
      <c r="G1958">
        <v>4260431</v>
      </c>
      <c r="H1958" t="s">
        <v>3982</v>
      </c>
      <c r="I1958" t="s">
        <v>647</v>
      </c>
      <c r="J1958" t="s">
        <v>647</v>
      </c>
      <c r="K1958" s="99">
        <v>45926</v>
      </c>
      <c r="L1958" s="99">
        <v>45926</v>
      </c>
      <c r="M1958" s="99">
        <v>46295</v>
      </c>
      <c r="N1958" s="859">
        <v>1</v>
      </c>
      <c r="O1958" s="111">
        <v>302500</v>
      </c>
      <c r="P1958" s="99">
        <v>46295</v>
      </c>
      <c r="Q1958" s="485">
        <v>302500</v>
      </c>
      <c r="R1958">
        <v>32793981</v>
      </c>
      <c r="S1958" s="99">
        <v>45926</v>
      </c>
    </row>
    <row r="1959" spans="1:19" ht="15" customHeight="1">
      <c r="A1959" s="15">
        <v>1959</v>
      </c>
      <c r="B1959" s="102" t="s">
        <v>3086</v>
      </c>
      <c r="C1959" s="96" t="s">
        <v>6096</v>
      </c>
      <c r="D1959" t="s">
        <v>3116</v>
      </c>
      <c r="E1959" s="96" t="s">
        <v>5099</v>
      </c>
      <c r="F1959" s="96" t="s">
        <v>3249</v>
      </c>
      <c r="G1959">
        <v>60193336</v>
      </c>
      <c r="H1959" s="96" t="s">
        <v>4036</v>
      </c>
      <c r="I1959" s="96" t="s">
        <v>6097</v>
      </c>
      <c r="J1959" s="96" t="s">
        <v>6097</v>
      </c>
      <c r="K1959" s="99">
        <v>45936</v>
      </c>
      <c r="L1959" s="99">
        <v>45936</v>
      </c>
      <c r="M1959" s="99">
        <v>47396</v>
      </c>
      <c r="N1959" s="859">
        <v>1</v>
      </c>
      <c r="O1959" s="111"/>
      <c r="P1959" s="99">
        <v>47396</v>
      </c>
      <c r="Q1959" s="485">
        <v>2125637.25</v>
      </c>
      <c r="R1959">
        <v>32910249</v>
      </c>
      <c r="S1959" s="99">
        <v>45936</v>
      </c>
    </row>
    <row r="1960" spans="1:19" ht="15" customHeight="1">
      <c r="A1960" s="15">
        <v>1960</v>
      </c>
      <c r="B1960" s="102" t="s">
        <v>3086</v>
      </c>
      <c r="C1960" t="s">
        <v>6104</v>
      </c>
      <c r="D1960" t="s">
        <v>3168</v>
      </c>
      <c r="E1960" s="96" t="s">
        <v>3197</v>
      </c>
      <c r="F1960" t="s">
        <v>3600</v>
      </c>
      <c r="G1960">
        <v>24766356</v>
      </c>
      <c r="H1960" t="s">
        <v>546</v>
      </c>
      <c r="I1960" t="s">
        <v>6105</v>
      </c>
      <c r="J1960" t="s">
        <v>6105</v>
      </c>
      <c r="K1960" s="99">
        <v>45931</v>
      </c>
      <c r="L1960" s="99">
        <v>45931</v>
      </c>
      <c r="M1960" s="99">
        <v>45961</v>
      </c>
      <c r="N1960" s="859">
        <v>7</v>
      </c>
      <c r="O1960" s="111">
        <v>2081200</v>
      </c>
      <c r="P1960" s="99">
        <v>45961</v>
      </c>
      <c r="Q1960" s="485">
        <v>2081200</v>
      </c>
      <c r="R1960">
        <v>32863305</v>
      </c>
      <c r="S1960" s="99">
        <v>45932</v>
      </c>
    </row>
    <row r="1961" spans="1:19" ht="15" customHeight="1">
      <c r="A1961" s="15">
        <v>1961</v>
      </c>
      <c r="B1961" s="102" t="s">
        <v>3086</v>
      </c>
      <c r="C1961" t="s">
        <v>6107</v>
      </c>
      <c r="D1961" t="s">
        <v>3094</v>
      </c>
      <c r="E1961" s="96" t="s">
        <v>3093</v>
      </c>
      <c r="F1961" s="96" t="s">
        <v>3457</v>
      </c>
      <c r="G1961">
        <v>27253236</v>
      </c>
      <c r="H1961" s="96" t="s">
        <v>510</v>
      </c>
      <c r="I1961" t="s">
        <v>6109</v>
      </c>
      <c r="J1961" t="s">
        <v>6109</v>
      </c>
      <c r="K1961" s="99">
        <v>45919</v>
      </c>
      <c r="L1961" s="99">
        <v>45922</v>
      </c>
      <c r="O1961" s="111"/>
      <c r="Q1961" s="485">
        <v>1</v>
      </c>
      <c r="R1961">
        <v>32714397</v>
      </c>
      <c r="S1961" s="99">
        <v>45922</v>
      </c>
    </row>
    <row r="1962" spans="1:19" ht="15" customHeight="1">
      <c r="A1962" s="15">
        <v>1962</v>
      </c>
      <c r="B1962" s="102" t="s">
        <v>3086</v>
      </c>
      <c r="C1962" t="s">
        <v>6108</v>
      </c>
      <c r="D1962" t="s">
        <v>4667</v>
      </c>
      <c r="E1962" s="96" t="s">
        <v>3197</v>
      </c>
      <c r="F1962" s="96" t="s">
        <v>6111</v>
      </c>
      <c r="G1962">
        <v>28785606</v>
      </c>
      <c r="H1962" t="s">
        <v>546</v>
      </c>
      <c r="I1962" t="s">
        <v>6110</v>
      </c>
      <c r="J1962" t="s">
        <v>6110</v>
      </c>
      <c r="K1962" s="99">
        <v>45919</v>
      </c>
      <c r="L1962" s="99">
        <v>45919</v>
      </c>
      <c r="M1962" s="99">
        <v>46081</v>
      </c>
      <c r="N1962" s="859">
        <v>7</v>
      </c>
      <c r="O1962" s="111">
        <v>508974.4</v>
      </c>
      <c r="P1962" s="99">
        <v>46081</v>
      </c>
      <c r="Q1962" s="111">
        <v>508974.4</v>
      </c>
      <c r="R1962">
        <v>32706325</v>
      </c>
      <c r="S1962" s="99">
        <v>45919</v>
      </c>
    </row>
    <row r="1963" spans="1:19" ht="15" customHeight="1">
      <c r="A1963" s="15">
        <v>1963</v>
      </c>
      <c r="B1963" s="102" t="s">
        <v>1555</v>
      </c>
      <c r="C1963" t="s">
        <v>6114</v>
      </c>
      <c r="D1963" t="s">
        <v>3087</v>
      </c>
      <c r="E1963" s="96" t="s">
        <v>3811</v>
      </c>
      <c r="F1963" s="96" t="s">
        <v>5688</v>
      </c>
      <c r="G1963">
        <v>70885371</v>
      </c>
      <c r="H1963" s="96" t="s">
        <v>180</v>
      </c>
      <c r="I1963" t="s">
        <v>6130</v>
      </c>
      <c r="J1963" t="s">
        <v>6130</v>
      </c>
      <c r="K1963" s="99">
        <v>45908</v>
      </c>
      <c r="L1963" s="99">
        <v>45918</v>
      </c>
      <c r="M1963" s="99">
        <v>45918</v>
      </c>
      <c r="O1963" s="111">
        <v>0</v>
      </c>
      <c r="P1963" s="99">
        <v>45918</v>
      </c>
    </row>
    <row r="1964" spans="1:19" ht="15" customHeight="1">
      <c r="A1964" s="15">
        <v>1964</v>
      </c>
      <c r="B1964" s="102" t="s">
        <v>1555</v>
      </c>
      <c r="C1964" t="s">
        <v>6115</v>
      </c>
      <c r="D1964" t="s">
        <v>3087</v>
      </c>
      <c r="E1964" s="96" t="s">
        <v>3811</v>
      </c>
      <c r="F1964" s="96" t="s">
        <v>3683</v>
      </c>
      <c r="G1964">
        <v>7964943</v>
      </c>
      <c r="H1964" s="96" t="s">
        <v>180</v>
      </c>
      <c r="I1964" t="s">
        <v>6129</v>
      </c>
      <c r="J1964" t="s">
        <v>6129</v>
      </c>
      <c r="K1964" s="99">
        <v>45905</v>
      </c>
      <c r="L1964" s="99">
        <v>45913</v>
      </c>
      <c r="M1964" s="99">
        <v>45913</v>
      </c>
      <c r="N1964" s="859">
        <v>7</v>
      </c>
      <c r="O1964" s="111">
        <v>4000</v>
      </c>
      <c r="P1964" s="99">
        <v>45913</v>
      </c>
    </row>
    <row r="1965" spans="1:19" ht="15" customHeight="1">
      <c r="A1965" s="15">
        <v>1965</v>
      </c>
      <c r="B1965" s="102" t="s">
        <v>1555</v>
      </c>
      <c r="C1965" t="s">
        <v>6116</v>
      </c>
      <c r="D1965" t="s">
        <v>3087</v>
      </c>
      <c r="E1965" s="96" t="s">
        <v>3811</v>
      </c>
      <c r="F1965" s="96" t="s">
        <v>6131</v>
      </c>
      <c r="G1965">
        <v>63840804</v>
      </c>
      <c r="H1965" s="96" t="s">
        <v>180</v>
      </c>
      <c r="I1965" t="s">
        <v>6128</v>
      </c>
      <c r="J1965" t="s">
        <v>6128</v>
      </c>
      <c r="K1965" s="99">
        <v>45908</v>
      </c>
      <c r="L1965" s="99">
        <v>45912</v>
      </c>
      <c r="M1965" s="99">
        <v>45912</v>
      </c>
      <c r="O1965" s="111">
        <v>0</v>
      </c>
      <c r="P1965" s="99">
        <v>45912</v>
      </c>
    </row>
    <row r="1966" spans="1:19" ht="15" customHeight="1">
      <c r="A1966" s="15">
        <v>1966</v>
      </c>
      <c r="B1966" s="102" t="s">
        <v>1555</v>
      </c>
      <c r="C1966" t="s">
        <v>6117</v>
      </c>
      <c r="D1966" t="s">
        <v>3087</v>
      </c>
      <c r="E1966" s="96" t="s">
        <v>3811</v>
      </c>
      <c r="F1966" s="96" t="s">
        <v>4818</v>
      </c>
      <c r="G1966">
        <v>10471</v>
      </c>
      <c r="H1966" s="96" t="s">
        <v>180</v>
      </c>
      <c r="I1966" t="s">
        <v>6127</v>
      </c>
      <c r="J1966" t="s">
        <v>6127</v>
      </c>
      <c r="K1966" s="99">
        <v>45908</v>
      </c>
      <c r="L1966" s="99">
        <v>45913</v>
      </c>
      <c r="M1966" s="99">
        <v>45913</v>
      </c>
      <c r="O1966" s="111">
        <v>0</v>
      </c>
      <c r="P1966" s="99">
        <v>45913</v>
      </c>
    </row>
    <row r="1967" spans="1:19" ht="15" customHeight="1">
      <c r="A1967" s="15">
        <v>1967</v>
      </c>
      <c r="B1967" s="102" t="s">
        <v>1555</v>
      </c>
      <c r="C1967" t="s">
        <v>6118</v>
      </c>
      <c r="D1967" t="s">
        <v>3087</v>
      </c>
      <c r="E1967" s="96" t="s">
        <v>3811</v>
      </c>
      <c r="F1967" s="96" t="s">
        <v>6132</v>
      </c>
      <c r="G1967">
        <v>72075805</v>
      </c>
      <c r="H1967" s="96" t="s">
        <v>180</v>
      </c>
      <c r="I1967" t="s">
        <v>6126</v>
      </c>
      <c r="J1967" t="s">
        <v>6126</v>
      </c>
      <c r="K1967" s="99">
        <v>45909</v>
      </c>
      <c r="L1967" s="99">
        <v>45920</v>
      </c>
      <c r="M1967" s="99">
        <v>45920</v>
      </c>
      <c r="O1967" s="111">
        <v>0</v>
      </c>
      <c r="P1967" s="99">
        <v>45920</v>
      </c>
    </row>
    <row r="1968" spans="1:19" ht="15" customHeight="1">
      <c r="A1968" s="15">
        <v>1968</v>
      </c>
      <c r="B1968" s="102" t="s">
        <v>1555</v>
      </c>
      <c r="C1968" t="s">
        <v>6119</v>
      </c>
      <c r="D1968" t="s">
        <v>3087</v>
      </c>
      <c r="E1968" s="96" t="s">
        <v>3811</v>
      </c>
      <c r="F1968" s="96" t="s">
        <v>6133</v>
      </c>
      <c r="G1968">
        <v>240117</v>
      </c>
      <c r="H1968" s="96" t="s">
        <v>180</v>
      </c>
      <c r="I1968" t="s">
        <v>6125</v>
      </c>
      <c r="J1968" t="s">
        <v>6125</v>
      </c>
      <c r="K1968" s="99">
        <v>45910</v>
      </c>
      <c r="L1968" s="99">
        <v>45913</v>
      </c>
      <c r="M1968" s="99">
        <v>45913</v>
      </c>
      <c r="O1968" s="111">
        <v>0</v>
      </c>
      <c r="P1968" s="99">
        <v>45913</v>
      </c>
    </row>
    <row r="1969" spans="1:19" ht="15" customHeight="1">
      <c r="A1969" s="15">
        <v>1969</v>
      </c>
      <c r="B1969" s="102" t="s">
        <v>3086</v>
      </c>
      <c r="C1969" t="s">
        <v>6120</v>
      </c>
      <c r="D1969" t="s">
        <v>3087</v>
      </c>
      <c r="E1969" s="96" t="s">
        <v>4294</v>
      </c>
      <c r="F1969" t="s">
        <v>6124</v>
      </c>
      <c r="G1969">
        <v>11448</v>
      </c>
      <c r="H1969" s="96" t="s">
        <v>830</v>
      </c>
      <c r="I1969" t="s">
        <v>6123</v>
      </c>
      <c r="J1969" t="s">
        <v>6123</v>
      </c>
      <c r="K1969" s="99">
        <v>45908</v>
      </c>
      <c r="L1969" s="99">
        <v>45931</v>
      </c>
      <c r="M1969" s="99">
        <v>46022</v>
      </c>
      <c r="N1969">
        <v>7</v>
      </c>
      <c r="O1969" s="111">
        <v>5000</v>
      </c>
      <c r="P1969" s="99">
        <v>46022</v>
      </c>
    </row>
    <row r="1970" spans="1:19" ht="15" customHeight="1">
      <c r="A1970" s="15">
        <v>1970</v>
      </c>
      <c r="B1970" s="102" t="s">
        <v>1555</v>
      </c>
      <c r="C1970" t="s">
        <v>6121</v>
      </c>
      <c r="D1970" t="s">
        <v>3087</v>
      </c>
      <c r="E1970" s="96" t="s">
        <v>4294</v>
      </c>
      <c r="F1970" t="s">
        <v>5159</v>
      </c>
      <c r="G1970">
        <v>10742</v>
      </c>
      <c r="H1970" s="96" t="s">
        <v>830</v>
      </c>
      <c r="I1970" t="s">
        <v>6122</v>
      </c>
      <c r="J1970" t="s">
        <v>6122</v>
      </c>
      <c r="K1970" s="99">
        <v>45911</v>
      </c>
      <c r="L1970" s="99">
        <v>45915</v>
      </c>
      <c r="M1970" s="99">
        <v>45924</v>
      </c>
      <c r="N1970">
        <v>7</v>
      </c>
      <c r="O1970" s="111">
        <v>3500</v>
      </c>
      <c r="P1970" s="99">
        <v>45924</v>
      </c>
    </row>
    <row r="1971" spans="1:19" ht="15" customHeight="1">
      <c r="A1971" s="15">
        <v>1971</v>
      </c>
      <c r="B1971" s="102" t="s">
        <v>3086</v>
      </c>
      <c r="C1971" t="s">
        <v>6134</v>
      </c>
      <c r="D1971" t="s">
        <v>3110</v>
      </c>
      <c r="E1971" s="96" t="s">
        <v>3197</v>
      </c>
      <c r="F1971" s="96" t="s">
        <v>3549</v>
      </c>
      <c r="G1971">
        <v>25710427</v>
      </c>
      <c r="H1971" s="96" t="s">
        <v>546</v>
      </c>
      <c r="I1971" t="s">
        <v>6135</v>
      </c>
      <c r="J1971" t="s">
        <v>6135</v>
      </c>
      <c r="K1971" s="99">
        <v>45926</v>
      </c>
      <c r="L1971" s="99">
        <v>45926</v>
      </c>
      <c r="M1971" s="99">
        <v>46412</v>
      </c>
      <c r="N1971">
        <v>7</v>
      </c>
      <c r="O1971" s="111">
        <v>50202900</v>
      </c>
      <c r="P1971" s="99">
        <v>46412</v>
      </c>
      <c r="Q1971" s="485">
        <v>50202900</v>
      </c>
      <c r="R1971">
        <v>32790201</v>
      </c>
      <c r="S1971" s="99">
        <v>45926</v>
      </c>
    </row>
    <row r="1972" spans="1:19" ht="15" customHeight="1">
      <c r="A1972" s="15">
        <v>1972</v>
      </c>
      <c r="B1972" s="102" t="s">
        <v>3086</v>
      </c>
      <c r="C1972" t="s">
        <v>6136</v>
      </c>
      <c r="D1972" t="s">
        <v>3110</v>
      </c>
      <c r="E1972" s="96" t="s">
        <v>3197</v>
      </c>
      <c r="F1972" s="96" t="s">
        <v>3549</v>
      </c>
      <c r="G1972">
        <v>25710427</v>
      </c>
      <c r="H1972" s="96" t="s">
        <v>546</v>
      </c>
      <c r="I1972" t="s">
        <v>6137</v>
      </c>
      <c r="J1972" t="s">
        <v>6137</v>
      </c>
      <c r="K1972" s="99">
        <v>45918</v>
      </c>
      <c r="L1972" s="99">
        <v>45918</v>
      </c>
      <c r="N1972">
        <v>7</v>
      </c>
      <c r="O1972" s="111">
        <v>75304350</v>
      </c>
      <c r="Q1972" s="485">
        <v>75304350</v>
      </c>
    </row>
    <row r="1973" spans="1:19" ht="15" customHeight="1">
      <c r="A1973" s="15">
        <v>1973</v>
      </c>
      <c r="B1973" s="102" t="s">
        <v>3086</v>
      </c>
      <c r="C1973" t="s">
        <v>6140</v>
      </c>
      <c r="D1973" t="s">
        <v>3110</v>
      </c>
      <c r="E1973" s="96" t="s">
        <v>3088</v>
      </c>
      <c r="F1973" s="96" t="s">
        <v>3779</v>
      </c>
      <c r="G1973">
        <v>346292</v>
      </c>
      <c r="H1973" s="96" t="s">
        <v>6141</v>
      </c>
      <c r="I1973" t="s">
        <v>6142</v>
      </c>
      <c r="J1973" t="s">
        <v>6142</v>
      </c>
      <c r="K1973" s="99">
        <v>45922</v>
      </c>
      <c r="L1973" s="99">
        <v>45922</v>
      </c>
      <c r="M1973" s="99">
        <v>45737</v>
      </c>
      <c r="O1973" s="111"/>
      <c r="P1973" s="99">
        <v>46102</v>
      </c>
      <c r="R1973">
        <v>32730333</v>
      </c>
      <c r="S1973" s="99">
        <v>45922</v>
      </c>
    </row>
    <row r="1974" spans="1:19" ht="15" customHeight="1">
      <c r="A1974" s="15">
        <v>1974</v>
      </c>
      <c r="B1974" s="102" t="s">
        <v>3086</v>
      </c>
      <c r="C1974" t="s">
        <v>6143</v>
      </c>
      <c r="D1974" t="s">
        <v>3116</v>
      </c>
      <c r="E1974" s="96" t="s">
        <v>5099</v>
      </c>
      <c r="F1974" s="96" t="s">
        <v>3190</v>
      </c>
      <c r="G1974">
        <v>64949681</v>
      </c>
      <c r="H1974" s="96" t="s">
        <v>4036</v>
      </c>
      <c r="I1974" s="96" t="s">
        <v>6144</v>
      </c>
      <c r="J1974" s="96" t="s">
        <v>6144</v>
      </c>
      <c r="K1974" s="99">
        <v>45975</v>
      </c>
      <c r="L1974" s="99">
        <v>45975</v>
      </c>
      <c r="M1974" s="99">
        <v>47435</v>
      </c>
      <c r="N1974" s="859">
        <v>1</v>
      </c>
      <c r="O1974" s="111">
        <v>35435188.799999997</v>
      </c>
      <c r="P1974" s="99">
        <v>45922</v>
      </c>
      <c r="Q1974" s="485">
        <v>35435188.799999997</v>
      </c>
      <c r="R1974">
        <v>33415185</v>
      </c>
      <c r="S1974" s="99">
        <v>45975</v>
      </c>
    </row>
    <row r="1975" spans="1:19" ht="15" customHeight="1">
      <c r="A1975" s="15">
        <v>1975</v>
      </c>
      <c r="B1975" s="102" t="s">
        <v>3086</v>
      </c>
      <c r="C1975" t="s">
        <v>6145</v>
      </c>
      <c r="D1975" t="s">
        <v>3087</v>
      </c>
      <c r="E1975" s="96" t="s">
        <v>3197</v>
      </c>
      <c r="F1975" s="96" t="s">
        <v>3437</v>
      </c>
      <c r="G1975">
        <v>27301800</v>
      </c>
      <c r="H1975" s="96" t="s">
        <v>546</v>
      </c>
      <c r="I1975" t="s">
        <v>6146</v>
      </c>
      <c r="J1975" t="s">
        <v>6146</v>
      </c>
      <c r="K1975" s="99">
        <v>45936</v>
      </c>
      <c r="L1975" s="99">
        <v>45936</v>
      </c>
      <c r="M1975" s="99">
        <v>45996</v>
      </c>
      <c r="N1975" s="831">
        <v>7</v>
      </c>
      <c r="O1975" s="111">
        <v>470924.16</v>
      </c>
      <c r="P1975" s="99">
        <v>45996</v>
      </c>
      <c r="Q1975" s="485">
        <v>470924.16</v>
      </c>
      <c r="R1975">
        <v>32909661</v>
      </c>
      <c r="S1975" s="99">
        <v>45936</v>
      </c>
    </row>
    <row r="1976" spans="1:19" ht="15" customHeight="1">
      <c r="A1976" s="15">
        <v>1976</v>
      </c>
      <c r="B1976" s="102" t="s">
        <v>3086</v>
      </c>
      <c r="C1976" t="s">
        <v>6147</v>
      </c>
      <c r="D1976" t="s">
        <v>3110</v>
      </c>
      <c r="E1976" s="96" t="s">
        <v>3369</v>
      </c>
      <c r="F1976" s="96" t="s">
        <v>3928</v>
      </c>
      <c r="G1976">
        <v>44265778</v>
      </c>
      <c r="H1976" s="96" t="s">
        <v>482</v>
      </c>
      <c r="I1976" t="s">
        <v>6148</v>
      </c>
      <c r="J1976" t="s">
        <v>6148</v>
      </c>
      <c r="K1976" s="99">
        <v>45943</v>
      </c>
      <c r="L1976" s="99">
        <v>45943</v>
      </c>
      <c r="M1976" s="99">
        <v>45964</v>
      </c>
      <c r="N1976" s="859">
        <v>7</v>
      </c>
      <c r="O1976" s="111">
        <v>751404</v>
      </c>
      <c r="P1976" s="99">
        <v>45964</v>
      </c>
      <c r="Q1976" s="485">
        <v>751404</v>
      </c>
      <c r="R1976">
        <v>32991997</v>
      </c>
      <c r="S1976" s="99">
        <v>45943</v>
      </c>
    </row>
    <row r="1977" spans="1:19" ht="15" customHeight="1">
      <c r="A1977" s="15">
        <v>1977</v>
      </c>
      <c r="B1977" s="102" t="s">
        <v>3086</v>
      </c>
      <c r="C1977" t="s">
        <v>6149</v>
      </c>
      <c r="D1977" t="s">
        <v>3110</v>
      </c>
      <c r="E1977" s="96" t="s">
        <v>6150</v>
      </c>
      <c r="F1977" s="96" t="s">
        <v>6151</v>
      </c>
      <c r="G1977">
        <v>25615</v>
      </c>
      <c r="H1977" s="96" t="s">
        <v>250</v>
      </c>
      <c r="I1977" s="96" t="s">
        <v>746</v>
      </c>
      <c r="J1977" s="96" t="s">
        <v>746</v>
      </c>
      <c r="K1977" s="99">
        <v>45931</v>
      </c>
      <c r="L1977" s="99">
        <v>45931</v>
      </c>
      <c r="M1977" s="99">
        <v>46295</v>
      </c>
      <c r="N1977" s="859">
        <v>6</v>
      </c>
      <c r="O1977" s="111">
        <v>1512.5</v>
      </c>
      <c r="P1977" s="99">
        <v>46295</v>
      </c>
    </row>
    <row r="1978" spans="1:19" ht="15" customHeight="1">
      <c r="A1978" s="15">
        <v>1978</v>
      </c>
      <c r="B1978" s="102" t="s">
        <v>3086</v>
      </c>
      <c r="C1978" t="s">
        <v>6153</v>
      </c>
      <c r="D1978" t="s">
        <v>3087</v>
      </c>
      <c r="E1978" s="96" t="s">
        <v>3117</v>
      </c>
      <c r="F1978" s="96" t="s">
        <v>6154</v>
      </c>
      <c r="G1978">
        <v>11468</v>
      </c>
      <c r="H1978" s="96" t="s">
        <v>3982</v>
      </c>
      <c r="I1978" t="s">
        <v>6155</v>
      </c>
      <c r="J1978" t="s">
        <v>6155</v>
      </c>
      <c r="K1978" s="99">
        <v>45950</v>
      </c>
      <c r="L1978" s="99">
        <v>45950</v>
      </c>
      <c r="M1978" s="99">
        <v>2958465</v>
      </c>
      <c r="N1978" s="859">
        <v>6</v>
      </c>
      <c r="O1978" s="111">
        <v>302500</v>
      </c>
      <c r="P1978" s="99">
        <v>2958465</v>
      </c>
      <c r="Q1978" s="485">
        <v>302500</v>
      </c>
      <c r="R1978">
        <v>33090061</v>
      </c>
      <c r="S1978" s="99">
        <v>45950</v>
      </c>
    </row>
    <row r="1979" spans="1:19" ht="15" customHeight="1">
      <c r="A1979" s="15">
        <v>1979</v>
      </c>
      <c r="B1979" s="102" t="s">
        <v>1555</v>
      </c>
      <c r="C1979" t="s">
        <v>6156</v>
      </c>
      <c r="D1979" t="s">
        <v>3087</v>
      </c>
      <c r="E1979" s="96" t="s">
        <v>4294</v>
      </c>
      <c r="F1979" s="96" t="s">
        <v>6157</v>
      </c>
      <c r="G1979">
        <v>2937476</v>
      </c>
      <c r="H1979" s="96" t="s">
        <v>830</v>
      </c>
      <c r="I1979" t="s">
        <v>6158</v>
      </c>
      <c r="J1979" t="s">
        <v>6158</v>
      </c>
      <c r="K1979" s="99">
        <v>45929</v>
      </c>
      <c r="L1979" s="99">
        <v>45950</v>
      </c>
      <c r="M1979" s="99">
        <v>45961</v>
      </c>
      <c r="N1979" s="859">
        <v>7</v>
      </c>
      <c r="O1979" s="111">
        <v>6000</v>
      </c>
      <c r="P1979" s="99">
        <v>45961</v>
      </c>
    </row>
    <row r="1980" spans="1:19" ht="15" customHeight="1">
      <c r="A1980" s="15">
        <v>1980</v>
      </c>
      <c r="B1980" s="102" t="s">
        <v>1555</v>
      </c>
      <c r="C1980" t="s">
        <v>6159</v>
      </c>
      <c r="D1980" t="s">
        <v>3087</v>
      </c>
      <c r="E1980" s="96" t="s">
        <v>4294</v>
      </c>
      <c r="F1980" s="96" t="s">
        <v>4656</v>
      </c>
      <c r="G1980">
        <v>25606328</v>
      </c>
      <c r="H1980" s="96" t="s">
        <v>830</v>
      </c>
      <c r="I1980" t="s">
        <v>6160</v>
      </c>
      <c r="J1980" t="s">
        <v>6160</v>
      </c>
      <c r="K1980" s="99">
        <v>45912</v>
      </c>
      <c r="L1980" s="99">
        <v>45915</v>
      </c>
      <c r="M1980" s="99">
        <v>45926</v>
      </c>
      <c r="N1980" s="859">
        <v>7</v>
      </c>
      <c r="O1980" s="111">
        <v>4200</v>
      </c>
    </row>
    <row r="1981" spans="1:19" ht="15" customHeight="1">
      <c r="A1981" s="15">
        <v>1981</v>
      </c>
      <c r="B1981" s="102" t="s">
        <v>3086</v>
      </c>
      <c r="C1981" t="s">
        <v>6161</v>
      </c>
      <c r="D1981" t="s">
        <v>3110</v>
      </c>
      <c r="E1981" s="96" t="s">
        <v>3197</v>
      </c>
      <c r="F1981" s="96" t="s">
        <v>3283</v>
      </c>
      <c r="G1981">
        <v>48033758</v>
      </c>
      <c r="H1981" s="96" t="s">
        <v>546</v>
      </c>
      <c r="I1981" t="s">
        <v>6162</v>
      </c>
      <c r="J1981" t="s">
        <v>6162</v>
      </c>
      <c r="K1981" s="99">
        <v>45943</v>
      </c>
      <c r="L1981" s="99">
        <v>45943</v>
      </c>
      <c r="M1981" s="99">
        <v>45965</v>
      </c>
      <c r="N1981" s="859">
        <v>7</v>
      </c>
      <c r="O1981" s="111">
        <v>1068200.7</v>
      </c>
      <c r="P1981" s="99">
        <v>45965</v>
      </c>
      <c r="Q1981" s="485">
        <v>1068200.7</v>
      </c>
      <c r="R1981">
        <v>32992929</v>
      </c>
      <c r="S1981" s="99">
        <v>45943</v>
      </c>
    </row>
    <row r="1982" spans="1:19" ht="15" customHeight="1">
      <c r="A1982" s="15">
        <v>1982</v>
      </c>
      <c r="B1982" s="102" t="s">
        <v>3086</v>
      </c>
      <c r="C1982" t="s">
        <v>6163</v>
      </c>
      <c r="D1982" t="s">
        <v>3110</v>
      </c>
      <c r="E1982" s="96" t="s">
        <v>6150</v>
      </c>
      <c r="F1982" s="96" t="s">
        <v>6164</v>
      </c>
      <c r="G1982">
        <v>26416735</v>
      </c>
      <c r="H1982" s="96" t="s">
        <v>250</v>
      </c>
      <c r="I1982" t="s">
        <v>6165</v>
      </c>
      <c r="J1982" t="s">
        <v>6165</v>
      </c>
      <c r="K1982" s="99">
        <v>45943</v>
      </c>
      <c r="L1982" s="99">
        <v>45962</v>
      </c>
      <c r="M1982" s="99">
        <v>46722</v>
      </c>
      <c r="N1982" s="859">
        <v>1</v>
      </c>
      <c r="O1982" s="111">
        <v>363000</v>
      </c>
      <c r="P1982" s="99">
        <v>46722</v>
      </c>
      <c r="Q1982" s="485">
        <v>625000</v>
      </c>
      <c r="R1982">
        <v>32993469</v>
      </c>
      <c r="S1982" s="99">
        <v>45943</v>
      </c>
    </row>
    <row r="1983" spans="1:19" ht="15" customHeight="1">
      <c r="A1983" s="15">
        <v>1983</v>
      </c>
      <c r="B1983" s="102" t="s">
        <v>1555</v>
      </c>
      <c r="C1983" t="s">
        <v>6166</v>
      </c>
      <c r="D1983" t="s">
        <v>3087</v>
      </c>
      <c r="E1983" s="96" t="s">
        <v>3811</v>
      </c>
      <c r="F1983" s="96" t="s">
        <v>4405</v>
      </c>
      <c r="G1983">
        <v>243132</v>
      </c>
      <c r="H1983" s="96" t="s">
        <v>180</v>
      </c>
      <c r="I1983" s="96" t="s">
        <v>6167</v>
      </c>
      <c r="J1983" s="96" t="s">
        <v>6167</v>
      </c>
      <c r="K1983" s="99">
        <v>45917</v>
      </c>
      <c r="L1983" s="99">
        <v>45919</v>
      </c>
      <c r="M1983" s="99">
        <v>45919</v>
      </c>
      <c r="O1983" s="111"/>
      <c r="P1983" s="99">
        <v>45919</v>
      </c>
    </row>
    <row r="1984" spans="1:19" ht="15" customHeight="1">
      <c r="A1984" s="15">
        <v>1984</v>
      </c>
      <c r="B1984" s="102" t="s">
        <v>1555</v>
      </c>
      <c r="C1984" t="s">
        <v>6168</v>
      </c>
      <c r="D1984" t="s">
        <v>3087</v>
      </c>
      <c r="E1984" s="96" t="s">
        <v>3811</v>
      </c>
      <c r="F1984" s="96" t="s">
        <v>5486</v>
      </c>
      <c r="G1984">
        <v>65601793</v>
      </c>
      <c r="H1984" s="96" t="s">
        <v>180</v>
      </c>
      <c r="I1984" s="96" t="s">
        <v>6169</v>
      </c>
      <c r="J1984" s="96" t="s">
        <v>6169</v>
      </c>
      <c r="K1984" s="99">
        <v>45923</v>
      </c>
      <c r="L1984" s="99">
        <v>45941</v>
      </c>
      <c r="M1984" s="99">
        <v>45941</v>
      </c>
      <c r="N1984" s="859">
        <v>7</v>
      </c>
      <c r="O1984" s="111">
        <v>12960</v>
      </c>
      <c r="P1984" s="99">
        <v>45941</v>
      </c>
    </row>
    <row r="1985" spans="1:19" ht="15" customHeight="1">
      <c r="A1985" s="15">
        <v>1985</v>
      </c>
      <c r="B1985" s="102" t="s">
        <v>3086</v>
      </c>
      <c r="C1985" t="s">
        <v>6170</v>
      </c>
      <c r="D1985" t="s">
        <v>3110</v>
      </c>
      <c r="E1985" s="96" t="s">
        <v>4965</v>
      </c>
      <c r="F1985" s="96" t="s">
        <v>6171</v>
      </c>
      <c r="G1985">
        <v>27362361</v>
      </c>
      <c r="H1985" s="96" t="s">
        <v>3183</v>
      </c>
      <c r="I1985" t="s">
        <v>6172</v>
      </c>
      <c r="J1985" t="s">
        <v>6172</v>
      </c>
      <c r="K1985" s="99">
        <v>45938</v>
      </c>
      <c r="L1985" s="99">
        <v>45938</v>
      </c>
      <c r="M1985" s="99">
        <v>46022</v>
      </c>
      <c r="N1985" s="96">
        <v>1</v>
      </c>
      <c r="O1985" s="1380">
        <v>1</v>
      </c>
      <c r="P1985" s="99">
        <v>46022</v>
      </c>
      <c r="Q1985" s="663">
        <v>1</v>
      </c>
      <c r="R1985">
        <v>32942549</v>
      </c>
      <c r="S1985" s="99">
        <v>45938</v>
      </c>
    </row>
    <row r="1986" spans="1:19" ht="15" customHeight="1">
      <c r="A1986" s="15">
        <v>1986</v>
      </c>
      <c r="B1986" s="102" t="s">
        <v>3086</v>
      </c>
      <c r="C1986" t="s">
        <v>6173</v>
      </c>
      <c r="D1986" t="s">
        <v>3116</v>
      </c>
      <c r="E1986" s="96" t="s">
        <v>3088</v>
      </c>
      <c r="F1986" s="96" t="s">
        <v>3140</v>
      </c>
      <c r="G1986">
        <v>70891095</v>
      </c>
      <c r="H1986" s="96" t="s">
        <v>48</v>
      </c>
      <c r="I1986" s="96" t="s">
        <v>6174</v>
      </c>
      <c r="J1986" s="96" t="s">
        <v>6174</v>
      </c>
      <c r="K1986" s="99">
        <v>45936</v>
      </c>
      <c r="L1986" s="99">
        <v>45936</v>
      </c>
      <c r="M1986" s="99">
        <v>47664</v>
      </c>
      <c r="O1986" s="111">
        <v>34485.730000000003</v>
      </c>
      <c r="P1986" s="99">
        <v>47664</v>
      </c>
      <c r="Q1986" s="485">
        <v>34485.730000000003</v>
      </c>
      <c r="R1986" t="s">
        <v>6216</v>
      </c>
      <c r="S1986" s="99">
        <v>45939</v>
      </c>
    </row>
    <row r="1987" spans="1:19" ht="15" customHeight="1">
      <c r="A1987" s="15">
        <v>1987</v>
      </c>
      <c r="B1987" s="102" t="s">
        <v>3086</v>
      </c>
      <c r="C1987" s="96" t="s">
        <v>6175</v>
      </c>
      <c r="D1987" t="s">
        <v>3087</v>
      </c>
      <c r="E1987" s="96" t="s">
        <v>3093</v>
      </c>
      <c r="F1987" s="96" t="s">
        <v>3265</v>
      </c>
      <c r="G1987">
        <v>49366076</v>
      </c>
      <c r="H1987" s="96" t="s">
        <v>6176</v>
      </c>
      <c r="I1987" s="96" t="s">
        <v>6177</v>
      </c>
      <c r="J1987" t="s">
        <v>6177</v>
      </c>
      <c r="K1987" s="99">
        <v>45936</v>
      </c>
      <c r="L1987" s="99">
        <v>45936</v>
      </c>
      <c r="M1987" s="99">
        <v>47118</v>
      </c>
      <c r="O1987" s="111"/>
      <c r="P1987" s="99">
        <v>47118</v>
      </c>
    </row>
    <row r="1988" spans="1:19" ht="15" customHeight="1">
      <c r="A1988" s="15">
        <v>1988</v>
      </c>
      <c r="B1988" s="102" t="s">
        <v>3086</v>
      </c>
      <c r="C1988" t="s">
        <v>6179</v>
      </c>
      <c r="D1988" t="s">
        <v>3094</v>
      </c>
      <c r="E1988" s="96" t="s">
        <v>3097</v>
      </c>
      <c r="F1988" s="96" t="s">
        <v>3454</v>
      </c>
      <c r="G1988">
        <v>27256391</v>
      </c>
      <c r="H1988" s="96" t="s">
        <v>6180</v>
      </c>
      <c r="I1988" t="s">
        <v>6181</v>
      </c>
      <c r="J1988" t="s">
        <v>6181</v>
      </c>
      <c r="K1988" s="99">
        <v>45945</v>
      </c>
      <c r="L1988" s="99">
        <v>45945</v>
      </c>
      <c r="M1988" s="99">
        <v>45991</v>
      </c>
      <c r="N1988" s="831">
        <v>7</v>
      </c>
      <c r="O1988" s="111">
        <v>2450</v>
      </c>
      <c r="P1988" s="99">
        <v>45991</v>
      </c>
    </row>
    <row r="1989" spans="1:19" ht="15" customHeight="1">
      <c r="A1989" s="15">
        <v>1989</v>
      </c>
      <c r="B1989" s="102" t="s">
        <v>3086</v>
      </c>
      <c r="C1989" t="s">
        <v>6184</v>
      </c>
      <c r="D1989" t="s">
        <v>3110</v>
      </c>
      <c r="E1989" s="96" t="s">
        <v>3197</v>
      </c>
      <c r="F1989" s="96" t="s">
        <v>6186</v>
      </c>
      <c r="G1989">
        <v>380721908</v>
      </c>
      <c r="H1989" s="96" t="s">
        <v>546</v>
      </c>
      <c r="I1989" t="s">
        <v>6187</v>
      </c>
      <c r="J1989" t="s">
        <v>6187</v>
      </c>
      <c r="N1989" s="831">
        <v>7</v>
      </c>
      <c r="O1989" s="111">
        <v>17343432</v>
      </c>
      <c r="Q1989" s="111">
        <v>17343432</v>
      </c>
    </row>
    <row r="1990" spans="1:19" ht="15" customHeight="1">
      <c r="A1990" s="15">
        <v>1990</v>
      </c>
      <c r="B1990" s="102" t="s">
        <v>3086</v>
      </c>
      <c r="C1990" t="s">
        <v>6185</v>
      </c>
      <c r="D1990" t="s">
        <v>3110</v>
      </c>
      <c r="E1990" s="96" t="s">
        <v>3197</v>
      </c>
      <c r="F1990" s="96" t="s">
        <v>3623</v>
      </c>
      <c r="G1990">
        <v>24201596</v>
      </c>
      <c r="H1990" s="96" t="s">
        <v>546</v>
      </c>
      <c r="I1990" s="96" t="s">
        <v>6188</v>
      </c>
      <c r="J1990" s="96" t="s">
        <v>6188</v>
      </c>
      <c r="K1990" s="99">
        <v>45950</v>
      </c>
      <c r="L1990" s="99">
        <v>45950</v>
      </c>
      <c r="M1990" s="99">
        <v>46131</v>
      </c>
      <c r="N1990" s="831">
        <v>7</v>
      </c>
      <c r="O1990" s="111">
        <v>17460300</v>
      </c>
      <c r="P1990" s="99">
        <v>46131</v>
      </c>
      <c r="Q1990" s="111">
        <v>17460300</v>
      </c>
      <c r="R1990">
        <v>33090489</v>
      </c>
      <c r="S1990" s="99">
        <v>45950</v>
      </c>
    </row>
    <row r="1991" spans="1:19" ht="15" customHeight="1">
      <c r="A1991" s="15">
        <v>1991</v>
      </c>
      <c r="B1991" s="102" t="s">
        <v>3086</v>
      </c>
      <c r="C1991" t="s">
        <v>6190</v>
      </c>
      <c r="D1991" t="s">
        <v>3110</v>
      </c>
      <c r="E1991" s="96" t="s">
        <v>5827</v>
      </c>
      <c r="F1991" t="s">
        <v>6191</v>
      </c>
      <c r="G1991">
        <v>48111198</v>
      </c>
      <c r="H1991" s="96" t="s">
        <v>361</v>
      </c>
      <c r="I1991" t="s">
        <v>6192</v>
      </c>
      <c r="J1991" t="s">
        <v>6192</v>
      </c>
      <c r="K1991" s="99">
        <v>45953</v>
      </c>
      <c r="L1991" s="99">
        <v>45953</v>
      </c>
      <c r="M1991" s="99">
        <v>46682</v>
      </c>
      <c r="N1991" s="831">
        <v>6</v>
      </c>
      <c r="O1991" s="111">
        <v>2299000</v>
      </c>
      <c r="P1991" s="99">
        <v>46682</v>
      </c>
      <c r="Q1991" s="824" t="s">
        <v>6206</v>
      </c>
      <c r="R1991">
        <v>33137833</v>
      </c>
      <c r="S1991" s="99">
        <v>45953</v>
      </c>
    </row>
    <row r="1992" spans="1:19" ht="15" customHeight="1">
      <c r="A1992" s="15">
        <v>1992</v>
      </c>
      <c r="B1992" s="102" t="s">
        <v>3086</v>
      </c>
      <c r="C1992" t="s">
        <v>6195</v>
      </c>
      <c r="D1992" t="s">
        <v>3094</v>
      </c>
      <c r="E1992" s="96" t="s">
        <v>3095</v>
      </c>
      <c r="F1992" s="96" t="s">
        <v>6196</v>
      </c>
      <c r="G1992">
        <v>24141232</v>
      </c>
      <c r="H1992" s="96" t="s">
        <v>189</v>
      </c>
      <c r="I1992" s="96" t="s">
        <v>6197</v>
      </c>
      <c r="J1992" s="96" t="s">
        <v>6197</v>
      </c>
      <c r="K1992" s="99">
        <v>46013</v>
      </c>
      <c r="L1992" s="99">
        <v>46023</v>
      </c>
      <c r="M1992" s="99">
        <v>46752</v>
      </c>
      <c r="P1992" s="99">
        <v>46752</v>
      </c>
      <c r="Q1992" s="111">
        <v>1</v>
      </c>
      <c r="R1992">
        <v>33943629</v>
      </c>
      <c r="S1992" s="99">
        <v>46013</v>
      </c>
    </row>
    <row r="1993" spans="1:19" ht="15" customHeight="1">
      <c r="A1993" s="15">
        <v>1993</v>
      </c>
      <c r="B1993" s="102" t="s">
        <v>3086</v>
      </c>
      <c r="C1993" t="s">
        <v>6200</v>
      </c>
      <c r="D1993" t="s">
        <v>3110</v>
      </c>
      <c r="E1993" s="96" t="s">
        <v>3369</v>
      </c>
      <c r="F1993" t="s">
        <v>6201</v>
      </c>
      <c r="G1993">
        <v>46342796</v>
      </c>
      <c r="H1993" s="96" t="s">
        <v>482</v>
      </c>
      <c r="I1993" t="s">
        <v>6202</v>
      </c>
      <c r="J1993" t="s">
        <v>6202</v>
      </c>
      <c r="K1993" s="99">
        <v>45967</v>
      </c>
      <c r="L1993" s="99">
        <v>45967</v>
      </c>
      <c r="M1993" s="99">
        <v>46736</v>
      </c>
      <c r="N1993" s="831">
        <v>1</v>
      </c>
      <c r="O1993" s="111">
        <v>100809129</v>
      </c>
      <c r="P1993" s="99">
        <v>46736</v>
      </c>
      <c r="Q1993" s="485">
        <v>100809129</v>
      </c>
      <c r="R1993">
        <v>33293593.338268999</v>
      </c>
      <c r="S1993" s="99" t="s">
        <v>6615</v>
      </c>
    </row>
    <row r="1994" spans="1:19" ht="15" customHeight="1">
      <c r="A1994" s="15">
        <v>1994</v>
      </c>
      <c r="B1994" s="102" t="s">
        <v>3086</v>
      </c>
      <c r="C1994" t="s">
        <v>6208</v>
      </c>
      <c r="D1994" t="s">
        <v>3087</v>
      </c>
      <c r="E1994" s="96" t="s">
        <v>5827</v>
      </c>
      <c r="F1994" s="96" t="s">
        <v>3588</v>
      </c>
      <c r="G1994">
        <v>25099019</v>
      </c>
      <c r="H1994" s="96" t="s">
        <v>361</v>
      </c>
      <c r="I1994" t="s">
        <v>6209</v>
      </c>
      <c r="J1994" t="s">
        <v>6209</v>
      </c>
      <c r="K1994" s="99">
        <v>45965</v>
      </c>
      <c r="L1994" s="99">
        <v>45965</v>
      </c>
      <c r="M1994" s="99">
        <v>46329</v>
      </c>
      <c r="N1994" s="831">
        <v>6</v>
      </c>
      <c r="O1994" s="111">
        <v>1120000</v>
      </c>
      <c r="P1994" s="99">
        <v>46329</v>
      </c>
      <c r="Q1994" s="485">
        <v>1120000</v>
      </c>
      <c r="R1994">
        <v>33260141</v>
      </c>
      <c r="S1994" s="99">
        <v>45965</v>
      </c>
    </row>
    <row r="1995" spans="1:19" ht="15" customHeight="1">
      <c r="A1995" s="15">
        <v>1995</v>
      </c>
      <c r="B1995" s="102" t="s">
        <v>3086</v>
      </c>
      <c r="C1995" t="s">
        <v>6210</v>
      </c>
      <c r="D1995" t="s">
        <v>3168</v>
      </c>
      <c r="E1995" s="96" t="s">
        <v>3093</v>
      </c>
      <c r="F1995" t="s">
        <v>6214</v>
      </c>
      <c r="G1995">
        <v>23797819</v>
      </c>
      <c r="H1995" s="96" t="s">
        <v>510</v>
      </c>
      <c r="I1995" t="s">
        <v>6212</v>
      </c>
      <c r="J1995" t="s">
        <v>6212</v>
      </c>
      <c r="K1995" s="99">
        <v>45961</v>
      </c>
      <c r="L1995" s="99">
        <v>45961</v>
      </c>
      <c r="M1995" s="99">
        <v>2958465</v>
      </c>
      <c r="N1995" s="831" t="s">
        <v>5445</v>
      </c>
      <c r="O1995" s="111">
        <v>0</v>
      </c>
      <c r="P1995" s="99">
        <v>2958465</v>
      </c>
      <c r="Q1995" s="111">
        <v>1</v>
      </c>
      <c r="R1995">
        <v>33218713</v>
      </c>
      <c r="S1995" s="99">
        <v>45961</v>
      </c>
    </row>
    <row r="1996" spans="1:19" ht="15" customHeight="1">
      <c r="A1996" s="15">
        <v>1996</v>
      </c>
      <c r="B1996" s="102" t="s">
        <v>3086</v>
      </c>
      <c r="C1996" t="s">
        <v>6211</v>
      </c>
      <c r="D1996" t="s">
        <v>3094</v>
      </c>
      <c r="E1996" s="96" t="s">
        <v>5090</v>
      </c>
      <c r="F1996" s="96" t="s">
        <v>6215</v>
      </c>
      <c r="G1996">
        <v>3696545</v>
      </c>
      <c r="H1996" s="96" t="s">
        <v>189</v>
      </c>
      <c r="I1996" t="s">
        <v>6213</v>
      </c>
      <c r="J1996" t="s">
        <v>6213</v>
      </c>
      <c r="K1996" s="99">
        <v>45993</v>
      </c>
      <c r="L1996" s="99">
        <v>45993</v>
      </c>
      <c r="M1996" s="99">
        <v>47453</v>
      </c>
      <c r="N1996" s="831">
        <v>6</v>
      </c>
      <c r="O1996" s="111">
        <v>0</v>
      </c>
      <c r="P1996" s="99">
        <v>47453</v>
      </c>
      <c r="Q1996" s="111">
        <v>1</v>
      </c>
      <c r="R1996">
        <v>33634373</v>
      </c>
      <c r="S1996" s="99">
        <v>45993</v>
      </c>
    </row>
    <row r="1997" spans="1:19" ht="15" customHeight="1">
      <c r="A1997" s="15">
        <v>1997</v>
      </c>
      <c r="B1997" s="102" t="s">
        <v>3086</v>
      </c>
      <c r="C1997" t="s">
        <v>6217</v>
      </c>
      <c r="D1997" t="s">
        <v>3116</v>
      </c>
      <c r="E1997" s="96" t="s">
        <v>6227</v>
      </c>
      <c r="F1997" t="s">
        <v>6238</v>
      </c>
      <c r="G1997">
        <v>26042029</v>
      </c>
      <c r="H1997" s="96" t="s">
        <v>6228</v>
      </c>
      <c r="I1997" t="s">
        <v>6237</v>
      </c>
      <c r="J1997" t="s">
        <v>6237</v>
      </c>
      <c r="K1997" s="99">
        <v>45975</v>
      </c>
      <c r="L1997" s="99">
        <v>45975</v>
      </c>
      <c r="M1997" s="99">
        <v>47801</v>
      </c>
      <c r="N1997">
        <v>7</v>
      </c>
      <c r="O1997" s="111">
        <v>14954299.25</v>
      </c>
      <c r="P1997" s="99">
        <v>47801</v>
      </c>
      <c r="Q1997" s="111">
        <v>12358925</v>
      </c>
      <c r="R1997">
        <v>33414877</v>
      </c>
      <c r="S1997" s="99">
        <v>45975</v>
      </c>
    </row>
    <row r="1998" spans="1:19" ht="15" customHeight="1">
      <c r="A1998" s="15">
        <v>1998</v>
      </c>
      <c r="B1998" s="102" t="s">
        <v>3086</v>
      </c>
      <c r="C1998" t="s">
        <v>6218</v>
      </c>
      <c r="D1998" t="s">
        <v>3110</v>
      </c>
      <c r="E1998" s="96" t="s">
        <v>3369</v>
      </c>
      <c r="F1998" s="96" t="s">
        <v>3283</v>
      </c>
      <c r="G1998">
        <v>48033758</v>
      </c>
      <c r="H1998" s="96" t="s">
        <v>482</v>
      </c>
      <c r="I1998" t="s">
        <v>6236</v>
      </c>
      <c r="J1998" t="s">
        <v>6236</v>
      </c>
      <c r="K1998" s="99">
        <v>45967</v>
      </c>
      <c r="L1998" s="99">
        <v>45967</v>
      </c>
      <c r="M1998" s="99">
        <v>45988</v>
      </c>
      <c r="N1998" s="831">
        <v>7</v>
      </c>
      <c r="O1998" s="111">
        <v>302000</v>
      </c>
      <c r="P1998" s="99">
        <v>45988</v>
      </c>
      <c r="Q1998" s="111">
        <v>302000</v>
      </c>
      <c r="R1998">
        <v>33296649</v>
      </c>
      <c r="S1998" s="99">
        <v>45967</v>
      </c>
    </row>
    <row r="1999" spans="1:19" ht="15" customHeight="1">
      <c r="A1999" s="15">
        <v>1999</v>
      </c>
      <c r="B1999" s="102" t="s">
        <v>3086</v>
      </c>
      <c r="C1999" t="s">
        <v>6219</v>
      </c>
      <c r="D1999" t="s">
        <v>3087</v>
      </c>
      <c r="E1999" s="96" t="s">
        <v>3811</v>
      </c>
      <c r="F1999" t="s">
        <v>4834</v>
      </c>
      <c r="G1999">
        <v>70565813</v>
      </c>
      <c r="H1999" s="96" t="s">
        <v>180</v>
      </c>
      <c r="I1999" t="s">
        <v>6235</v>
      </c>
      <c r="J1999" t="s">
        <v>6235</v>
      </c>
      <c r="K1999" s="99">
        <v>45936</v>
      </c>
      <c r="L1999" s="99">
        <v>45954</v>
      </c>
      <c r="M1999" s="99">
        <v>45955</v>
      </c>
      <c r="N1999" s="831">
        <v>7</v>
      </c>
      <c r="O1999" s="111">
        <v>22700</v>
      </c>
      <c r="P1999" s="99">
        <v>45955</v>
      </c>
    </row>
    <row r="2000" spans="1:19" ht="15" customHeight="1">
      <c r="A2000" s="15">
        <v>2000</v>
      </c>
      <c r="B2000" s="102" t="s">
        <v>3086</v>
      </c>
      <c r="C2000" t="s">
        <v>6220</v>
      </c>
      <c r="D2000" t="s">
        <v>3087</v>
      </c>
      <c r="E2000" t="s">
        <v>4294</v>
      </c>
      <c r="F2000" t="s">
        <v>6239</v>
      </c>
      <c r="G2000">
        <v>11510</v>
      </c>
      <c r="H2000" s="96" t="s">
        <v>830</v>
      </c>
      <c r="I2000" t="s">
        <v>6234</v>
      </c>
      <c r="J2000" t="s">
        <v>6234</v>
      </c>
      <c r="K2000" s="99">
        <v>45936</v>
      </c>
      <c r="L2000" s="99">
        <v>45936</v>
      </c>
      <c r="M2000" s="99">
        <v>46022</v>
      </c>
      <c r="N2000" s="831">
        <v>7</v>
      </c>
      <c r="O2000" s="111">
        <v>5000</v>
      </c>
      <c r="P2000" s="99">
        <v>46022</v>
      </c>
    </row>
    <row r="2001" spans="1:19" ht="15" customHeight="1">
      <c r="A2001" s="15">
        <v>2001</v>
      </c>
      <c r="B2001" s="102" t="s">
        <v>3086</v>
      </c>
      <c r="C2001" t="s">
        <v>6221</v>
      </c>
      <c r="D2001" t="s">
        <v>3087</v>
      </c>
      <c r="E2001" t="s">
        <v>4294</v>
      </c>
      <c r="F2001" t="s">
        <v>6240</v>
      </c>
      <c r="G2001">
        <v>11081</v>
      </c>
      <c r="H2001" s="96" t="s">
        <v>830</v>
      </c>
      <c r="I2001" t="s">
        <v>6233</v>
      </c>
      <c r="J2001" t="s">
        <v>6233</v>
      </c>
      <c r="K2001" s="99">
        <v>45946</v>
      </c>
      <c r="L2001" s="99">
        <v>45964</v>
      </c>
      <c r="M2001" s="99">
        <v>45989</v>
      </c>
      <c r="N2001" s="831">
        <v>7</v>
      </c>
      <c r="O2001" s="111">
        <v>3500</v>
      </c>
      <c r="P2001" s="99">
        <v>45989</v>
      </c>
    </row>
    <row r="2002" spans="1:19" ht="15" customHeight="1">
      <c r="A2002" s="15">
        <v>2002</v>
      </c>
      <c r="B2002" s="102" t="s">
        <v>3086</v>
      </c>
      <c r="C2002" t="s">
        <v>6222</v>
      </c>
      <c r="D2002" t="s">
        <v>3087</v>
      </c>
      <c r="E2002" t="s">
        <v>4294</v>
      </c>
      <c r="F2002" t="s">
        <v>6241</v>
      </c>
      <c r="G2002">
        <v>10622</v>
      </c>
      <c r="H2002" s="96" t="s">
        <v>830</v>
      </c>
      <c r="I2002" t="s">
        <v>6232</v>
      </c>
      <c r="J2002" t="s">
        <v>6232</v>
      </c>
      <c r="K2002" s="99">
        <v>45943</v>
      </c>
      <c r="L2002" s="99">
        <v>45943</v>
      </c>
      <c r="M2002" s="99">
        <v>45991</v>
      </c>
      <c r="O2002" s="111">
        <v>0</v>
      </c>
      <c r="P2002" s="99">
        <v>45991</v>
      </c>
    </row>
    <row r="2003" spans="1:19" ht="15" customHeight="1">
      <c r="A2003" s="15">
        <v>2003</v>
      </c>
      <c r="B2003" s="102" t="s">
        <v>3086</v>
      </c>
      <c r="C2003" t="s">
        <v>6223</v>
      </c>
      <c r="D2003" t="s">
        <v>3087</v>
      </c>
      <c r="E2003" t="s">
        <v>4294</v>
      </c>
      <c r="F2003" t="s">
        <v>6242</v>
      </c>
      <c r="G2003">
        <v>10960</v>
      </c>
      <c r="H2003" s="96" t="s">
        <v>830</v>
      </c>
      <c r="I2003" t="s">
        <v>6231</v>
      </c>
      <c r="J2003" t="s">
        <v>6231</v>
      </c>
      <c r="K2003" s="99">
        <v>45951</v>
      </c>
      <c r="L2003" s="99">
        <v>46023</v>
      </c>
      <c r="M2003" s="99">
        <v>46265</v>
      </c>
      <c r="N2003" s="831">
        <v>7</v>
      </c>
      <c r="O2003" s="111">
        <v>3500</v>
      </c>
      <c r="P2003" s="99">
        <v>46265</v>
      </c>
    </row>
    <row r="2004" spans="1:19" ht="15" customHeight="1">
      <c r="A2004" s="15">
        <v>2004</v>
      </c>
      <c r="B2004" s="102" t="s">
        <v>3086</v>
      </c>
      <c r="C2004" t="s">
        <v>6224</v>
      </c>
      <c r="D2004" t="s">
        <v>3087</v>
      </c>
      <c r="E2004" t="s">
        <v>4294</v>
      </c>
      <c r="F2004" t="s">
        <v>5431</v>
      </c>
      <c r="G2004">
        <v>10960</v>
      </c>
      <c r="H2004" s="96" t="s">
        <v>830</v>
      </c>
      <c r="I2004" t="s">
        <v>6230</v>
      </c>
      <c r="J2004" t="s">
        <v>6230</v>
      </c>
      <c r="K2004" s="99">
        <v>45951</v>
      </c>
      <c r="L2004" s="99">
        <v>45962</v>
      </c>
      <c r="M2004" s="99">
        <v>46022</v>
      </c>
      <c r="N2004" s="831">
        <v>7</v>
      </c>
      <c r="O2004" s="111">
        <v>1500</v>
      </c>
      <c r="P2004" s="99">
        <v>46022</v>
      </c>
    </row>
    <row r="2005" spans="1:19" ht="15" customHeight="1">
      <c r="A2005" s="15">
        <v>2005</v>
      </c>
      <c r="B2005" s="102" t="s">
        <v>3086</v>
      </c>
      <c r="C2005" t="s">
        <v>6225</v>
      </c>
      <c r="D2005" t="s">
        <v>3087</v>
      </c>
      <c r="E2005" t="s">
        <v>3811</v>
      </c>
      <c r="F2005" t="s">
        <v>6243</v>
      </c>
      <c r="G2005">
        <v>47072741</v>
      </c>
      <c r="H2005" s="96" t="s">
        <v>180</v>
      </c>
      <c r="I2005" t="s">
        <v>6229</v>
      </c>
      <c r="J2005" t="s">
        <v>6229</v>
      </c>
      <c r="K2005" s="99">
        <v>45953</v>
      </c>
      <c r="L2005" s="99">
        <v>45967</v>
      </c>
      <c r="M2005" s="99">
        <v>45969</v>
      </c>
      <c r="N2005" s="831">
        <v>7</v>
      </c>
      <c r="O2005" s="111">
        <v>17730</v>
      </c>
      <c r="P2005" s="99">
        <v>45969</v>
      </c>
    </row>
    <row r="2006" spans="1:19" ht="15" customHeight="1">
      <c r="A2006" s="15">
        <v>2006</v>
      </c>
      <c r="B2006" s="102" t="s">
        <v>3086</v>
      </c>
      <c r="C2006" t="s">
        <v>6226</v>
      </c>
      <c r="D2006" t="s">
        <v>3110</v>
      </c>
      <c r="E2006" t="s">
        <v>6150</v>
      </c>
      <c r="F2006" t="s">
        <v>4634</v>
      </c>
      <c r="G2006">
        <v>64165</v>
      </c>
      <c r="H2006" s="96" t="s">
        <v>250</v>
      </c>
      <c r="I2006" t="s">
        <v>6244</v>
      </c>
      <c r="J2006" t="s">
        <v>6244</v>
      </c>
      <c r="K2006" s="99">
        <v>45961</v>
      </c>
      <c r="L2006" s="99">
        <v>45962</v>
      </c>
      <c r="M2006" s="99">
        <v>48152</v>
      </c>
      <c r="N2006" s="831">
        <v>1</v>
      </c>
      <c r="O2006" s="111">
        <v>98981.16</v>
      </c>
      <c r="P2006" s="99">
        <v>48152</v>
      </c>
      <c r="Q2006" s="111">
        <v>593886.93000000005</v>
      </c>
      <c r="R2006">
        <v>33219241</v>
      </c>
      <c r="S2006" s="99">
        <v>45961</v>
      </c>
    </row>
    <row r="2007" spans="1:19" ht="15" customHeight="1">
      <c r="A2007" s="15">
        <v>2007</v>
      </c>
      <c r="B2007" s="102" t="s">
        <v>3086</v>
      </c>
      <c r="C2007" t="s">
        <v>6245</v>
      </c>
      <c r="D2007" t="s">
        <v>3087</v>
      </c>
      <c r="E2007" t="s">
        <v>4294</v>
      </c>
      <c r="F2007" t="s">
        <v>6246</v>
      </c>
      <c r="G2007">
        <v>24807443</v>
      </c>
      <c r="H2007" s="96" t="s">
        <v>830</v>
      </c>
      <c r="I2007" t="s">
        <v>6247</v>
      </c>
      <c r="J2007" t="s">
        <v>6247</v>
      </c>
      <c r="K2007" s="99">
        <v>45936</v>
      </c>
      <c r="L2007" s="99">
        <v>45936</v>
      </c>
      <c r="M2007" s="99">
        <v>45991</v>
      </c>
      <c r="N2007" s="831">
        <v>7</v>
      </c>
      <c r="O2007" s="111">
        <v>7200</v>
      </c>
      <c r="P2007" s="99">
        <v>45991</v>
      </c>
    </row>
    <row r="2008" spans="1:19" ht="15" customHeight="1">
      <c r="A2008" s="15">
        <v>2008</v>
      </c>
      <c r="B2008" s="102" t="s">
        <v>3086</v>
      </c>
      <c r="C2008" t="s">
        <v>6255</v>
      </c>
      <c r="D2008" t="s">
        <v>3087</v>
      </c>
      <c r="E2008" t="s">
        <v>3197</v>
      </c>
      <c r="F2008" t="s">
        <v>6256</v>
      </c>
      <c r="G2008">
        <v>27739872</v>
      </c>
      <c r="H2008" s="96" t="s">
        <v>546</v>
      </c>
      <c r="I2008" t="s">
        <v>6257</v>
      </c>
      <c r="J2008" t="s">
        <v>6257</v>
      </c>
      <c r="K2008" s="99">
        <v>45975</v>
      </c>
      <c r="L2008" s="99">
        <v>45975</v>
      </c>
      <c r="M2008" s="99">
        <v>45991</v>
      </c>
      <c r="N2008" s="831">
        <v>7</v>
      </c>
      <c r="O2008" s="111">
        <v>1535490</v>
      </c>
      <c r="P2008" s="99">
        <v>45991</v>
      </c>
      <c r="Q2008" s="485">
        <v>1535490</v>
      </c>
      <c r="R2008">
        <v>33416389</v>
      </c>
      <c r="S2008" s="99">
        <v>45975</v>
      </c>
    </row>
    <row r="2009" spans="1:19" ht="15" customHeight="1">
      <c r="A2009" s="15">
        <v>2009</v>
      </c>
      <c r="B2009" s="102" t="s">
        <v>3086</v>
      </c>
      <c r="C2009" t="s">
        <v>6258</v>
      </c>
      <c r="D2009" t="s">
        <v>3087</v>
      </c>
      <c r="E2009" t="s">
        <v>3197</v>
      </c>
      <c r="F2009" t="s">
        <v>6256</v>
      </c>
      <c r="G2009">
        <v>27739872</v>
      </c>
      <c r="H2009" s="96" t="s">
        <v>546</v>
      </c>
      <c r="I2009" t="s">
        <v>6259</v>
      </c>
      <c r="J2009" t="s">
        <v>6259</v>
      </c>
      <c r="K2009" s="99">
        <v>45975</v>
      </c>
      <c r="L2009" s="99">
        <v>45975</v>
      </c>
      <c r="M2009" s="99">
        <v>45991</v>
      </c>
      <c r="N2009" s="831">
        <v>7</v>
      </c>
      <c r="O2009" s="111">
        <v>101640</v>
      </c>
      <c r="P2009" s="99">
        <v>45991</v>
      </c>
      <c r="Q2009" s="485">
        <v>101640</v>
      </c>
      <c r="R2009">
        <v>33424813</v>
      </c>
      <c r="S2009" s="99">
        <v>45975</v>
      </c>
    </row>
    <row r="2010" spans="1:19" ht="15" customHeight="1">
      <c r="A2010" s="15">
        <v>2010</v>
      </c>
      <c r="B2010" s="102" t="s">
        <v>3086</v>
      </c>
      <c r="C2010" t="s">
        <v>6260</v>
      </c>
      <c r="D2010" t="s">
        <v>3087</v>
      </c>
      <c r="E2010" s="96" t="s">
        <v>4294</v>
      </c>
      <c r="F2010" t="s">
        <v>6262</v>
      </c>
      <c r="G2010">
        <v>11524</v>
      </c>
      <c r="H2010" s="96" t="s">
        <v>830</v>
      </c>
      <c r="I2010" t="s">
        <v>6264</v>
      </c>
      <c r="J2010" t="s">
        <v>6264</v>
      </c>
      <c r="K2010" s="99">
        <v>45959</v>
      </c>
      <c r="L2010" s="99">
        <v>45962</v>
      </c>
      <c r="M2010" s="99">
        <v>46022</v>
      </c>
      <c r="N2010" s="831">
        <v>7</v>
      </c>
      <c r="O2010" s="111">
        <v>2500</v>
      </c>
      <c r="P2010" s="99">
        <v>46022</v>
      </c>
    </row>
    <row r="2011" spans="1:19" ht="15" customHeight="1">
      <c r="A2011" s="15">
        <v>2011</v>
      </c>
      <c r="B2011" s="102" t="s">
        <v>3086</v>
      </c>
      <c r="C2011" t="s">
        <v>6261</v>
      </c>
      <c r="D2011" t="s">
        <v>3087</v>
      </c>
      <c r="E2011" s="96" t="s">
        <v>4294</v>
      </c>
      <c r="F2011" t="s">
        <v>6263</v>
      </c>
      <c r="G2011">
        <v>11525</v>
      </c>
      <c r="H2011" s="96" t="s">
        <v>830</v>
      </c>
      <c r="I2011" t="s">
        <v>6265</v>
      </c>
      <c r="J2011" t="s">
        <v>6265</v>
      </c>
      <c r="K2011" s="99">
        <v>45961</v>
      </c>
      <c r="L2011" s="99">
        <v>45962</v>
      </c>
      <c r="M2011" s="99">
        <v>46022</v>
      </c>
      <c r="N2011" s="831">
        <v>7</v>
      </c>
      <c r="O2011" s="111">
        <v>2000</v>
      </c>
      <c r="P2011" s="99">
        <v>46022</v>
      </c>
    </row>
    <row r="2012" spans="1:19" ht="15" customHeight="1">
      <c r="A2012" s="15">
        <v>2012</v>
      </c>
      <c r="B2012" s="102" t="s">
        <v>3086</v>
      </c>
      <c r="C2012" t="s">
        <v>6269</v>
      </c>
      <c r="D2012" t="s">
        <v>3110</v>
      </c>
      <c r="E2012" t="s">
        <v>3088</v>
      </c>
      <c r="F2012" t="s">
        <v>3140</v>
      </c>
      <c r="G2012">
        <v>70891095</v>
      </c>
      <c r="H2012" s="96" t="s">
        <v>48</v>
      </c>
      <c r="I2012" t="s">
        <v>813</v>
      </c>
      <c r="J2012" t="s">
        <v>813</v>
      </c>
      <c r="K2012" s="99">
        <v>45985</v>
      </c>
      <c r="L2012" s="99">
        <v>46023</v>
      </c>
      <c r="M2012" s="99">
        <v>47848</v>
      </c>
      <c r="N2012" s="831">
        <v>1</v>
      </c>
      <c r="O2012" s="111">
        <v>960000</v>
      </c>
      <c r="P2012" s="99">
        <v>47848</v>
      </c>
      <c r="Q2012" s="485">
        <v>3134700</v>
      </c>
      <c r="R2012">
        <v>33543217</v>
      </c>
      <c r="S2012" s="99">
        <v>45986</v>
      </c>
    </row>
    <row r="2013" spans="1:19" ht="15" customHeight="1">
      <c r="A2013" s="15">
        <v>2013</v>
      </c>
      <c r="B2013" s="102" t="s">
        <v>3086</v>
      </c>
      <c r="C2013" t="s">
        <v>6270</v>
      </c>
      <c r="D2013" t="s">
        <v>3110</v>
      </c>
      <c r="E2013" t="s">
        <v>3117</v>
      </c>
      <c r="F2013" s="66" t="s">
        <v>6271</v>
      </c>
      <c r="G2013">
        <v>48936456</v>
      </c>
      <c r="H2013" s="96" t="s">
        <v>3982</v>
      </c>
      <c r="I2013" t="s">
        <v>6272</v>
      </c>
      <c r="J2013" s="96" t="s">
        <v>6273</v>
      </c>
      <c r="K2013" s="99">
        <v>45967</v>
      </c>
      <c r="L2013" s="99">
        <v>45967</v>
      </c>
      <c r="M2013" s="99">
        <v>2958465</v>
      </c>
      <c r="N2013" s="831">
        <v>2</v>
      </c>
      <c r="O2013" s="99"/>
      <c r="P2013" s="99">
        <v>2958465</v>
      </c>
    </row>
    <row r="2014" spans="1:19" ht="15" customHeight="1">
      <c r="A2014" s="15">
        <v>2014</v>
      </c>
      <c r="B2014" s="102" t="s">
        <v>3086</v>
      </c>
      <c r="C2014" t="s">
        <v>6274</v>
      </c>
      <c r="D2014" t="s">
        <v>3116</v>
      </c>
      <c r="E2014" t="s">
        <v>3197</v>
      </c>
      <c r="F2014" t="s">
        <v>6275</v>
      </c>
      <c r="G2014">
        <v>18630782</v>
      </c>
      <c r="H2014" s="96" t="s">
        <v>546</v>
      </c>
      <c r="I2014" t="s">
        <v>6276</v>
      </c>
      <c r="J2014" t="s">
        <v>6276</v>
      </c>
      <c r="K2014" s="99">
        <v>45973</v>
      </c>
      <c r="L2014" s="99">
        <v>45973</v>
      </c>
      <c r="M2014" s="99">
        <v>46034</v>
      </c>
      <c r="N2014" s="831">
        <v>7</v>
      </c>
      <c r="O2014" s="111">
        <v>1267729.1000000001</v>
      </c>
      <c r="P2014" s="99">
        <v>46034</v>
      </c>
      <c r="Q2014" s="485">
        <v>1267729.1000000001</v>
      </c>
      <c r="R2014">
        <v>33398853</v>
      </c>
      <c r="S2014" s="99">
        <v>45974</v>
      </c>
    </row>
    <row r="2015" spans="1:19" ht="15" customHeight="1">
      <c r="A2015" s="15">
        <v>2015</v>
      </c>
      <c r="B2015" s="102" t="s">
        <v>3086</v>
      </c>
      <c r="C2015" t="s">
        <v>6277</v>
      </c>
      <c r="D2015" t="s">
        <v>3110</v>
      </c>
      <c r="E2015" t="s">
        <v>3197</v>
      </c>
      <c r="F2015" t="s">
        <v>6278</v>
      </c>
      <c r="G2015">
        <v>29141281</v>
      </c>
      <c r="H2015" s="96" t="s">
        <v>546</v>
      </c>
      <c r="I2015" t="s">
        <v>6279</v>
      </c>
      <c r="J2015" t="s">
        <v>6279</v>
      </c>
      <c r="K2015" s="99">
        <v>45979</v>
      </c>
      <c r="L2015" s="99">
        <v>45979</v>
      </c>
      <c r="M2015" s="99">
        <v>45993</v>
      </c>
      <c r="N2015" s="831">
        <v>7</v>
      </c>
      <c r="O2015" s="111">
        <v>240644.8</v>
      </c>
      <c r="P2015" s="99">
        <v>45993</v>
      </c>
      <c r="Q2015" s="485">
        <v>240644.8</v>
      </c>
      <c r="R2015">
        <v>33440005</v>
      </c>
      <c r="S2015" s="99">
        <v>45979</v>
      </c>
    </row>
    <row r="2016" spans="1:19" ht="15" customHeight="1">
      <c r="A2016" s="15">
        <v>2016</v>
      </c>
      <c r="B2016" s="102" t="s">
        <v>3086</v>
      </c>
      <c r="C2016" t="s">
        <v>6289</v>
      </c>
      <c r="D2016" t="s">
        <v>3116</v>
      </c>
      <c r="E2016" t="s">
        <v>3117</v>
      </c>
      <c r="F2016" t="s">
        <v>6290</v>
      </c>
      <c r="G2016">
        <v>45279241</v>
      </c>
      <c r="H2016" s="96" t="s">
        <v>3982</v>
      </c>
      <c r="I2016" t="s">
        <v>6291</v>
      </c>
      <c r="J2016" t="s">
        <v>6291</v>
      </c>
      <c r="K2016" s="99">
        <v>45981</v>
      </c>
      <c r="L2016" s="99">
        <v>45981</v>
      </c>
      <c r="M2016" s="99">
        <v>2958465</v>
      </c>
      <c r="N2016" s="831">
        <v>1</v>
      </c>
      <c r="O2016" s="111">
        <v>60000</v>
      </c>
      <c r="P2016" s="99">
        <v>2958465</v>
      </c>
      <c r="Q2016" s="485"/>
      <c r="S2016" s="99"/>
    </row>
    <row r="2017" spans="1:19" ht="15" customHeight="1">
      <c r="A2017" s="15">
        <v>2017</v>
      </c>
      <c r="B2017" s="102" t="s">
        <v>3086</v>
      </c>
      <c r="C2017" t="s">
        <v>6292</v>
      </c>
      <c r="D2017" t="s">
        <v>3110</v>
      </c>
      <c r="E2017" t="s">
        <v>3088</v>
      </c>
      <c r="F2017" t="s">
        <v>3760</v>
      </c>
      <c r="G2017">
        <v>829013</v>
      </c>
      <c r="H2017" s="96" t="s">
        <v>48</v>
      </c>
      <c r="I2017" t="s">
        <v>6293</v>
      </c>
      <c r="J2017" t="s">
        <v>6293</v>
      </c>
      <c r="K2017" s="99">
        <v>45974</v>
      </c>
      <c r="L2017" s="99">
        <v>45974</v>
      </c>
    </row>
    <row r="2018" spans="1:19" ht="15" customHeight="1">
      <c r="A2018" s="15">
        <v>2018</v>
      </c>
      <c r="B2018" s="102" t="s">
        <v>3086</v>
      </c>
      <c r="C2018" t="s">
        <v>6294</v>
      </c>
      <c r="D2018" t="s">
        <v>3087</v>
      </c>
      <c r="E2018" t="s">
        <v>4294</v>
      </c>
      <c r="F2018" t="s">
        <v>6295</v>
      </c>
      <c r="G2018">
        <v>11611</v>
      </c>
      <c r="H2018" s="96" t="s">
        <v>830</v>
      </c>
      <c r="I2018" t="s">
        <v>6296</v>
      </c>
      <c r="J2018" t="s">
        <v>6296</v>
      </c>
      <c r="K2018" s="99">
        <v>45954</v>
      </c>
      <c r="L2018" s="99">
        <v>45954</v>
      </c>
      <c r="M2018" s="99">
        <v>45991</v>
      </c>
      <c r="P2018" s="99">
        <v>45991</v>
      </c>
    </row>
    <row r="2019" spans="1:19" ht="15" customHeight="1">
      <c r="A2019" s="15">
        <v>2019</v>
      </c>
      <c r="B2019" s="102" t="s">
        <v>3086</v>
      </c>
      <c r="C2019" t="s">
        <v>6297</v>
      </c>
      <c r="D2019" t="s">
        <v>3087</v>
      </c>
      <c r="E2019" t="s">
        <v>4294</v>
      </c>
      <c r="F2019" t="s">
        <v>6298</v>
      </c>
      <c r="G2019">
        <v>49777513</v>
      </c>
      <c r="H2019" s="96" t="s">
        <v>830</v>
      </c>
      <c r="I2019" t="s">
        <v>6299</v>
      </c>
      <c r="J2019" t="s">
        <v>6299</v>
      </c>
      <c r="K2019" s="99">
        <v>45959</v>
      </c>
      <c r="L2019" s="99">
        <v>45662</v>
      </c>
      <c r="M2019" s="99">
        <v>46035</v>
      </c>
      <c r="N2019" s="859">
        <v>7</v>
      </c>
      <c r="O2019" s="99"/>
    </row>
    <row r="2020" spans="1:19" ht="15" customHeight="1">
      <c r="A2020" s="15">
        <v>2020</v>
      </c>
      <c r="B2020" s="102" t="s">
        <v>3086</v>
      </c>
      <c r="C2020" t="s">
        <v>6300</v>
      </c>
      <c r="D2020" t="s">
        <v>3087</v>
      </c>
      <c r="E2020" t="s">
        <v>4294</v>
      </c>
      <c r="F2020" t="s">
        <v>3194</v>
      </c>
      <c r="G2020">
        <v>64943160</v>
      </c>
      <c r="H2020" s="96" t="s">
        <v>830</v>
      </c>
      <c r="I2020" t="s">
        <v>6301</v>
      </c>
      <c r="J2020" t="s">
        <v>6301</v>
      </c>
      <c r="K2020" s="99">
        <v>45959</v>
      </c>
      <c r="L2020" s="99">
        <v>45978</v>
      </c>
      <c r="M2020" s="99">
        <v>45989</v>
      </c>
      <c r="N2020" s="859">
        <v>7</v>
      </c>
      <c r="O2020" s="833" t="s">
        <v>6302</v>
      </c>
      <c r="P2020" s="99">
        <v>45989</v>
      </c>
    </row>
    <row r="2021" spans="1:19" ht="15" customHeight="1">
      <c r="A2021" s="15">
        <v>2021</v>
      </c>
      <c r="B2021" s="102" t="s">
        <v>3086</v>
      </c>
      <c r="C2021" t="s">
        <v>6303</v>
      </c>
      <c r="D2021" t="s">
        <v>3094</v>
      </c>
      <c r="E2021" s="96" t="s">
        <v>3088</v>
      </c>
      <c r="F2021" s="96" t="s">
        <v>6357</v>
      </c>
      <c r="G2021">
        <v>26742845</v>
      </c>
      <c r="H2021" s="96" t="s">
        <v>48</v>
      </c>
      <c r="I2021" s="96" t="s">
        <v>6359</v>
      </c>
      <c r="J2021" s="96" t="s">
        <v>6358</v>
      </c>
      <c r="K2021" s="99">
        <v>45994</v>
      </c>
      <c r="L2021" s="99">
        <v>45994</v>
      </c>
      <c r="M2021" s="99"/>
      <c r="N2021" s="859">
        <v>7</v>
      </c>
      <c r="O2021" s="833"/>
      <c r="P2021" s="99"/>
      <c r="Q2021" s="485"/>
    </row>
    <row r="2022" spans="1:19" ht="15" customHeight="1">
      <c r="A2022" s="15">
        <v>2022</v>
      </c>
      <c r="B2022" s="102" t="s">
        <v>3086</v>
      </c>
      <c r="C2022" t="s">
        <v>6304</v>
      </c>
      <c r="D2022" t="s">
        <v>3116</v>
      </c>
      <c r="E2022" s="96" t="s">
        <v>3197</v>
      </c>
      <c r="F2022" s="96" t="s">
        <v>6305</v>
      </c>
      <c r="G2022">
        <v>25397443</v>
      </c>
      <c r="H2022" s="96" t="s">
        <v>546</v>
      </c>
      <c r="I2022" s="96" t="s">
        <v>6306</v>
      </c>
      <c r="J2022" s="96" t="s">
        <v>6306</v>
      </c>
      <c r="K2022" s="99">
        <v>45975</v>
      </c>
      <c r="L2022" s="99">
        <v>45975</v>
      </c>
      <c r="M2022" s="99">
        <v>45991</v>
      </c>
      <c r="N2022" s="859">
        <v>7</v>
      </c>
      <c r="O2022" s="833" t="s">
        <v>6307</v>
      </c>
      <c r="P2022" s="99">
        <v>45991</v>
      </c>
      <c r="Q2022" s="485">
        <v>140263.20000000001</v>
      </c>
    </row>
    <row r="2023" spans="1:19" ht="15" customHeight="1">
      <c r="A2023" s="15">
        <v>2023</v>
      </c>
      <c r="B2023" s="102" t="s">
        <v>3086</v>
      </c>
      <c r="C2023" t="s">
        <v>6308</v>
      </c>
      <c r="D2023" t="s">
        <v>3087</v>
      </c>
      <c r="E2023" t="s">
        <v>4294</v>
      </c>
      <c r="F2023" t="s">
        <v>3098</v>
      </c>
      <c r="G2023">
        <v>75095432</v>
      </c>
      <c r="H2023" s="96" t="s">
        <v>830</v>
      </c>
      <c r="I2023" t="s">
        <v>6309</v>
      </c>
      <c r="J2023" t="s">
        <v>6309</v>
      </c>
      <c r="K2023" s="99">
        <v>45965</v>
      </c>
      <c r="L2023" s="99">
        <v>45978</v>
      </c>
      <c r="M2023" s="99">
        <v>45991</v>
      </c>
      <c r="N2023" s="859">
        <v>7</v>
      </c>
      <c r="O2023" s="111">
        <v>4200</v>
      </c>
      <c r="P2023" s="99">
        <v>45991</v>
      </c>
    </row>
    <row r="2024" spans="1:19" ht="15" customHeight="1">
      <c r="A2024" s="15">
        <v>2024</v>
      </c>
      <c r="B2024" s="102" t="s">
        <v>3086</v>
      </c>
      <c r="C2024" t="s">
        <v>6310</v>
      </c>
      <c r="D2024" t="s">
        <v>3087</v>
      </c>
      <c r="E2024" t="s">
        <v>4294</v>
      </c>
      <c r="F2024" s="96" t="s">
        <v>6311</v>
      </c>
      <c r="G2024">
        <v>1689410</v>
      </c>
      <c r="H2024" s="96" t="s">
        <v>830</v>
      </c>
      <c r="I2024" s="96" t="s">
        <v>6312</v>
      </c>
      <c r="J2024" s="96" t="s">
        <v>6312</v>
      </c>
      <c r="K2024" s="99">
        <v>45967</v>
      </c>
      <c r="L2024" s="99">
        <v>46028</v>
      </c>
      <c r="M2024" s="99">
        <v>46038</v>
      </c>
      <c r="N2024" s="859">
        <v>7</v>
      </c>
      <c r="O2024" s="111">
        <v>4200</v>
      </c>
      <c r="P2024" s="99">
        <v>46038</v>
      </c>
    </row>
    <row r="2025" spans="1:19" ht="15" customHeight="1">
      <c r="A2025" s="15">
        <v>2025</v>
      </c>
      <c r="B2025" s="102" t="s">
        <v>3086</v>
      </c>
      <c r="C2025" t="s">
        <v>6313</v>
      </c>
      <c r="D2025" t="s">
        <v>3087</v>
      </c>
      <c r="E2025" t="s">
        <v>4294</v>
      </c>
      <c r="F2025" s="96" t="s">
        <v>5540</v>
      </c>
      <c r="G2025">
        <v>11005</v>
      </c>
      <c r="H2025" s="96" t="s">
        <v>830</v>
      </c>
      <c r="I2025" s="96" t="s">
        <v>6314</v>
      </c>
      <c r="J2025" s="96" t="s">
        <v>6314</v>
      </c>
      <c r="K2025" s="99">
        <v>45971</v>
      </c>
      <c r="L2025" s="99">
        <v>45979</v>
      </c>
      <c r="M2025" s="99">
        <v>45996</v>
      </c>
      <c r="N2025" s="859">
        <v>7</v>
      </c>
      <c r="O2025" s="111">
        <v>5000</v>
      </c>
      <c r="P2025" s="99">
        <v>45996</v>
      </c>
    </row>
    <row r="2026" spans="1:19" ht="15" customHeight="1">
      <c r="A2026" s="15">
        <v>2026</v>
      </c>
      <c r="B2026" s="102" t="s">
        <v>3086</v>
      </c>
      <c r="C2026" t="s">
        <v>6315</v>
      </c>
      <c r="D2026" t="s">
        <v>3087</v>
      </c>
      <c r="E2026" t="s">
        <v>4294</v>
      </c>
      <c r="F2026" s="96" t="s">
        <v>6316</v>
      </c>
      <c r="G2026">
        <v>11641</v>
      </c>
      <c r="H2026" s="96" t="s">
        <v>830</v>
      </c>
      <c r="I2026" s="96" t="s">
        <v>6317</v>
      </c>
      <c r="J2026" s="96" t="s">
        <v>6317</v>
      </c>
      <c r="K2026" s="99">
        <v>45971</v>
      </c>
      <c r="L2026" s="99">
        <v>45981</v>
      </c>
      <c r="M2026" s="99">
        <v>46021</v>
      </c>
      <c r="N2026" s="859">
        <v>7</v>
      </c>
      <c r="O2026" s="111">
        <v>3500</v>
      </c>
      <c r="P2026" s="99">
        <v>46021</v>
      </c>
    </row>
    <row r="2027" spans="1:19" ht="15" customHeight="1">
      <c r="A2027" s="15">
        <v>2027</v>
      </c>
      <c r="B2027" s="102" t="s">
        <v>3086</v>
      </c>
      <c r="C2027" t="s">
        <v>6318</v>
      </c>
      <c r="D2027" t="s">
        <v>3087</v>
      </c>
      <c r="E2027" s="96" t="s">
        <v>4294</v>
      </c>
      <c r="F2027" s="96" t="s">
        <v>6124</v>
      </c>
      <c r="G2027">
        <v>11448</v>
      </c>
      <c r="H2027" s="96" t="s">
        <v>830</v>
      </c>
      <c r="I2027" s="96" t="s">
        <v>6319</v>
      </c>
      <c r="J2027" s="96" t="s">
        <v>6319</v>
      </c>
      <c r="K2027" s="99">
        <v>45968</v>
      </c>
      <c r="L2027" s="99">
        <v>46023</v>
      </c>
      <c r="M2027" s="99">
        <v>46265</v>
      </c>
      <c r="N2027" s="859">
        <v>7</v>
      </c>
      <c r="O2027" s="111">
        <v>13500</v>
      </c>
      <c r="P2027" s="99">
        <v>46265</v>
      </c>
    </row>
    <row r="2028" spans="1:19" ht="15" customHeight="1">
      <c r="A2028" s="15">
        <v>2028</v>
      </c>
      <c r="B2028" s="102" t="s">
        <v>3086</v>
      </c>
      <c r="C2028" t="s">
        <v>6326</v>
      </c>
      <c r="D2028" t="s">
        <v>3110</v>
      </c>
      <c r="E2028" t="s">
        <v>3228</v>
      </c>
      <c r="F2028" s="96" t="s">
        <v>3266</v>
      </c>
      <c r="G2028">
        <v>49356089</v>
      </c>
      <c r="H2028" s="96" t="s">
        <v>379</v>
      </c>
      <c r="I2028" t="s">
        <v>6327</v>
      </c>
      <c r="J2028" t="s">
        <v>6327</v>
      </c>
      <c r="K2028" s="99">
        <v>45987</v>
      </c>
      <c r="L2028" s="99">
        <v>46023</v>
      </c>
      <c r="M2028" s="99">
        <v>2958465</v>
      </c>
      <c r="N2028" s="859">
        <v>1</v>
      </c>
      <c r="O2028" s="111">
        <v>24200</v>
      </c>
      <c r="P2028" s="99">
        <v>2958465</v>
      </c>
      <c r="Q2028" s="485">
        <v>120000</v>
      </c>
      <c r="R2028">
        <v>33558425</v>
      </c>
      <c r="S2028" s="99">
        <v>45987</v>
      </c>
    </row>
    <row r="2029" spans="1:19" ht="15" customHeight="1">
      <c r="A2029" s="15">
        <v>2029</v>
      </c>
      <c r="B2029" s="102" t="s">
        <v>3086</v>
      </c>
      <c r="C2029" t="s">
        <v>6333</v>
      </c>
      <c r="D2029" t="s">
        <v>3110</v>
      </c>
      <c r="E2029" t="s">
        <v>3621</v>
      </c>
      <c r="F2029" s="96" t="s">
        <v>6171</v>
      </c>
      <c r="G2029">
        <v>27362361</v>
      </c>
      <c r="H2029" s="96" t="s">
        <v>1673</v>
      </c>
      <c r="I2029" t="s">
        <v>6334</v>
      </c>
      <c r="J2029" t="s">
        <v>6334</v>
      </c>
      <c r="K2029" s="99">
        <v>45989</v>
      </c>
      <c r="L2029" s="99">
        <v>46023</v>
      </c>
      <c r="M2029" s="99">
        <v>49674</v>
      </c>
      <c r="N2029" s="859">
        <v>1</v>
      </c>
      <c r="O2029" s="111">
        <v>702000</v>
      </c>
      <c r="P2029" s="99">
        <v>49674</v>
      </c>
      <c r="Q2029" s="485">
        <v>7020000</v>
      </c>
      <c r="R2029">
        <v>33722789</v>
      </c>
      <c r="S2029" s="99">
        <v>45999</v>
      </c>
    </row>
    <row r="2030" spans="1:19" ht="15" customHeight="1">
      <c r="A2030" s="15">
        <v>2030</v>
      </c>
      <c r="B2030" s="102" t="s">
        <v>3086</v>
      </c>
      <c r="C2030" t="s">
        <v>6335</v>
      </c>
      <c r="D2030" t="s">
        <v>3094</v>
      </c>
      <c r="E2030" t="s">
        <v>5090</v>
      </c>
      <c r="F2030" s="1496" t="s">
        <v>6336</v>
      </c>
      <c r="G2030">
        <v>24769941</v>
      </c>
      <c r="H2030" s="96" t="s">
        <v>189</v>
      </c>
      <c r="I2030" s="96" t="s">
        <v>6337</v>
      </c>
      <c r="J2030" s="96" t="s">
        <v>6337</v>
      </c>
      <c r="K2030" s="99">
        <v>46000</v>
      </c>
      <c r="L2030" s="99">
        <v>46000</v>
      </c>
      <c r="M2030" s="99">
        <v>47460</v>
      </c>
      <c r="N2030" s="859">
        <v>6</v>
      </c>
      <c r="O2030" s="111"/>
      <c r="P2030" s="99">
        <v>47460</v>
      </c>
      <c r="Q2030" s="485">
        <v>1</v>
      </c>
      <c r="R2030">
        <v>33742953</v>
      </c>
      <c r="S2030" s="99">
        <v>46000</v>
      </c>
    </row>
    <row r="2031" spans="1:19" ht="15" customHeight="1">
      <c r="A2031" s="15">
        <v>2031</v>
      </c>
      <c r="B2031" s="102" t="s">
        <v>3086</v>
      </c>
      <c r="C2031" s="96" t="s">
        <v>6338</v>
      </c>
      <c r="D2031" t="s">
        <v>3110</v>
      </c>
      <c r="E2031" s="96" t="s">
        <v>3117</v>
      </c>
      <c r="F2031" s="96" t="s">
        <v>6339</v>
      </c>
      <c r="G2031">
        <v>63988054</v>
      </c>
      <c r="H2031" s="96" t="s">
        <v>3982</v>
      </c>
      <c r="I2031" s="96" t="s">
        <v>6340</v>
      </c>
      <c r="J2031" s="96" t="s">
        <v>6340</v>
      </c>
      <c r="K2031" s="99">
        <v>45999</v>
      </c>
      <c r="L2031" s="99">
        <v>46023</v>
      </c>
      <c r="M2031" s="99">
        <v>49674</v>
      </c>
      <c r="N2031" s="859">
        <v>1</v>
      </c>
      <c r="O2031" s="111">
        <v>168996</v>
      </c>
      <c r="P2031" s="99">
        <v>49674</v>
      </c>
      <c r="Q2031" s="485">
        <v>1689960</v>
      </c>
      <c r="R2031">
        <v>33722769</v>
      </c>
      <c r="S2031" s="99">
        <v>45999</v>
      </c>
    </row>
    <row r="2032" spans="1:19" ht="15" customHeight="1">
      <c r="A2032" s="15">
        <v>2032</v>
      </c>
      <c r="B2032" s="102" t="s">
        <v>3086</v>
      </c>
      <c r="C2032" t="s">
        <v>6341</v>
      </c>
      <c r="D2032" t="s">
        <v>3110</v>
      </c>
      <c r="E2032" s="96" t="s">
        <v>3197</v>
      </c>
      <c r="F2032" s="96" t="s">
        <v>6342</v>
      </c>
      <c r="G2032">
        <v>25922378</v>
      </c>
      <c r="H2032" s="96" t="s">
        <v>546</v>
      </c>
      <c r="I2032" s="96" t="s">
        <v>6343</v>
      </c>
      <c r="J2032" s="96" t="s">
        <v>6343</v>
      </c>
      <c r="K2032" s="99">
        <v>45992</v>
      </c>
      <c r="L2032" s="99">
        <v>45993</v>
      </c>
      <c r="M2032" s="99">
        <v>46023</v>
      </c>
      <c r="N2032" s="859">
        <v>7</v>
      </c>
      <c r="O2032" s="111">
        <v>231358.05</v>
      </c>
      <c r="P2032" s="99">
        <v>46023</v>
      </c>
      <c r="Q2032" s="1497">
        <v>231358.05</v>
      </c>
      <c r="R2032">
        <v>33630689</v>
      </c>
      <c r="S2032" s="99">
        <v>45993</v>
      </c>
    </row>
    <row r="2033" spans="1:19" ht="15" customHeight="1">
      <c r="A2033" s="15">
        <v>2033</v>
      </c>
      <c r="B2033" s="102" t="s">
        <v>3086</v>
      </c>
      <c r="C2033" t="s">
        <v>6344</v>
      </c>
      <c r="D2033" t="s">
        <v>3110</v>
      </c>
      <c r="E2033" s="96" t="s">
        <v>3197</v>
      </c>
      <c r="F2033" s="96" t="s">
        <v>6342</v>
      </c>
      <c r="G2033">
        <v>25922378</v>
      </c>
      <c r="H2033" s="96" t="s">
        <v>546</v>
      </c>
      <c r="I2033" s="96" t="s">
        <v>6345</v>
      </c>
      <c r="J2033" s="96" t="s">
        <v>6345</v>
      </c>
      <c r="K2033" s="99">
        <v>45992</v>
      </c>
      <c r="L2033" s="99">
        <v>45993</v>
      </c>
      <c r="M2033" s="99">
        <v>46023</v>
      </c>
      <c r="N2033" s="859">
        <v>7</v>
      </c>
      <c r="O2033" s="111">
        <v>136379.1</v>
      </c>
      <c r="P2033" s="99">
        <v>46023</v>
      </c>
      <c r="Q2033" s="485">
        <v>136379.1</v>
      </c>
      <c r="R2033">
        <v>33630709</v>
      </c>
      <c r="S2033" s="99">
        <v>45993</v>
      </c>
    </row>
    <row r="2034" spans="1:19" ht="15" customHeight="1">
      <c r="A2034" s="15">
        <v>2034</v>
      </c>
      <c r="B2034" s="102" t="s">
        <v>3086</v>
      </c>
      <c r="C2034" t="s">
        <v>6346</v>
      </c>
      <c r="D2034" t="s">
        <v>3110</v>
      </c>
      <c r="E2034" s="96" t="s">
        <v>3621</v>
      </c>
      <c r="F2034" s="96" t="s">
        <v>6348</v>
      </c>
      <c r="G2034">
        <v>7118821</v>
      </c>
      <c r="H2034" s="96" t="s">
        <v>1673</v>
      </c>
      <c r="I2034" s="96" t="s">
        <v>6347</v>
      </c>
      <c r="J2034" s="96" t="s">
        <v>6347</v>
      </c>
      <c r="K2034" s="99">
        <v>45999</v>
      </c>
      <c r="L2034" s="99">
        <v>46023</v>
      </c>
      <c r="M2034" s="99">
        <v>49674</v>
      </c>
      <c r="N2034" s="859">
        <v>1</v>
      </c>
      <c r="O2034" s="111">
        <v>72000</v>
      </c>
      <c r="P2034" s="99">
        <v>49674</v>
      </c>
      <c r="Q2034" s="485">
        <v>720000</v>
      </c>
      <c r="R2034">
        <v>33722757</v>
      </c>
      <c r="S2034" s="99">
        <v>45999</v>
      </c>
    </row>
    <row r="2035" spans="1:19" ht="15" customHeight="1">
      <c r="A2035" s="15">
        <v>2035</v>
      </c>
      <c r="B2035" s="102" t="s">
        <v>3086</v>
      </c>
      <c r="C2035" t="s">
        <v>6349</v>
      </c>
      <c r="D2035" t="s">
        <v>3110</v>
      </c>
      <c r="E2035" s="96" t="s">
        <v>3197</v>
      </c>
      <c r="F2035" s="96" t="s">
        <v>6350</v>
      </c>
      <c r="G2035">
        <v>11674</v>
      </c>
      <c r="H2035" s="96" t="s">
        <v>546</v>
      </c>
      <c r="I2035" t="s">
        <v>6351</v>
      </c>
      <c r="J2035" t="s">
        <v>6351</v>
      </c>
      <c r="K2035" s="99">
        <v>45989</v>
      </c>
      <c r="L2035" s="99">
        <v>45989</v>
      </c>
      <c r="M2035" s="99">
        <v>46023</v>
      </c>
      <c r="N2035" s="859">
        <v>7</v>
      </c>
      <c r="O2035" s="111">
        <v>107889.05</v>
      </c>
      <c r="P2035" s="99">
        <v>46023</v>
      </c>
      <c r="Q2035" s="485">
        <v>107889.05</v>
      </c>
    </row>
    <row r="2036" spans="1:19" ht="15" customHeight="1">
      <c r="A2036" s="15">
        <v>2036</v>
      </c>
      <c r="B2036" s="102" t="s">
        <v>3086</v>
      </c>
      <c r="C2036" t="s">
        <v>6352</v>
      </c>
      <c r="D2036" t="s">
        <v>3110</v>
      </c>
      <c r="E2036" s="96" t="s">
        <v>3369</v>
      </c>
      <c r="F2036" s="96" t="s">
        <v>6353</v>
      </c>
      <c r="G2036">
        <v>11675</v>
      </c>
      <c r="H2036" s="96" t="s">
        <v>482</v>
      </c>
      <c r="I2036" s="96" t="s">
        <v>6354</v>
      </c>
      <c r="J2036" s="96" t="s">
        <v>6354</v>
      </c>
      <c r="K2036" s="99">
        <v>45994</v>
      </c>
      <c r="L2036" s="99">
        <v>45994</v>
      </c>
      <c r="M2036" s="99">
        <v>46066</v>
      </c>
      <c r="N2036" s="859">
        <v>7</v>
      </c>
      <c r="O2036" s="111">
        <v>365917.31</v>
      </c>
      <c r="P2036" s="99">
        <v>46066</v>
      </c>
      <c r="Q2036" s="485">
        <v>365917.31</v>
      </c>
      <c r="R2036">
        <v>33661837</v>
      </c>
      <c r="S2036" s="99">
        <v>45994</v>
      </c>
    </row>
    <row r="2037" spans="1:19" ht="15" customHeight="1">
      <c r="A2037" s="15">
        <v>2037</v>
      </c>
      <c r="B2037" s="102" t="s">
        <v>3086</v>
      </c>
      <c r="C2037" t="s">
        <v>6360</v>
      </c>
      <c r="D2037" t="s">
        <v>3087</v>
      </c>
      <c r="E2037" t="s">
        <v>4294</v>
      </c>
      <c r="F2037" s="96" t="s">
        <v>6580</v>
      </c>
      <c r="G2037">
        <v>11687</v>
      </c>
      <c r="H2037" s="96" t="s">
        <v>830</v>
      </c>
      <c r="I2037" s="96" t="s">
        <v>6581</v>
      </c>
      <c r="J2037" s="96" t="s">
        <v>6581</v>
      </c>
      <c r="K2037" s="99">
        <v>45979</v>
      </c>
      <c r="L2037" s="99">
        <v>45979</v>
      </c>
      <c r="M2037" s="99">
        <v>46022</v>
      </c>
      <c r="N2037" s="859">
        <v>7</v>
      </c>
      <c r="O2037" s="111">
        <v>2000</v>
      </c>
      <c r="P2037" s="99">
        <v>46022</v>
      </c>
    </row>
    <row r="2038" spans="1:19" ht="15" customHeight="1">
      <c r="A2038" s="15">
        <v>2038</v>
      </c>
      <c r="B2038" s="102" t="s">
        <v>3086</v>
      </c>
      <c r="C2038" t="s">
        <v>6361</v>
      </c>
      <c r="D2038" t="s">
        <v>3087</v>
      </c>
      <c r="E2038" t="s">
        <v>4294</v>
      </c>
      <c r="F2038" s="96" t="s">
        <v>6298</v>
      </c>
      <c r="G2038">
        <v>49777513</v>
      </c>
      <c r="H2038" s="96" t="s">
        <v>830</v>
      </c>
      <c r="I2038" s="96" t="s">
        <v>6582</v>
      </c>
      <c r="J2038" s="96" t="s">
        <v>6582</v>
      </c>
      <c r="K2038" s="99">
        <v>45981</v>
      </c>
      <c r="L2038" s="99">
        <v>45992</v>
      </c>
      <c r="M2038" s="99">
        <v>46010</v>
      </c>
      <c r="N2038" s="859">
        <v>7</v>
      </c>
      <c r="O2038" s="111">
        <v>4500</v>
      </c>
      <c r="P2038" s="99">
        <v>46010</v>
      </c>
    </row>
    <row r="2039" spans="1:19" ht="15" customHeight="1">
      <c r="A2039" s="15">
        <v>2039</v>
      </c>
      <c r="B2039" s="102" t="s">
        <v>3086</v>
      </c>
      <c r="C2039" t="s">
        <v>6362</v>
      </c>
      <c r="D2039" t="s">
        <v>3087</v>
      </c>
      <c r="E2039" t="s">
        <v>4294</v>
      </c>
      <c r="F2039" s="96" t="s">
        <v>5505</v>
      </c>
      <c r="G2039">
        <v>10984</v>
      </c>
      <c r="H2039" s="96" t="s">
        <v>830</v>
      </c>
      <c r="I2039" t="s">
        <v>6363</v>
      </c>
      <c r="J2039" t="s">
        <v>6363</v>
      </c>
      <c r="K2039" s="99">
        <v>45982</v>
      </c>
      <c r="L2039" s="99">
        <v>45982</v>
      </c>
      <c r="M2039" s="99">
        <v>45991</v>
      </c>
      <c r="N2039" s="859">
        <v>7</v>
      </c>
      <c r="O2039" s="111">
        <v>1000</v>
      </c>
      <c r="P2039" s="99">
        <v>45991</v>
      </c>
    </row>
    <row r="2040" spans="1:19" ht="15" customHeight="1">
      <c r="A2040" s="15">
        <v>2040</v>
      </c>
      <c r="B2040" s="102" t="s">
        <v>3086</v>
      </c>
      <c r="C2040" t="s">
        <v>6364</v>
      </c>
      <c r="D2040" t="s">
        <v>3087</v>
      </c>
      <c r="E2040" t="s">
        <v>4294</v>
      </c>
      <c r="F2040" s="96" t="s">
        <v>6365</v>
      </c>
      <c r="G2040">
        <v>21078612</v>
      </c>
      <c r="H2040" s="96" t="s">
        <v>830</v>
      </c>
      <c r="I2040" t="s">
        <v>6366</v>
      </c>
      <c r="J2040" t="s">
        <v>6366</v>
      </c>
      <c r="K2040" s="99">
        <v>45986</v>
      </c>
      <c r="L2040" s="99">
        <v>45995</v>
      </c>
      <c r="M2040" s="99">
        <v>46014</v>
      </c>
      <c r="N2040" s="859">
        <v>7</v>
      </c>
      <c r="O2040" s="111">
        <v>3000</v>
      </c>
      <c r="P2040" s="99">
        <v>46014</v>
      </c>
    </row>
    <row r="2041" spans="1:19" ht="15" customHeight="1">
      <c r="A2041" s="15">
        <v>2041</v>
      </c>
      <c r="B2041" s="102" t="s">
        <v>3086</v>
      </c>
      <c r="C2041" t="s">
        <v>6367</v>
      </c>
      <c r="D2041" t="s">
        <v>3087</v>
      </c>
      <c r="E2041" t="s">
        <v>4294</v>
      </c>
      <c r="F2041" s="96" t="s">
        <v>3250</v>
      </c>
      <c r="G2041">
        <v>60162694</v>
      </c>
      <c r="H2041" s="96" t="s">
        <v>830</v>
      </c>
      <c r="I2041" t="s">
        <v>6370</v>
      </c>
      <c r="J2041" t="s">
        <v>6370</v>
      </c>
      <c r="K2041" s="99">
        <v>45982</v>
      </c>
      <c r="L2041" s="99">
        <v>46023</v>
      </c>
      <c r="M2041" s="99">
        <v>46387</v>
      </c>
      <c r="O2041" s="111">
        <v>0</v>
      </c>
      <c r="P2041" s="99">
        <v>46387</v>
      </c>
    </row>
    <row r="2042" spans="1:19" ht="15" customHeight="1">
      <c r="A2042" s="15">
        <v>2042</v>
      </c>
      <c r="B2042" s="102" t="s">
        <v>3086</v>
      </c>
      <c r="C2042" t="s">
        <v>6368</v>
      </c>
      <c r="D2042" t="s">
        <v>3087</v>
      </c>
      <c r="E2042" t="s">
        <v>4294</v>
      </c>
      <c r="F2042" s="96" t="s">
        <v>3250</v>
      </c>
      <c r="G2042">
        <v>60162694</v>
      </c>
      <c r="H2042" t="s">
        <v>830</v>
      </c>
      <c r="I2042" t="s">
        <v>6369</v>
      </c>
      <c r="J2042" t="s">
        <v>6369</v>
      </c>
      <c r="K2042" s="99">
        <v>45987</v>
      </c>
      <c r="L2042" s="99">
        <v>46023</v>
      </c>
      <c r="M2042" s="99">
        <v>46387</v>
      </c>
      <c r="O2042" s="111">
        <v>0</v>
      </c>
      <c r="P2042" s="99">
        <v>46387</v>
      </c>
    </row>
    <row r="2043" spans="1:19" ht="15" customHeight="1">
      <c r="A2043" s="15">
        <v>2043</v>
      </c>
      <c r="B2043" s="102" t="s">
        <v>3086</v>
      </c>
      <c r="C2043" t="s">
        <v>6371</v>
      </c>
      <c r="D2043" t="s">
        <v>3110</v>
      </c>
      <c r="E2043" t="s">
        <v>3141</v>
      </c>
      <c r="F2043" s="96" t="s">
        <v>3523</v>
      </c>
      <c r="G2043">
        <v>26429683</v>
      </c>
      <c r="H2043" s="96" t="s">
        <v>5255</v>
      </c>
      <c r="I2043" t="s">
        <v>6372</v>
      </c>
      <c r="J2043" t="s">
        <v>6372</v>
      </c>
      <c r="K2043" s="99">
        <v>45995</v>
      </c>
      <c r="L2043" s="99">
        <v>46023</v>
      </c>
      <c r="M2043" s="99">
        <v>46752</v>
      </c>
      <c r="O2043" s="1634">
        <v>120000</v>
      </c>
      <c r="P2043" s="99">
        <v>46752</v>
      </c>
      <c r="Q2043" s="663">
        <v>120000</v>
      </c>
      <c r="R2043">
        <v>33809953</v>
      </c>
      <c r="S2043" s="99">
        <v>46003</v>
      </c>
    </row>
    <row r="2044" spans="1:19" ht="15" customHeight="1">
      <c r="A2044" s="15">
        <v>2044</v>
      </c>
      <c r="B2044" s="102" t="s">
        <v>3086</v>
      </c>
      <c r="C2044" t="s">
        <v>6373</v>
      </c>
      <c r="D2044" t="s">
        <v>3087</v>
      </c>
      <c r="E2044" t="s">
        <v>4294</v>
      </c>
      <c r="F2044" s="96" t="s">
        <v>3250</v>
      </c>
      <c r="G2044">
        <v>60162694</v>
      </c>
      <c r="H2044" t="s">
        <v>830</v>
      </c>
      <c r="I2044" t="s">
        <v>6374</v>
      </c>
      <c r="J2044" t="s">
        <v>6374</v>
      </c>
      <c r="K2044" s="99">
        <v>45982</v>
      </c>
      <c r="L2044" s="99">
        <v>46023</v>
      </c>
      <c r="M2044" s="99">
        <v>46387</v>
      </c>
      <c r="O2044" s="111">
        <v>0</v>
      </c>
      <c r="P2044" s="99">
        <v>46387</v>
      </c>
    </row>
    <row r="2045" spans="1:19" ht="15" customHeight="1">
      <c r="A2045" s="15">
        <v>2045</v>
      </c>
      <c r="B2045" s="102" t="s">
        <v>3086</v>
      </c>
      <c r="C2045" t="s">
        <v>6579</v>
      </c>
      <c r="D2045" t="s">
        <v>3087</v>
      </c>
      <c r="E2045" t="s">
        <v>4294</v>
      </c>
      <c r="F2045" s="96" t="s">
        <v>6583</v>
      </c>
      <c r="G2045">
        <v>11688</v>
      </c>
      <c r="H2045" t="s">
        <v>830</v>
      </c>
      <c r="I2045" t="s">
        <v>6584</v>
      </c>
      <c r="J2045" t="s">
        <v>6584</v>
      </c>
      <c r="K2045" s="99">
        <v>45982</v>
      </c>
      <c r="L2045" s="99">
        <v>45982</v>
      </c>
      <c r="M2045" s="99">
        <v>46022</v>
      </c>
      <c r="O2045" s="111">
        <v>0</v>
      </c>
      <c r="P2045" s="99">
        <v>46022</v>
      </c>
    </row>
    <row r="2046" spans="1:19" ht="15" customHeight="1">
      <c r="A2046" s="15">
        <v>2046</v>
      </c>
      <c r="B2046" s="102" t="s">
        <v>3086</v>
      </c>
      <c r="C2046" t="s">
        <v>6578</v>
      </c>
      <c r="D2046" t="s">
        <v>3087</v>
      </c>
      <c r="E2046" t="s">
        <v>4294</v>
      </c>
      <c r="F2046" s="96" t="s">
        <v>4189</v>
      </c>
      <c r="G2046">
        <v>10089</v>
      </c>
      <c r="H2046" t="s">
        <v>830</v>
      </c>
      <c r="I2046" t="s">
        <v>6585</v>
      </c>
      <c r="J2046" t="s">
        <v>6585</v>
      </c>
      <c r="K2046" s="99">
        <v>45986</v>
      </c>
      <c r="L2046" s="99">
        <v>45992</v>
      </c>
      <c r="M2046" s="99">
        <v>46022</v>
      </c>
      <c r="N2046" s="859">
        <v>7</v>
      </c>
      <c r="O2046" s="111">
        <v>4500</v>
      </c>
      <c r="P2046" s="99">
        <v>46022</v>
      </c>
    </row>
    <row r="2047" spans="1:19" ht="15" customHeight="1">
      <c r="A2047" s="15">
        <v>2047</v>
      </c>
      <c r="B2047" s="102" t="s">
        <v>3086</v>
      </c>
      <c r="C2047" t="s">
        <v>6577</v>
      </c>
      <c r="D2047" t="s">
        <v>3087</v>
      </c>
      <c r="E2047" t="s">
        <v>4294</v>
      </c>
      <c r="F2047" s="96" t="s">
        <v>6586</v>
      </c>
      <c r="G2047">
        <v>11689</v>
      </c>
      <c r="H2047" t="s">
        <v>830</v>
      </c>
      <c r="I2047" s="96" t="s">
        <v>6587</v>
      </c>
      <c r="J2047" s="96" t="s">
        <v>6587</v>
      </c>
      <c r="K2047" s="99">
        <v>45989</v>
      </c>
      <c r="L2047" s="99">
        <v>45992</v>
      </c>
      <c r="M2047" s="99">
        <v>46112</v>
      </c>
      <c r="N2047" s="859"/>
      <c r="O2047" s="111">
        <v>0</v>
      </c>
      <c r="P2047" s="99">
        <v>46112</v>
      </c>
    </row>
    <row r="2048" spans="1:19" ht="15" customHeight="1">
      <c r="A2048" s="15">
        <v>2048</v>
      </c>
      <c r="B2048" s="102" t="s">
        <v>3086</v>
      </c>
      <c r="C2048" s="96" t="s">
        <v>6576</v>
      </c>
      <c r="D2048" t="s">
        <v>3087</v>
      </c>
      <c r="E2048" t="s">
        <v>4294</v>
      </c>
      <c r="F2048" s="96" t="s">
        <v>6588</v>
      </c>
      <c r="G2048">
        <v>11690</v>
      </c>
      <c r="H2048" t="s">
        <v>830</v>
      </c>
      <c r="I2048" s="96" t="s">
        <v>6589</v>
      </c>
      <c r="J2048" s="96" t="s">
        <v>6589</v>
      </c>
      <c r="K2048" s="99">
        <v>45992</v>
      </c>
      <c r="L2048" s="99">
        <v>45999</v>
      </c>
      <c r="M2048" s="99">
        <v>46003</v>
      </c>
      <c r="N2048" s="859">
        <v>7</v>
      </c>
      <c r="O2048" s="111">
        <v>2500</v>
      </c>
      <c r="P2048" s="99">
        <v>46003</v>
      </c>
    </row>
    <row r="2049" spans="1:19" ht="15" customHeight="1">
      <c r="A2049" s="15">
        <v>2049</v>
      </c>
      <c r="B2049" s="102" t="s">
        <v>3086</v>
      </c>
      <c r="C2049" t="s">
        <v>6575</v>
      </c>
      <c r="D2049" t="s">
        <v>3110</v>
      </c>
      <c r="E2049" s="96" t="s">
        <v>6573</v>
      </c>
      <c r="F2049" s="96" t="s">
        <v>6590</v>
      </c>
      <c r="G2049">
        <v>63671069</v>
      </c>
      <c r="H2049" s="96" t="s">
        <v>6626</v>
      </c>
      <c r="I2049" t="s">
        <v>6574</v>
      </c>
      <c r="J2049" t="s">
        <v>6574</v>
      </c>
      <c r="K2049" s="99">
        <v>46000</v>
      </c>
      <c r="L2049" s="99">
        <v>46006</v>
      </c>
      <c r="M2049" s="99">
        <v>47101</v>
      </c>
      <c r="N2049" s="859">
        <v>1</v>
      </c>
      <c r="O2049" s="111">
        <v>1179385.26</v>
      </c>
      <c r="P2049" s="99">
        <v>47101</v>
      </c>
      <c r="Q2049" s="485">
        <v>2924095.68</v>
      </c>
      <c r="R2049">
        <v>33756589</v>
      </c>
      <c r="S2049" s="99">
        <v>46001</v>
      </c>
    </row>
    <row r="2050" spans="1:19" ht="15" customHeight="1">
      <c r="A2050" s="15">
        <v>2030</v>
      </c>
      <c r="B2050" s="102" t="s">
        <v>3086</v>
      </c>
      <c r="C2050" t="s">
        <v>6596</v>
      </c>
      <c r="D2050" t="s">
        <v>3121</v>
      </c>
      <c r="E2050" s="96" t="s">
        <v>3117</v>
      </c>
      <c r="F2050" s="96" t="s">
        <v>5498</v>
      </c>
      <c r="G2050">
        <v>29055130</v>
      </c>
      <c r="H2050" s="96" t="s">
        <v>3982</v>
      </c>
      <c r="I2050" s="96" t="s">
        <v>6597</v>
      </c>
      <c r="J2050" s="96" t="s">
        <v>6597</v>
      </c>
      <c r="K2050" s="99">
        <v>46003</v>
      </c>
      <c r="L2050" s="99">
        <v>46003</v>
      </c>
      <c r="M2050" s="99">
        <v>2958465</v>
      </c>
      <c r="N2050" s="859">
        <v>6</v>
      </c>
      <c r="O2050" s="111">
        <v>3200</v>
      </c>
      <c r="P2050" s="99">
        <v>2958465</v>
      </c>
      <c r="Q2050" s="485">
        <v>1500000</v>
      </c>
      <c r="R2050">
        <v>33808001</v>
      </c>
    </row>
    <row r="2051" spans="1:19" ht="15" customHeight="1">
      <c r="A2051" s="15">
        <v>2031</v>
      </c>
      <c r="B2051" s="102" t="s">
        <v>3086</v>
      </c>
      <c r="C2051" t="s">
        <v>6601</v>
      </c>
      <c r="D2051" t="s">
        <v>3087</v>
      </c>
      <c r="E2051" t="s">
        <v>4294</v>
      </c>
      <c r="F2051" s="96" t="s">
        <v>6602</v>
      </c>
      <c r="G2051">
        <v>11699</v>
      </c>
      <c r="H2051" t="s">
        <v>830</v>
      </c>
      <c r="I2051" t="s">
        <v>6603</v>
      </c>
      <c r="J2051" t="s">
        <v>6603</v>
      </c>
      <c r="K2051" s="99">
        <v>45999</v>
      </c>
      <c r="L2051" s="99">
        <v>46024</v>
      </c>
      <c r="M2051" s="99">
        <v>46053</v>
      </c>
      <c r="O2051" s="111">
        <v>0</v>
      </c>
      <c r="P2051" s="99">
        <v>46053</v>
      </c>
    </row>
    <row r="2052" spans="1:19" ht="15" customHeight="1">
      <c r="A2052" s="15">
        <v>2032</v>
      </c>
      <c r="B2052" s="102" t="s">
        <v>3086</v>
      </c>
      <c r="C2052" t="s">
        <v>6622</v>
      </c>
      <c r="D2052" t="s">
        <v>3110</v>
      </c>
      <c r="E2052" t="s">
        <v>3197</v>
      </c>
      <c r="F2052" s="96" t="s">
        <v>3283</v>
      </c>
      <c r="G2052">
        <v>48033758</v>
      </c>
      <c r="H2052" t="s">
        <v>546</v>
      </c>
      <c r="I2052" t="s">
        <v>6623</v>
      </c>
      <c r="J2052" t="s">
        <v>6623</v>
      </c>
      <c r="K2052" s="99">
        <v>46013</v>
      </c>
      <c r="L2052" s="99">
        <v>46013</v>
      </c>
      <c r="M2052" s="99">
        <v>46074</v>
      </c>
      <c r="N2052" s="859">
        <v>7</v>
      </c>
      <c r="O2052" s="111">
        <v>508504.42</v>
      </c>
      <c r="P2052" s="99">
        <v>46074</v>
      </c>
      <c r="Q2052" s="111">
        <v>508504.42</v>
      </c>
      <c r="R2052">
        <v>33946521</v>
      </c>
      <c r="S2052" s="99">
        <v>46013</v>
      </c>
    </row>
    <row r="2053" spans="1:19" ht="15" customHeight="1">
      <c r="A2053" s="15">
        <v>2033</v>
      </c>
      <c r="B2053" s="102" t="s">
        <v>3086</v>
      </c>
      <c r="C2053" t="s">
        <v>6624</v>
      </c>
      <c r="D2053" t="s">
        <v>3110</v>
      </c>
      <c r="E2053" s="96" t="s">
        <v>3197</v>
      </c>
      <c r="F2053" s="96" t="s">
        <v>3928</v>
      </c>
      <c r="G2053">
        <v>44265778</v>
      </c>
      <c r="H2053" s="96" t="s">
        <v>546</v>
      </c>
      <c r="I2053" s="96" t="s">
        <v>6625</v>
      </c>
      <c r="J2053" s="96" t="s">
        <v>6625</v>
      </c>
      <c r="K2053" s="99">
        <v>46010</v>
      </c>
      <c r="L2053" s="99">
        <v>46010</v>
      </c>
      <c r="M2053" s="99">
        <v>46071</v>
      </c>
      <c r="N2053" s="859">
        <v>7</v>
      </c>
      <c r="O2053" s="111">
        <v>371304.06</v>
      </c>
      <c r="P2053" s="99">
        <v>46071</v>
      </c>
      <c r="Q2053" s="111">
        <v>371304.06</v>
      </c>
      <c r="R2053">
        <v>33928849</v>
      </c>
      <c r="S2053" s="99">
        <v>46010</v>
      </c>
    </row>
    <row r="2054" spans="1:19" ht="15" customHeight="1">
      <c r="A2054" s="15">
        <v>2034</v>
      </c>
      <c r="B2054" s="102" t="s">
        <v>3086</v>
      </c>
      <c r="C2054" t="s">
        <v>6635</v>
      </c>
      <c r="D2054" t="s">
        <v>3110</v>
      </c>
      <c r="E2054" s="96" t="s">
        <v>3184</v>
      </c>
      <c r="F2054" s="96" t="s">
        <v>3457</v>
      </c>
      <c r="G2054">
        <v>27253236</v>
      </c>
      <c r="H2054" s="96" t="s">
        <v>255</v>
      </c>
      <c r="I2054" t="s">
        <v>6636</v>
      </c>
      <c r="J2054" t="s">
        <v>6636</v>
      </c>
      <c r="K2054" s="99">
        <v>46014</v>
      </c>
      <c r="L2054" s="99">
        <v>46014</v>
      </c>
      <c r="M2054" s="99">
        <v>2958465</v>
      </c>
      <c r="O2054" s="111">
        <v>0</v>
      </c>
      <c r="P2054" s="99">
        <v>2958465</v>
      </c>
      <c r="Q2054" s="111"/>
    </row>
    <row r="2055" spans="1:19" ht="15" customHeight="1">
      <c r="A2055" s="15">
        <v>2035</v>
      </c>
      <c r="Q2055" s="111"/>
    </row>
    <row r="2056" spans="1:19" ht="15" customHeight="1">
      <c r="A2056" s="15">
        <v>2036</v>
      </c>
      <c r="Q2056" s="111"/>
    </row>
    <row r="2057" spans="1:19" ht="15" customHeight="1">
      <c r="A2057" s="15">
        <v>2037</v>
      </c>
      <c r="Q2057" s="111"/>
    </row>
    <row r="2058" spans="1:19" ht="15" customHeight="1">
      <c r="A2058" s="15">
        <v>2038</v>
      </c>
      <c r="Q2058" s="111"/>
    </row>
    <row r="2059" spans="1:19" ht="15" customHeight="1">
      <c r="A2059" s="15">
        <v>2039</v>
      </c>
    </row>
    <row r="2060" spans="1:19" ht="15" customHeight="1">
      <c r="A2060" s="15">
        <v>2040</v>
      </c>
    </row>
    <row r="2061" spans="1:19" ht="15" customHeight="1">
      <c r="A2061" s="15">
        <v>2041</v>
      </c>
    </row>
    <row r="2062" spans="1:19" ht="15" customHeight="1">
      <c r="A2062" s="15">
        <v>2042</v>
      </c>
    </row>
    <row r="2063" spans="1:19" ht="15" customHeight="1">
      <c r="A2063" s="15">
        <v>2043</v>
      </c>
    </row>
    <row r="2064" spans="1:19" ht="15" customHeight="1">
      <c r="A2064" s="15">
        <v>2044</v>
      </c>
    </row>
    <row r="2065" spans="1:1" ht="15" customHeight="1">
      <c r="A2065" s="15">
        <v>2045</v>
      </c>
    </row>
    <row r="2066" spans="1:1" ht="15" customHeight="1">
      <c r="A2066" s="15">
        <v>2046</v>
      </c>
    </row>
    <row r="2067" spans="1:1" ht="15" customHeight="1">
      <c r="A2067" s="15">
        <v>2047</v>
      </c>
    </row>
    <row r="2068" spans="1:1" ht="15" customHeight="1">
      <c r="A2068" s="15">
        <v>2048</v>
      </c>
    </row>
    <row r="2069" spans="1:1" ht="15" customHeight="1">
      <c r="A2069" s="15">
        <v>2049</v>
      </c>
    </row>
    <row r="2070" spans="1:1" ht="15" customHeight="1">
      <c r="A2070" s="15">
        <v>2050</v>
      </c>
    </row>
  </sheetData>
  <autoFilter ref="A1:AL2047" xr:uid="{00000000-0001-0000-0200-000000000000}"/>
  <mergeCells count="3">
    <mergeCell ref="Q73:S73"/>
    <mergeCell ref="Q162:S162"/>
    <mergeCell ref="V462:X462"/>
  </mergeCells>
  <phoneticPr fontId="46" type="noConversion"/>
  <conditionalFormatting sqref="B2:B2054">
    <cfRule type="cellIs" dxfId="29" priority="5" operator="equal">
      <formula>"A"</formula>
    </cfRule>
    <cfRule type="cellIs" dxfId="28" priority="6" operator="equal">
      <formula>"N"</formula>
    </cfRule>
  </conditionalFormatting>
  <conditionalFormatting sqref="B1:C1519 C1522">
    <cfRule type="containsText" dxfId="27" priority="14" operator="containsText" text="&quot;A&quot;">
      <formula>NOT(ISERROR(SEARCH(("""A"""),(B1))))</formula>
    </cfRule>
    <cfRule type="containsText" dxfId="26" priority="15" operator="containsText" text="&quot;N&quot;">
      <formula>NOT(ISERROR(SEARCH(("""N"""),(B1))))</formula>
    </cfRule>
  </conditionalFormatting>
  <conditionalFormatting sqref="C1:C863 C1291:C1306 C1309:C1332 C1335:C1485 C1489:C1519 C1522 V794:W795">
    <cfRule type="expression" dxfId="25" priority="195">
      <formula>AND(COUNTIF($C$1291:$C$65490,C1)+COUNTIF($C$1:$C$863,C1)&gt;1,NOT(ISBLANK(C1)))</formula>
    </cfRule>
  </conditionalFormatting>
  <conditionalFormatting sqref="C1:C1305 C1309:C1332 C1335:C1485 C1489:C1500 C1502:C1519 C1522">
    <cfRule type="expression" dxfId="24" priority="202">
      <formula>AND(COUNTIF($C$1:$C$1305,C1)+COUNTIF($C$1307:$C$65490,C1)&gt;1,NOT(ISBLANK(C1)))</formula>
    </cfRule>
  </conditionalFormatting>
  <conditionalFormatting sqref="C1307:C1308">
    <cfRule type="expression" dxfId="23" priority="208">
      <formula>AND(COUNTIF($C$1300:$C$65490,C1307)+COUNTIF($C$1:$C$872,C1307)&gt;1,NOT(ISBLANK(C1307)))</formula>
    </cfRule>
    <cfRule type="expression" dxfId="22" priority="209">
      <formula>AND(COUNTIF($C$1:$C$1317,C1307)+COUNTIF($C$1319:$C$65490,C1307)&gt;1,NOT(ISBLANK(C1307)))</formula>
    </cfRule>
  </conditionalFormatting>
  <conditionalFormatting sqref="C1501">
    <cfRule type="expression" dxfId="21" priority="210">
      <formula>AND(COUNTIF($C$1:$C$1304,C1501)+COUNTIF($C$1306:$C$65490,C1501)&gt;1,NOT(ISBLANK(C1501)))</formula>
    </cfRule>
  </conditionalFormatting>
  <conditionalFormatting sqref="C1520:C1521">
    <cfRule type="containsBlanks" dxfId="20" priority="8" stopIfTrue="1">
      <formula>LEN(TRIM(C1520))=0</formula>
    </cfRule>
  </conditionalFormatting>
  <conditionalFormatting sqref="C1781">
    <cfRule type="containsText" dxfId="19" priority="1" operator="containsText" text="&quot;A&quot;">
      <formula>NOT(ISERROR(SEARCH(("""A"""),(C1781))))</formula>
    </cfRule>
    <cfRule type="containsText" dxfId="18" priority="2" operator="containsText" text="&quot;N&quot;">
      <formula>NOT(ISERROR(SEARCH(("""N"""),(C1781))))</formula>
    </cfRule>
    <cfRule type="expression" dxfId="17" priority="3">
      <formula>AND(COUNTIF($C$1291:$C$65490,C1781)+COUNTIF($C$1:$C$863,C1781)&gt;1,NOT(ISBLANK(C1781)))</formula>
    </cfRule>
    <cfRule type="expression" dxfId="16" priority="4">
      <formula>AND(COUNTIF($C$1:$C$1305,C1781)+COUNTIF($C$1307:$C$65490,C1781)&gt;1,NOT(ISBLANK(C1781)))</formula>
    </cfRule>
  </conditionalFormatting>
  <conditionalFormatting sqref="F1520:F1521">
    <cfRule type="containsBlanks" dxfId="15" priority="7" stopIfTrue="1">
      <formula>LEN(TRIM(F1520))=0</formula>
    </cfRule>
  </conditionalFormatting>
  <conditionalFormatting sqref="V716:W716">
    <cfRule type="expression" dxfId="14" priority="22">
      <formula>AND(COUNTIF(#REF!,V716)+COUNTIF($C$2:$C$864,V716)&gt;1,NOT(ISBLANK(V716)))</formula>
    </cfRule>
  </conditionalFormatting>
  <hyperlinks>
    <hyperlink ref="F216" r:id="rId1" xr:uid="{00000000-0004-0000-0200-000000000000}"/>
    <hyperlink ref="F309" r:id="rId2" xr:uid="{00000000-0004-0000-0200-000001000000}"/>
  </hyperlinks>
  <pageMargins left="0.7" right="0.7" top="0.75" bottom="0.75" header="0" footer="0"/>
  <pageSetup scale="10" fitToWidth="0" orientation="landscape" r:id="rId3"/>
  <ignoredErrors>
    <ignoredError sqref="Q1775" numberStoredAsText="1"/>
  </ignoredErrors>
  <legacyDrawing r:id="rId4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701752B-5500-4DA4-897E-0A1389B19EFF}">
          <x14:formula1>
            <xm:f>seznamy!$B$3:$B$10</xm:f>
          </x14:formula1>
          <xm:sqref>D1</xm:sqref>
        </x14:dataValidation>
        <x14:dataValidation type="list" allowBlank="1" showInputMessage="1" showErrorMessage="1" xr:uid="{D9EADF27-303F-4BB2-93E6-6F5E3679D817}">
          <x14:formula1>
            <xm:f>seznamy!$C$3:$C$6</xm:f>
          </x14:formula1>
          <xm:sqref>U1348:U1527 U1:U1346 U1529:U1901 U1903:U1048576</xm:sqref>
        </x14:dataValidation>
        <x14:dataValidation type="list" allowBlank="1" showInputMessage="1" showErrorMessage="1" xr:uid="{CC6B3738-A478-4C63-8014-DFE7ABD98EED}">
          <x14:formula1>
            <xm:f>seznamy!$D$3:$D$4</xm:f>
          </x14:formula1>
          <xm:sqref>W5 W11 W21 W34 W51 W53 W131 W192 W330:W331 W446 W471 W473:W474 W697:W698 W704 W880 W167 W270 W309 W553 W721 W734 W810:W812 W284 W324 W779 W350 W709:W710 V1:V1527 V1529:V1048576</xm:sqref>
        </x14:dataValidation>
        <x14:dataValidation type="list" allowBlank="1" showInputMessage="1" showErrorMessage="1" xr:uid="{68DE0ABF-E2C6-4ECB-9B99-5D8A32C8264E}">
          <x14:formula1>
            <xm:f>seznamy!$E$3:$E$4</xm:f>
          </x14:formula1>
          <xm:sqref>W2:W4 W6:W10 W12:W20 W22:W33 W35:W50 W52 W54:W130 W780:W809 W351:W445 W325:W329 W472 W285:W308 W699:W703 W475:W552 W813:W879 W132:W166 W193:W269 W447:W470 W554:W696 W722:W733 W271:W283 W310:W323 W735:W778 W332:W349 W705:W708 W711:W720 W168:W191 W881:W1527 W1529:W1048576</xm:sqref>
        </x14:dataValidation>
        <x14:dataValidation type="list" allowBlank="1" showInputMessage="1" showErrorMessage="1" xr:uid="{E377A716-B3C6-4F20-94BA-AA5DAC379BAB}">
          <x14:formula1>
            <xm:f>seznamy!$B$3:$B$11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2"/>
  <dimension ref="B1:E1000"/>
  <sheetViews>
    <sheetView workbookViewId="0">
      <selection activeCell="E30" sqref="E30"/>
    </sheetView>
  </sheetViews>
  <sheetFormatPr defaultColWidth="12.6640625" defaultRowHeight="15" customHeight="1"/>
  <cols>
    <col min="1" max="26" width="8" customWidth="1"/>
  </cols>
  <sheetData>
    <row r="1" spans="2:5" ht="12.75" customHeight="1"/>
    <row r="2" spans="2:5" ht="12.75" customHeight="1">
      <c r="B2" s="15" t="s">
        <v>4622</v>
      </c>
      <c r="C2" s="96" t="s">
        <v>4623</v>
      </c>
      <c r="D2" s="96" t="s">
        <v>4624</v>
      </c>
      <c r="E2" s="96" t="s">
        <v>4630</v>
      </c>
    </row>
    <row r="3" spans="2:5" ht="12.75" customHeight="1">
      <c r="B3" s="15" t="s">
        <v>3168</v>
      </c>
      <c r="C3">
        <v>3</v>
      </c>
      <c r="D3" s="96" t="s">
        <v>4625</v>
      </c>
      <c r="E3" s="96" t="s">
        <v>4625</v>
      </c>
    </row>
    <row r="4" spans="2:5" ht="12.75" customHeight="1">
      <c r="B4" s="15" t="s">
        <v>3094</v>
      </c>
      <c r="C4">
        <v>6</v>
      </c>
      <c r="D4" s="96" t="s">
        <v>4626</v>
      </c>
      <c r="E4" s="96" t="s">
        <v>4631</v>
      </c>
    </row>
    <row r="5" spans="2:5" ht="12.75" customHeight="1">
      <c r="B5" s="15" t="s">
        <v>3087</v>
      </c>
      <c r="C5">
        <v>9</v>
      </c>
    </row>
    <row r="6" spans="2:5" ht="12.75" customHeight="1">
      <c r="B6" s="15" t="s">
        <v>3121</v>
      </c>
      <c r="C6">
        <v>12</v>
      </c>
    </row>
    <row r="7" spans="2:5" ht="12.75" customHeight="1">
      <c r="B7" s="15" t="s">
        <v>3139</v>
      </c>
    </row>
    <row r="8" spans="2:5" ht="12.75" customHeight="1">
      <c r="B8" s="15" t="s">
        <v>3110</v>
      </c>
    </row>
    <row r="9" spans="2:5" ht="12.75" customHeight="1">
      <c r="B9" s="15" t="s">
        <v>3116</v>
      </c>
    </row>
    <row r="10" spans="2:5" ht="12.75" customHeight="1">
      <c r="B10" s="15" t="s">
        <v>3127</v>
      </c>
    </row>
    <row r="11" spans="2:5" ht="12.75" customHeight="1">
      <c r="B11" s="15" t="s">
        <v>4667</v>
      </c>
    </row>
    <row r="12" spans="2:5" ht="12.75" customHeight="1">
      <c r="B12" s="15" t="s">
        <v>5874</v>
      </c>
    </row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4708-8A96-4BAD-9F96-155AC8B1CD24}">
  <sheetPr codeName="List3"/>
  <dimension ref="A2:X390"/>
  <sheetViews>
    <sheetView zoomScaleNormal="100" workbookViewId="0">
      <selection activeCell="B11" sqref="B11"/>
    </sheetView>
  </sheetViews>
  <sheetFormatPr defaultColWidth="8.88671875" defaultRowHeight="13.2"/>
  <cols>
    <col min="1" max="1" width="8.88671875" style="112"/>
    <col min="2" max="2" width="20.44140625" style="325" bestFit="1" customWidth="1"/>
    <col min="3" max="3" width="60.33203125" style="325" bestFit="1" customWidth="1"/>
    <col min="4" max="4" width="9.6640625" style="325" bestFit="1" customWidth="1"/>
    <col min="5" max="5" width="31.109375" style="325" bestFit="1" customWidth="1"/>
    <col min="6" max="6" width="16.33203125" style="112" customWidth="1"/>
    <col min="7" max="7" width="15.5546875" style="112" customWidth="1"/>
    <col min="8" max="8" width="11.109375" style="112" bestFit="1" customWidth="1"/>
    <col min="9" max="9" width="8.88671875" style="112"/>
    <col min="10" max="10" width="11.109375" style="112" bestFit="1" customWidth="1"/>
    <col min="11" max="12" width="16.33203125" style="112" bestFit="1" customWidth="1"/>
    <col min="13" max="13" width="10.6640625" style="112" bestFit="1" customWidth="1"/>
    <col min="14" max="14" width="20.88671875" style="112" customWidth="1"/>
    <col min="15" max="15" width="21.88671875" style="112" customWidth="1"/>
    <col min="16" max="16" width="10.6640625" style="112" bestFit="1" customWidth="1"/>
    <col min="17" max="18" width="16.33203125" style="112" bestFit="1" customWidth="1"/>
    <col min="19" max="19" width="13" style="112" customWidth="1"/>
    <col min="20" max="20" width="16" style="112" bestFit="1" customWidth="1"/>
    <col min="21" max="21" width="15.88671875" style="112" bestFit="1" customWidth="1"/>
    <col min="22" max="22" width="18.88671875" style="112" customWidth="1"/>
    <col min="23" max="23" width="16.33203125" style="112" bestFit="1" customWidth="1"/>
    <col min="24" max="16384" width="8.88671875" style="112"/>
  </cols>
  <sheetData>
    <row r="2" spans="2:23" ht="13.8" thickBot="1"/>
    <row r="3" spans="2:23" s="332" customFormat="1" ht="40.200000000000003" thickBot="1">
      <c r="B3" s="113" t="s">
        <v>4856</v>
      </c>
      <c r="C3" s="113" t="s">
        <v>4857</v>
      </c>
      <c r="D3" s="113" t="s">
        <v>3068</v>
      </c>
      <c r="E3" s="113" t="s">
        <v>4858</v>
      </c>
      <c r="F3" s="114" t="s">
        <v>4859</v>
      </c>
      <c r="G3" s="114" t="s">
        <v>4860</v>
      </c>
      <c r="H3" s="115" t="s">
        <v>4861</v>
      </c>
      <c r="I3" s="116"/>
      <c r="J3" s="1733">
        <v>2022</v>
      </c>
      <c r="K3" s="1734"/>
      <c r="L3" s="1735"/>
      <c r="M3" s="1736">
        <v>2023</v>
      </c>
      <c r="N3" s="1737"/>
      <c r="O3" s="1738"/>
      <c r="P3" s="1739">
        <v>2024</v>
      </c>
      <c r="Q3" s="1740"/>
      <c r="R3" s="1741"/>
      <c r="S3" s="1744">
        <v>2025</v>
      </c>
      <c r="T3" s="1734"/>
      <c r="U3" s="1735"/>
      <c r="V3" s="1742" t="s">
        <v>4862</v>
      </c>
      <c r="W3" s="1743"/>
    </row>
    <row r="4" spans="2:23" s="332" customFormat="1" ht="13.8" thickBot="1">
      <c r="B4" s="333"/>
      <c r="C4" s="334"/>
      <c r="D4" s="335"/>
      <c r="E4" s="334"/>
      <c r="F4" s="336"/>
      <c r="G4" s="336"/>
      <c r="H4" s="334"/>
      <c r="I4" s="337"/>
      <c r="J4" s="338"/>
      <c r="K4" s="339" t="s">
        <v>4863</v>
      </c>
      <c r="L4" s="340" t="s">
        <v>4864</v>
      </c>
      <c r="M4" s="341"/>
      <c r="N4" s="342" t="s">
        <v>4863</v>
      </c>
      <c r="O4" s="343" t="s">
        <v>4864</v>
      </c>
      <c r="P4" s="344"/>
      <c r="Q4" s="345" t="s">
        <v>4863</v>
      </c>
      <c r="R4" s="735" t="s">
        <v>4864</v>
      </c>
      <c r="S4" s="338"/>
      <c r="T4" s="339" t="s">
        <v>4863</v>
      </c>
      <c r="U4" s="595" t="s">
        <v>4864</v>
      </c>
      <c r="V4" s="346" t="s">
        <v>4863</v>
      </c>
      <c r="W4" s="347" t="s">
        <v>4864</v>
      </c>
    </row>
    <row r="5" spans="2:23" ht="13.8" thickBot="1">
      <c r="B5" s="150" t="s">
        <v>663</v>
      </c>
      <c r="C5" s="331" t="s">
        <v>4878</v>
      </c>
      <c r="D5" s="352">
        <v>27094987</v>
      </c>
      <c r="E5" s="331" t="s">
        <v>4879</v>
      </c>
      <c r="F5" s="369">
        <v>1000080</v>
      </c>
      <c r="G5" s="369">
        <v>1210096.8</v>
      </c>
      <c r="H5" s="119">
        <v>46455</v>
      </c>
      <c r="I5" s="120"/>
      <c r="J5" s="618"/>
      <c r="K5" s="142"/>
      <c r="L5" s="143"/>
      <c r="M5" s="124">
        <v>45196</v>
      </c>
      <c r="N5" s="620">
        <v>13800</v>
      </c>
      <c r="O5" s="621">
        <v>16698</v>
      </c>
      <c r="P5" s="125">
        <v>45348</v>
      </c>
      <c r="Q5" s="622">
        <v>7520</v>
      </c>
      <c r="R5" s="361">
        <v>9099.2000000000007</v>
      </c>
      <c r="S5" s="596">
        <v>45890</v>
      </c>
      <c r="T5" s="151">
        <f>8349*100/121</f>
        <v>6900</v>
      </c>
      <c r="U5" s="143">
        <v>8349</v>
      </c>
      <c r="V5" s="158">
        <f>SUM(F5-N17-Q17-T17)</f>
        <v>420037.40999999992</v>
      </c>
      <c r="W5" s="145">
        <f>SUM(G5-O17-R17-U17)</f>
        <v>508245.25999999995</v>
      </c>
    </row>
    <row r="6" spans="2:23">
      <c r="B6" s="370"/>
      <c r="C6" s="370"/>
      <c r="D6" s="370"/>
      <c r="E6" s="370"/>
      <c r="F6" s="163"/>
      <c r="G6" s="163"/>
      <c r="H6" s="163"/>
      <c r="I6" s="146"/>
      <c r="J6" s="623"/>
      <c r="K6" s="122"/>
      <c r="L6" s="131"/>
      <c r="M6" s="376">
        <v>45198</v>
      </c>
      <c r="N6" s="625">
        <v>13800</v>
      </c>
      <c r="O6" s="626">
        <v>16698</v>
      </c>
      <c r="P6" s="132">
        <v>45554</v>
      </c>
      <c r="Q6" s="627">
        <v>6900</v>
      </c>
      <c r="R6" s="161">
        <v>8349</v>
      </c>
      <c r="S6" s="597">
        <v>45927</v>
      </c>
      <c r="T6" s="152">
        <f>U6*100/121</f>
        <v>29460</v>
      </c>
      <c r="U6" s="131">
        <v>35646.6</v>
      </c>
      <c r="V6" s="362"/>
      <c r="W6" s="137"/>
    </row>
    <row r="7" spans="2:23">
      <c r="B7" s="370"/>
      <c r="C7" s="370"/>
      <c r="D7" s="370"/>
      <c r="E7" s="370"/>
      <c r="F7" s="163"/>
      <c r="G7" s="163"/>
      <c r="H7" s="163"/>
      <c r="I7" s="146"/>
      <c r="J7" s="628"/>
      <c r="K7" s="139"/>
      <c r="L7" s="140"/>
      <c r="M7" s="148">
        <v>45198</v>
      </c>
      <c r="N7" s="625">
        <v>6900</v>
      </c>
      <c r="O7" s="626">
        <v>8349</v>
      </c>
      <c r="P7" s="156">
        <v>45554</v>
      </c>
      <c r="Q7" s="633">
        <v>20700</v>
      </c>
      <c r="R7" s="162">
        <v>25047</v>
      </c>
      <c r="S7" s="598">
        <v>45932</v>
      </c>
      <c r="T7" s="152">
        <f>U7*100/121</f>
        <v>59600</v>
      </c>
      <c r="U7" s="140">
        <v>72116</v>
      </c>
      <c r="V7" s="362"/>
      <c r="W7" s="137"/>
    </row>
    <row r="8" spans="2:23">
      <c r="B8" s="370"/>
      <c r="C8" s="370"/>
      <c r="D8" s="370"/>
      <c r="E8" s="370"/>
      <c r="F8" s="163"/>
      <c r="G8" s="163"/>
      <c r="H8" s="163"/>
      <c r="I8" s="146"/>
      <c r="J8" s="628"/>
      <c r="K8" s="139"/>
      <c r="L8" s="140"/>
      <c r="M8" s="148">
        <v>45198</v>
      </c>
      <c r="N8" s="625">
        <v>6900</v>
      </c>
      <c r="O8" s="626">
        <v>8349</v>
      </c>
      <c r="P8" s="156">
        <v>45554</v>
      </c>
      <c r="Q8" s="633">
        <v>6900</v>
      </c>
      <c r="R8" s="162">
        <v>8349</v>
      </c>
      <c r="S8" s="598">
        <v>45952</v>
      </c>
      <c r="T8" s="152">
        <f>U8*100/121</f>
        <v>22560</v>
      </c>
      <c r="U8" s="140">
        <v>27297.599999999999</v>
      </c>
      <c r="V8" s="362"/>
      <c r="W8" s="137"/>
    </row>
    <row r="9" spans="2:23">
      <c r="B9" s="370"/>
      <c r="C9" s="370"/>
      <c r="D9" s="370"/>
      <c r="E9" s="370"/>
      <c r="F9" s="163"/>
      <c r="G9" s="163"/>
      <c r="H9" s="163"/>
      <c r="I9" s="146"/>
      <c r="J9" s="628"/>
      <c r="K9" s="139"/>
      <c r="L9" s="140"/>
      <c r="M9" s="148">
        <v>45198</v>
      </c>
      <c r="N9" s="625">
        <v>13800</v>
      </c>
      <c r="O9" s="626">
        <v>16698</v>
      </c>
      <c r="P9" s="156">
        <v>45554</v>
      </c>
      <c r="Q9" s="633">
        <v>6900</v>
      </c>
      <c r="R9" s="162">
        <v>8349</v>
      </c>
      <c r="S9" s="598"/>
      <c r="T9" s="154"/>
      <c r="U9" s="140"/>
      <c r="V9" s="362"/>
      <c r="W9" s="137"/>
    </row>
    <row r="10" spans="2:23">
      <c r="B10" s="370"/>
      <c r="C10" s="370"/>
      <c r="D10" s="370"/>
      <c r="E10" s="370"/>
      <c r="F10" s="163"/>
      <c r="G10" s="163"/>
      <c r="H10" s="163"/>
      <c r="I10" s="146"/>
      <c r="J10" s="628"/>
      <c r="K10" s="139"/>
      <c r="L10" s="140"/>
      <c r="M10" s="148">
        <v>45224</v>
      </c>
      <c r="N10" s="625">
        <v>6900</v>
      </c>
      <c r="O10" s="626">
        <v>8349</v>
      </c>
      <c r="P10" s="156">
        <v>45554</v>
      </c>
      <c r="Q10" s="633">
        <v>6900</v>
      </c>
      <c r="R10" s="162">
        <v>8349</v>
      </c>
      <c r="S10" s="598"/>
      <c r="T10" s="154"/>
      <c r="U10" s="140"/>
      <c r="V10" s="362"/>
      <c r="W10" s="137"/>
    </row>
    <row r="11" spans="2:23">
      <c r="B11" s="370"/>
      <c r="C11" s="370"/>
      <c r="D11" s="370"/>
      <c r="E11" s="370"/>
      <c r="F11" s="163"/>
      <c r="G11" s="163"/>
      <c r="H11" s="163"/>
      <c r="I11" s="146"/>
      <c r="J11" s="628"/>
      <c r="K11" s="139"/>
      <c r="L11" s="140"/>
      <c r="M11" s="148">
        <v>45224</v>
      </c>
      <c r="N11" s="625">
        <v>6900</v>
      </c>
      <c r="O11" s="626">
        <v>8349</v>
      </c>
      <c r="P11" s="156">
        <v>45561</v>
      </c>
      <c r="Q11" s="633">
        <v>20700</v>
      </c>
      <c r="R11" s="162">
        <v>25047</v>
      </c>
      <c r="S11" s="598"/>
      <c r="T11" s="154"/>
      <c r="U11" s="140"/>
      <c r="V11" s="362"/>
      <c r="W11" s="137"/>
    </row>
    <row r="12" spans="2:23">
      <c r="B12" s="370"/>
      <c r="C12" s="370"/>
      <c r="D12" s="370"/>
      <c r="E12" s="370"/>
      <c r="F12" s="163"/>
      <c r="G12" s="163"/>
      <c r="H12" s="163"/>
      <c r="I12" s="146"/>
      <c r="J12" s="628"/>
      <c r="K12" s="139"/>
      <c r="L12" s="140"/>
      <c r="M12" s="148">
        <v>45224</v>
      </c>
      <c r="N12" s="625">
        <v>6900</v>
      </c>
      <c r="O12" s="626">
        <v>8349</v>
      </c>
      <c r="P12" s="156">
        <v>45561</v>
      </c>
      <c r="Q12" s="633">
        <v>20700</v>
      </c>
      <c r="R12" s="162">
        <v>25047</v>
      </c>
      <c r="S12" s="598"/>
      <c r="T12" s="154"/>
      <c r="U12" s="140"/>
      <c r="V12" s="362"/>
      <c r="W12" s="137"/>
    </row>
    <row r="13" spans="2:23">
      <c r="B13" s="370"/>
      <c r="C13" s="370"/>
      <c r="D13" s="370"/>
      <c r="E13" s="370"/>
      <c r="F13" s="163"/>
      <c r="G13" s="163"/>
      <c r="H13" s="163"/>
      <c r="I13" s="129"/>
      <c r="J13" s="628"/>
      <c r="K13" s="139"/>
      <c r="L13" s="140"/>
      <c r="M13" s="148">
        <v>45225</v>
      </c>
      <c r="N13" s="625">
        <v>6900</v>
      </c>
      <c r="O13" s="626">
        <v>8349</v>
      </c>
      <c r="P13" s="156">
        <v>45586</v>
      </c>
      <c r="Q13" s="633">
        <f>16698*100/121</f>
        <v>13800</v>
      </c>
      <c r="R13" s="162">
        <v>16698</v>
      </c>
      <c r="S13" s="598"/>
      <c r="T13" s="154"/>
      <c r="U13" s="140"/>
      <c r="V13" s="362"/>
      <c r="W13" s="137"/>
    </row>
    <row r="14" spans="2:23">
      <c r="B14" s="370"/>
      <c r="C14" s="370"/>
      <c r="D14" s="370"/>
      <c r="E14" s="370"/>
      <c r="F14" s="163"/>
      <c r="G14" s="163"/>
      <c r="H14" s="163"/>
      <c r="I14" s="129"/>
      <c r="J14" s="628"/>
      <c r="K14" s="139"/>
      <c r="L14" s="140"/>
      <c r="M14" s="148">
        <v>45239</v>
      </c>
      <c r="N14" s="625">
        <v>379322.59</v>
      </c>
      <c r="O14" s="626">
        <v>458980.34</v>
      </c>
      <c r="P14" s="156"/>
      <c r="Q14" s="633"/>
      <c r="R14" s="162"/>
      <c r="S14" s="598"/>
      <c r="T14" s="154"/>
      <c r="U14" s="140"/>
      <c r="V14" s="362"/>
      <c r="W14" s="137"/>
    </row>
    <row r="15" spans="2:23">
      <c r="I15" s="129"/>
      <c r="J15" s="628"/>
      <c r="K15" s="139"/>
      <c r="L15" s="140"/>
      <c r="M15" s="634"/>
      <c r="N15" s="625"/>
      <c r="O15" s="626"/>
      <c r="P15" s="156"/>
      <c r="Q15" s="633"/>
      <c r="R15" s="162"/>
      <c r="S15" s="598"/>
      <c r="T15" s="154"/>
      <c r="U15" s="140"/>
      <c r="V15" s="362"/>
      <c r="W15" s="137"/>
    </row>
    <row r="16" spans="2:23">
      <c r="I16" s="129"/>
      <c r="J16" s="628"/>
      <c r="K16" s="139"/>
      <c r="L16" s="140"/>
      <c r="M16" s="634"/>
      <c r="N16" s="625"/>
      <c r="O16" s="626"/>
      <c r="P16" s="156"/>
      <c r="Q16" s="633"/>
      <c r="R16" s="162"/>
      <c r="S16" s="598"/>
      <c r="T16" s="154"/>
      <c r="U16" s="155"/>
      <c r="V16" s="362"/>
      <c r="W16" s="137"/>
    </row>
    <row r="17" spans="2:23" ht="13.8" thickBot="1">
      <c r="I17" s="147" t="s">
        <v>4865</v>
      </c>
      <c r="J17" s="635"/>
      <c r="K17" s="355"/>
      <c r="L17" s="357"/>
      <c r="M17" s="359"/>
      <c r="N17" s="636">
        <f>SUM(N5:N16)</f>
        <v>462122.59</v>
      </c>
      <c r="O17" s="637">
        <f>SUM(O5:O16)</f>
        <v>559168.34000000008</v>
      </c>
      <c r="P17" s="360"/>
      <c r="Q17" s="638">
        <f>SUM(Q5:Q16)</f>
        <v>111020</v>
      </c>
      <c r="R17" s="377">
        <f>SUM(R5:R16)</f>
        <v>134334.20000000001</v>
      </c>
      <c r="S17" s="599"/>
      <c r="T17" s="378">
        <v>6900</v>
      </c>
      <c r="U17" s="600">
        <v>8349</v>
      </c>
      <c r="V17" s="364"/>
      <c r="W17" s="149"/>
    </row>
    <row r="18" spans="2:23" ht="13.8" thickBot="1">
      <c r="B18" s="150" t="s">
        <v>6030</v>
      </c>
      <c r="C18" s="331" t="s">
        <v>6329</v>
      </c>
      <c r="D18" s="352">
        <v>60719044</v>
      </c>
      <c r="E18" s="331" t="s">
        <v>6053</v>
      </c>
      <c r="F18" s="369">
        <v>850000</v>
      </c>
      <c r="G18" s="369">
        <v>1028500</v>
      </c>
      <c r="H18" s="119">
        <v>46470</v>
      </c>
      <c r="I18" s="120"/>
      <c r="J18" s="618"/>
      <c r="K18" s="142"/>
      <c r="L18" s="143"/>
      <c r="M18" s="124"/>
      <c r="N18" s="620"/>
      <c r="O18" s="621"/>
      <c r="P18" s="125"/>
      <c r="Q18" s="622"/>
      <c r="R18" s="361"/>
      <c r="S18" s="596"/>
      <c r="T18" s="151"/>
      <c r="U18" s="143"/>
      <c r="V18" s="158">
        <f>SUM(F18-N30-Q30-T30)</f>
        <v>850000</v>
      </c>
      <c r="W18" s="145">
        <f>SUM(G18-O30-R30-U30)</f>
        <v>1028500</v>
      </c>
    </row>
    <row r="19" spans="2:23">
      <c r="B19" s="370"/>
      <c r="C19" s="370"/>
      <c r="D19" s="370"/>
      <c r="E19" s="370"/>
      <c r="F19" s="163"/>
      <c r="G19" s="163"/>
      <c r="H19" s="163"/>
      <c r="I19" s="146"/>
      <c r="J19" s="623"/>
      <c r="K19" s="122"/>
      <c r="L19" s="131"/>
      <c r="M19" s="376"/>
      <c r="N19" s="625"/>
      <c r="O19" s="626"/>
      <c r="P19" s="132"/>
      <c r="Q19" s="627"/>
      <c r="R19" s="161"/>
      <c r="S19" s="597"/>
      <c r="T19" s="152"/>
      <c r="U19" s="131"/>
      <c r="V19" s="362"/>
      <c r="W19" s="137"/>
    </row>
    <row r="20" spans="2:23">
      <c r="B20" s="370"/>
      <c r="C20" s="370"/>
      <c r="D20" s="370"/>
      <c r="E20" s="370"/>
      <c r="F20" s="163"/>
      <c r="G20" s="163"/>
      <c r="H20" s="163"/>
      <c r="I20" s="146"/>
      <c r="J20" s="628"/>
      <c r="K20" s="139"/>
      <c r="L20" s="140"/>
      <c r="M20" s="148"/>
      <c r="N20" s="625"/>
      <c r="O20" s="626"/>
      <c r="P20" s="156"/>
      <c r="Q20" s="633"/>
      <c r="R20" s="162"/>
      <c r="S20" s="598"/>
      <c r="T20" s="152"/>
      <c r="U20" s="140"/>
      <c r="V20" s="362"/>
      <c r="W20" s="137"/>
    </row>
    <row r="21" spans="2:23">
      <c r="B21" s="370"/>
      <c r="C21" s="370"/>
      <c r="D21" s="370"/>
      <c r="E21" s="370"/>
      <c r="F21" s="163"/>
      <c r="G21" s="163"/>
      <c r="H21" s="163"/>
      <c r="I21" s="146"/>
      <c r="J21" s="628"/>
      <c r="K21" s="139"/>
      <c r="L21" s="140"/>
      <c r="M21" s="148"/>
      <c r="N21" s="625"/>
      <c r="O21" s="626"/>
      <c r="P21" s="156"/>
      <c r="Q21" s="633"/>
      <c r="R21" s="162"/>
      <c r="S21" s="598"/>
      <c r="T21" s="152"/>
      <c r="U21" s="140"/>
      <c r="V21" s="362"/>
      <c r="W21" s="137"/>
    </row>
    <row r="22" spans="2:23">
      <c r="B22" s="370"/>
      <c r="C22" s="370"/>
      <c r="D22" s="370"/>
      <c r="E22" s="370"/>
      <c r="F22" s="163"/>
      <c r="G22" s="163"/>
      <c r="H22" s="163"/>
      <c r="I22" s="146"/>
      <c r="J22" s="628"/>
      <c r="K22" s="139"/>
      <c r="L22" s="140"/>
      <c r="M22" s="148"/>
      <c r="N22" s="625"/>
      <c r="O22" s="626"/>
      <c r="P22" s="156"/>
      <c r="Q22" s="633"/>
      <c r="R22" s="162"/>
      <c r="S22" s="598"/>
      <c r="T22" s="154"/>
      <c r="U22" s="140"/>
      <c r="V22" s="362"/>
      <c r="W22" s="137"/>
    </row>
    <row r="23" spans="2:23">
      <c r="B23" s="370"/>
      <c r="C23" s="370"/>
      <c r="D23" s="370"/>
      <c r="E23" s="370"/>
      <c r="F23" s="163"/>
      <c r="G23" s="163"/>
      <c r="H23" s="163"/>
      <c r="I23" s="146"/>
      <c r="J23" s="628"/>
      <c r="K23" s="139"/>
      <c r="L23" s="140"/>
      <c r="M23" s="148"/>
      <c r="N23" s="625"/>
      <c r="O23" s="626"/>
      <c r="P23" s="156"/>
      <c r="Q23" s="633"/>
      <c r="R23" s="162"/>
      <c r="S23" s="598"/>
      <c r="T23" s="154"/>
      <c r="U23" s="140"/>
      <c r="V23" s="362"/>
      <c r="W23" s="137"/>
    </row>
    <row r="24" spans="2:23">
      <c r="B24" s="370"/>
      <c r="C24" s="370"/>
      <c r="D24" s="370"/>
      <c r="E24" s="370"/>
      <c r="F24" s="163"/>
      <c r="G24" s="163"/>
      <c r="H24" s="163"/>
      <c r="I24" s="146"/>
      <c r="J24" s="628"/>
      <c r="K24" s="139"/>
      <c r="L24" s="140"/>
      <c r="M24" s="148"/>
      <c r="N24" s="625"/>
      <c r="O24" s="626"/>
      <c r="P24" s="156"/>
      <c r="Q24" s="633"/>
      <c r="R24" s="162"/>
      <c r="S24" s="598"/>
      <c r="T24" s="154"/>
      <c r="U24" s="140"/>
      <c r="V24" s="362"/>
      <c r="W24" s="137"/>
    </row>
    <row r="25" spans="2:23">
      <c r="B25" s="370"/>
      <c r="C25" s="370"/>
      <c r="D25" s="370"/>
      <c r="E25" s="370"/>
      <c r="F25" s="163"/>
      <c r="G25" s="163"/>
      <c r="H25" s="163"/>
      <c r="I25" s="146"/>
      <c r="J25" s="628"/>
      <c r="K25" s="139"/>
      <c r="L25" s="140"/>
      <c r="M25" s="148"/>
      <c r="N25" s="625"/>
      <c r="O25" s="626"/>
      <c r="P25" s="156"/>
      <c r="Q25" s="633"/>
      <c r="R25" s="162"/>
      <c r="S25" s="598"/>
      <c r="T25" s="154"/>
      <c r="U25" s="140"/>
      <c r="V25" s="362"/>
      <c r="W25" s="137"/>
    </row>
    <row r="26" spans="2:23">
      <c r="B26" s="370"/>
      <c r="C26" s="370"/>
      <c r="D26" s="370"/>
      <c r="E26" s="370"/>
      <c r="F26" s="163"/>
      <c r="G26" s="163"/>
      <c r="H26" s="163"/>
      <c r="I26" s="129"/>
      <c r="J26" s="628"/>
      <c r="K26" s="139"/>
      <c r="L26" s="140"/>
      <c r="M26" s="148"/>
      <c r="N26" s="625"/>
      <c r="O26" s="626"/>
      <c r="P26" s="156"/>
      <c r="Q26" s="633"/>
      <c r="R26" s="162"/>
      <c r="S26" s="598"/>
      <c r="T26" s="154"/>
      <c r="U26" s="140"/>
      <c r="V26" s="362"/>
      <c r="W26" s="137"/>
    </row>
    <row r="27" spans="2:23">
      <c r="B27" s="370"/>
      <c r="C27" s="370"/>
      <c r="D27" s="370"/>
      <c r="E27" s="370"/>
      <c r="F27" s="163"/>
      <c r="G27" s="163"/>
      <c r="H27" s="163"/>
      <c r="I27" s="129"/>
      <c r="J27" s="628"/>
      <c r="K27" s="139"/>
      <c r="L27" s="140"/>
      <c r="M27" s="148"/>
      <c r="N27" s="625"/>
      <c r="O27" s="626"/>
      <c r="P27" s="156"/>
      <c r="Q27" s="633"/>
      <c r="R27" s="162"/>
      <c r="S27" s="598"/>
      <c r="T27" s="154"/>
      <c r="U27" s="140"/>
      <c r="V27" s="362"/>
      <c r="W27" s="137"/>
    </row>
    <row r="28" spans="2:23">
      <c r="I28" s="129"/>
      <c r="J28" s="628"/>
      <c r="K28" s="139"/>
      <c r="L28" s="140"/>
      <c r="M28" s="634"/>
      <c r="N28" s="625"/>
      <c r="O28" s="626"/>
      <c r="P28" s="156"/>
      <c r="Q28" s="633"/>
      <c r="R28" s="162"/>
      <c r="S28" s="598"/>
      <c r="T28" s="154"/>
      <c r="U28" s="140"/>
      <c r="V28" s="362"/>
      <c r="W28" s="137"/>
    </row>
    <row r="29" spans="2:23">
      <c r="I29" s="129"/>
      <c r="J29" s="628"/>
      <c r="K29" s="139"/>
      <c r="L29" s="140"/>
      <c r="M29" s="634"/>
      <c r="N29" s="625"/>
      <c r="O29" s="626"/>
      <c r="P29" s="156"/>
      <c r="Q29" s="633"/>
      <c r="R29" s="162"/>
      <c r="S29" s="598"/>
      <c r="T29" s="154"/>
      <c r="U29" s="155"/>
      <c r="V29" s="362"/>
      <c r="W29" s="137"/>
    </row>
    <row r="30" spans="2:23" ht="13.8" thickBot="1">
      <c r="I30" s="147" t="s">
        <v>4865</v>
      </c>
      <c r="J30" s="635"/>
      <c r="K30" s="355"/>
      <c r="L30" s="357"/>
      <c r="M30" s="359"/>
      <c r="N30" s="636">
        <f>SUM(N18:N29)</f>
        <v>0</v>
      </c>
      <c r="O30" s="637">
        <f>SUM(O18:O29)</f>
        <v>0</v>
      </c>
      <c r="P30" s="360"/>
      <c r="Q30" s="638">
        <f>SUM(Q18:Q29)</f>
        <v>0</v>
      </c>
      <c r="R30" s="377">
        <f>SUM(R18:R29)</f>
        <v>0</v>
      </c>
      <c r="S30" s="599"/>
      <c r="T30" s="378">
        <v>0</v>
      </c>
      <c r="U30" s="600">
        <v>0</v>
      </c>
      <c r="V30" s="364"/>
      <c r="W30" s="149"/>
    </row>
    <row r="31" spans="2:23" ht="13.8" thickBot="1">
      <c r="B31" s="150" t="s">
        <v>6031</v>
      </c>
      <c r="C31" s="331" t="s">
        <v>6328</v>
      </c>
      <c r="D31" s="352">
        <v>60719044</v>
      </c>
      <c r="E31" s="331" t="s">
        <v>6053</v>
      </c>
      <c r="F31" s="369">
        <v>500000</v>
      </c>
      <c r="G31" s="369">
        <v>605000</v>
      </c>
      <c r="H31" s="119">
        <v>46470</v>
      </c>
      <c r="I31" s="120"/>
      <c r="J31" s="618"/>
      <c r="K31" s="142"/>
      <c r="L31" s="143"/>
      <c r="M31" s="124"/>
      <c r="N31" s="620"/>
      <c r="O31" s="621"/>
      <c r="P31" s="125"/>
      <c r="Q31" s="622"/>
      <c r="R31" s="361"/>
      <c r="S31" s="596"/>
      <c r="T31" s="151"/>
      <c r="U31" s="143"/>
      <c r="V31" s="158">
        <f>SUM(F31-N43-Q43-T43)</f>
        <v>500000</v>
      </c>
      <c r="W31" s="145">
        <f>SUM(G31-O43-R43-U43)</f>
        <v>605000</v>
      </c>
    </row>
    <row r="32" spans="2:23">
      <c r="B32" s="370"/>
      <c r="C32" s="370"/>
      <c r="D32" s="370"/>
      <c r="E32" s="370"/>
      <c r="F32" s="163"/>
      <c r="G32" s="163"/>
      <c r="H32" s="163"/>
      <c r="I32" s="146"/>
      <c r="J32" s="623"/>
      <c r="K32" s="122"/>
      <c r="L32" s="131"/>
      <c r="M32" s="376"/>
      <c r="N32" s="625"/>
      <c r="O32" s="626"/>
      <c r="P32" s="132"/>
      <c r="Q32" s="627"/>
      <c r="R32" s="161"/>
      <c r="S32" s="597"/>
      <c r="T32" s="152"/>
      <c r="U32" s="131"/>
      <c r="V32" s="362"/>
      <c r="W32" s="137"/>
    </row>
    <row r="33" spans="2:23">
      <c r="B33" s="370"/>
      <c r="C33" s="370"/>
      <c r="D33" s="370"/>
      <c r="E33" s="370"/>
      <c r="F33" s="163"/>
      <c r="G33" s="163"/>
      <c r="H33" s="163"/>
      <c r="I33" s="146"/>
      <c r="J33" s="628"/>
      <c r="K33" s="139"/>
      <c r="L33" s="140"/>
      <c r="M33" s="148"/>
      <c r="N33" s="625"/>
      <c r="O33" s="626"/>
      <c r="P33" s="156"/>
      <c r="Q33" s="633"/>
      <c r="R33" s="162"/>
      <c r="S33" s="598"/>
      <c r="T33" s="152"/>
      <c r="U33" s="140"/>
      <c r="V33" s="362"/>
      <c r="W33" s="137"/>
    </row>
    <row r="34" spans="2:23">
      <c r="B34" s="370"/>
      <c r="C34" s="370"/>
      <c r="D34" s="370"/>
      <c r="E34" s="370"/>
      <c r="F34" s="163"/>
      <c r="G34" s="163"/>
      <c r="H34" s="163"/>
      <c r="I34" s="146"/>
      <c r="J34" s="628"/>
      <c r="K34" s="139"/>
      <c r="L34" s="140"/>
      <c r="M34" s="148"/>
      <c r="N34" s="625"/>
      <c r="O34" s="626"/>
      <c r="P34" s="156"/>
      <c r="Q34" s="633"/>
      <c r="R34" s="162"/>
      <c r="S34" s="598"/>
      <c r="T34" s="152"/>
      <c r="U34" s="140"/>
      <c r="V34" s="362"/>
      <c r="W34" s="137"/>
    </row>
    <row r="35" spans="2:23">
      <c r="B35" s="370"/>
      <c r="C35" s="370"/>
      <c r="D35" s="370"/>
      <c r="E35" s="370"/>
      <c r="F35" s="163"/>
      <c r="G35" s="163"/>
      <c r="H35" s="163"/>
      <c r="I35" s="146"/>
      <c r="J35" s="628"/>
      <c r="K35" s="139"/>
      <c r="L35" s="140"/>
      <c r="M35" s="148"/>
      <c r="N35" s="625"/>
      <c r="O35" s="626"/>
      <c r="P35" s="156"/>
      <c r="Q35" s="633"/>
      <c r="R35" s="162"/>
      <c r="S35" s="598"/>
      <c r="T35" s="154"/>
      <c r="U35" s="140"/>
      <c r="V35" s="362"/>
      <c r="W35" s="137"/>
    </row>
    <row r="36" spans="2:23">
      <c r="B36" s="370"/>
      <c r="C36" s="370"/>
      <c r="D36" s="370"/>
      <c r="E36" s="370"/>
      <c r="F36" s="163"/>
      <c r="G36" s="163"/>
      <c r="H36" s="163"/>
      <c r="I36" s="146"/>
      <c r="J36" s="628"/>
      <c r="K36" s="139"/>
      <c r="L36" s="140"/>
      <c r="M36" s="148"/>
      <c r="N36" s="625"/>
      <c r="O36" s="626"/>
      <c r="P36" s="156"/>
      <c r="Q36" s="633"/>
      <c r="R36" s="162"/>
      <c r="S36" s="598"/>
      <c r="T36" s="154"/>
      <c r="U36" s="140"/>
      <c r="V36" s="362"/>
      <c r="W36" s="137"/>
    </row>
    <row r="37" spans="2:23">
      <c r="B37" s="370"/>
      <c r="C37" s="370"/>
      <c r="D37" s="370"/>
      <c r="E37" s="370"/>
      <c r="F37" s="163"/>
      <c r="G37" s="163"/>
      <c r="H37" s="163"/>
      <c r="I37" s="146"/>
      <c r="J37" s="628"/>
      <c r="K37" s="139"/>
      <c r="L37" s="140"/>
      <c r="M37" s="148"/>
      <c r="N37" s="625"/>
      <c r="O37" s="626"/>
      <c r="P37" s="156"/>
      <c r="Q37" s="633"/>
      <c r="R37" s="162"/>
      <c r="S37" s="598"/>
      <c r="T37" s="154"/>
      <c r="U37" s="140"/>
      <c r="V37" s="362"/>
      <c r="W37" s="137"/>
    </row>
    <row r="38" spans="2:23">
      <c r="B38" s="370"/>
      <c r="C38" s="370"/>
      <c r="D38" s="370"/>
      <c r="E38" s="370"/>
      <c r="F38" s="163"/>
      <c r="G38" s="163"/>
      <c r="H38" s="163"/>
      <c r="I38" s="146"/>
      <c r="J38" s="628"/>
      <c r="K38" s="139"/>
      <c r="L38" s="140"/>
      <c r="M38" s="148"/>
      <c r="N38" s="625"/>
      <c r="O38" s="626"/>
      <c r="P38" s="156"/>
      <c r="Q38" s="633"/>
      <c r="R38" s="162"/>
      <c r="S38" s="598"/>
      <c r="T38" s="154"/>
      <c r="U38" s="140"/>
      <c r="V38" s="362"/>
      <c r="W38" s="137"/>
    </row>
    <row r="39" spans="2:23">
      <c r="B39" s="370"/>
      <c r="C39" s="370"/>
      <c r="D39" s="370"/>
      <c r="E39" s="370"/>
      <c r="F39" s="163"/>
      <c r="G39" s="163"/>
      <c r="H39" s="163"/>
      <c r="I39" s="129"/>
      <c r="J39" s="628"/>
      <c r="K39" s="139"/>
      <c r="L39" s="140"/>
      <c r="M39" s="148"/>
      <c r="N39" s="625"/>
      <c r="O39" s="626"/>
      <c r="P39" s="156"/>
      <c r="Q39" s="633"/>
      <c r="R39" s="162"/>
      <c r="S39" s="598"/>
      <c r="T39" s="154"/>
      <c r="U39" s="140"/>
      <c r="V39" s="362"/>
      <c r="W39" s="137"/>
    </row>
    <row r="40" spans="2:23">
      <c r="B40" s="370"/>
      <c r="C40" s="370"/>
      <c r="D40" s="370"/>
      <c r="E40" s="370"/>
      <c r="F40" s="163"/>
      <c r="G40" s="163"/>
      <c r="H40" s="163"/>
      <c r="I40" s="129"/>
      <c r="J40" s="628"/>
      <c r="K40" s="139"/>
      <c r="L40" s="140"/>
      <c r="M40" s="148"/>
      <c r="N40" s="625"/>
      <c r="O40" s="626"/>
      <c r="P40" s="156"/>
      <c r="Q40" s="633"/>
      <c r="R40" s="162"/>
      <c r="S40" s="598"/>
      <c r="T40" s="154"/>
      <c r="U40" s="140"/>
      <c r="V40" s="362"/>
      <c r="W40" s="137"/>
    </row>
    <row r="41" spans="2:23">
      <c r="I41" s="129"/>
      <c r="J41" s="628"/>
      <c r="K41" s="139"/>
      <c r="L41" s="140"/>
      <c r="M41" s="634"/>
      <c r="N41" s="625"/>
      <c r="O41" s="626"/>
      <c r="P41" s="156"/>
      <c r="Q41" s="633"/>
      <c r="R41" s="162"/>
      <c r="S41" s="598"/>
      <c r="T41" s="154"/>
      <c r="U41" s="140"/>
      <c r="V41" s="362"/>
      <c r="W41" s="137"/>
    </row>
    <row r="42" spans="2:23">
      <c r="I42" s="129"/>
      <c r="J42" s="628"/>
      <c r="K42" s="139"/>
      <c r="L42" s="140"/>
      <c r="M42" s="634"/>
      <c r="N42" s="625"/>
      <c r="O42" s="626"/>
      <c r="P42" s="156"/>
      <c r="Q42" s="633"/>
      <c r="R42" s="162"/>
      <c r="S42" s="598"/>
      <c r="T42" s="154"/>
      <c r="U42" s="155"/>
      <c r="V42" s="362"/>
      <c r="W42" s="137"/>
    </row>
    <row r="43" spans="2:23" ht="13.8" thickBot="1">
      <c r="I43" s="147" t="s">
        <v>4865</v>
      </c>
      <c r="J43" s="635"/>
      <c r="K43" s="355"/>
      <c r="L43" s="357"/>
      <c r="M43" s="359"/>
      <c r="N43" s="636">
        <f>SUM(N31:N42)</f>
        <v>0</v>
      </c>
      <c r="O43" s="637">
        <f>SUM(O31:O42)</f>
        <v>0</v>
      </c>
      <c r="P43" s="360"/>
      <c r="Q43" s="638">
        <f>SUM(Q31:Q42)</f>
        <v>0</v>
      </c>
      <c r="R43" s="377">
        <f>SUM(R31:R42)</f>
        <v>0</v>
      </c>
      <c r="S43" s="599"/>
      <c r="T43" s="378">
        <v>0</v>
      </c>
      <c r="U43" s="600">
        <v>0</v>
      </c>
      <c r="V43" s="364"/>
      <c r="W43" s="149"/>
    </row>
    <row r="44" spans="2:23" ht="13.8" thickBot="1">
      <c r="B44" s="150" t="s">
        <v>4699</v>
      </c>
      <c r="C44" s="331" t="s">
        <v>4890</v>
      </c>
      <c r="D44" s="352">
        <v>48586285</v>
      </c>
      <c r="E44" s="331" t="s">
        <v>4701</v>
      </c>
      <c r="F44" s="369">
        <v>1500000</v>
      </c>
      <c r="G44" s="369">
        <v>1815000</v>
      </c>
      <c r="H44" s="119">
        <v>46252</v>
      </c>
      <c r="I44" s="120"/>
      <c r="J44" s="618"/>
      <c r="K44" s="142"/>
      <c r="L44" s="143"/>
      <c r="M44" s="619"/>
      <c r="N44" s="620"/>
      <c r="O44" s="621"/>
      <c r="P44" s="125">
        <v>45597</v>
      </c>
      <c r="Q44" s="639">
        <f>80311.89*100/121</f>
        <v>66373.462809917357</v>
      </c>
      <c r="R44" s="361">
        <v>80311.89</v>
      </c>
      <c r="S44" s="596">
        <v>45737</v>
      </c>
      <c r="T44" s="601">
        <f>93248*100/121</f>
        <v>77064.462809917357</v>
      </c>
      <c r="U44" s="143">
        <v>93248</v>
      </c>
      <c r="V44" s="158">
        <f>SUM(F44-Q62-T62)</f>
        <v>1001598.1983471075</v>
      </c>
      <c r="W44" s="145">
        <f>SUM(G44-R62-U62)</f>
        <v>1211934.72</v>
      </c>
    </row>
    <row r="45" spans="2:23">
      <c r="B45" s="370"/>
      <c r="C45" s="370"/>
      <c r="D45" s="370"/>
      <c r="E45" s="370"/>
      <c r="F45" s="163"/>
      <c r="G45" s="163"/>
      <c r="H45" s="163"/>
      <c r="I45" s="146"/>
      <c r="J45" s="623"/>
      <c r="K45" s="122"/>
      <c r="L45" s="131"/>
      <c r="M45" s="624"/>
      <c r="N45" s="640"/>
      <c r="O45" s="626"/>
      <c r="P45" s="132">
        <v>45624</v>
      </c>
      <c r="Q45" s="627">
        <v>490</v>
      </c>
      <c r="R45" s="161">
        <v>592</v>
      </c>
      <c r="S45" s="597">
        <v>45737</v>
      </c>
      <c r="T45" s="152">
        <f>2147.75*100/121</f>
        <v>1775</v>
      </c>
      <c r="U45" s="131">
        <v>2147.75</v>
      </c>
      <c r="V45" s="365"/>
      <c r="W45" s="134"/>
    </row>
    <row r="46" spans="2:23">
      <c r="I46" s="129"/>
      <c r="J46" s="628"/>
      <c r="K46" s="139"/>
      <c r="L46" s="140"/>
      <c r="M46" s="634"/>
      <c r="N46" s="629"/>
      <c r="O46" s="630"/>
      <c r="P46" s="156">
        <v>45632</v>
      </c>
      <c r="Q46" s="633">
        <f>9073*100/121</f>
        <v>7498.3471074380168</v>
      </c>
      <c r="R46" s="162">
        <f>1512.5+7560.5</f>
        <v>9073</v>
      </c>
      <c r="S46" s="598">
        <v>45741</v>
      </c>
      <c r="T46" s="154">
        <f>8046.5*100/121</f>
        <v>6650</v>
      </c>
      <c r="U46" s="140">
        <v>8046.5</v>
      </c>
      <c r="V46" s="362"/>
      <c r="W46" s="137"/>
    </row>
    <row r="47" spans="2:23">
      <c r="I47" s="129"/>
      <c r="J47" s="628"/>
      <c r="K47" s="139"/>
      <c r="L47" s="140"/>
      <c r="M47" s="634"/>
      <c r="N47" s="629"/>
      <c r="O47" s="630"/>
      <c r="P47" s="156">
        <v>45646</v>
      </c>
      <c r="Q47" s="633">
        <f>99416.32*100/121</f>
        <v>82162.247933884297</v>
      </c>
      <c r="R47" s="162">
        <v>99416.320000000007</v>
      </c>
      <c r="S47" s="598">
        <v>45743</v>
      </c>
      <c r="T47" s="154">
        <f>1911.8*100/121</f>
        <v>1580</v>
      </c>
      <c r="U47" s="140">
        <v>1911.8</v>
      </c>
      <c r="V47" s="362"/>
      <c r="W47" s="137"/>
    </row>
    <row r="48" spans="2:23">
      <c r="I48" s="129"/>
      <c r="J48" s="628"/>
      <c r="K48" s="139"/>
      <c r="L48" s="140"/>
      <c r="M48" s="634"/>
      <c r="N48" s="629"/>
      <c r="O48" s="630"/>
      <c r="P48" s="156">
        <v>45649</v>
      </c>
      <c r="Q48" s="633">
        <f>8814.85*100/121</f>
        <v>7285</v>
      </c>
      <c r="R48" s="162">
        <v>8814.85</v>
      </c>
      <c r="S48" s="598">
        <v>45757</v>
      </c>
      <c r="T48" s="154">
        <f>592.9*100/121</f>
        <v>490</v>
      </c>
      <c r="U48" s="140">
        <v>592.9</v>
      </c>
      <c r="V48" s="362"/>
      <c r="W48" s="137"/>
    </row>
    <row r="49" spans="2:23">
      <c r="I49" s="129"/>
      <c r="J49" s="628"/>
      <c r="K49" s="139"/>
      <c r="L49" s="140"/>
      <c r="M49" s="634"/>
      <c r="N49" s="629"/>
      <c r="O49" s="630"/>
      <c r="P49" s="156"/>
      <c r="Q49" s="633"/>
      <c r="R49" s="162"/>
      <c r="S49" s="598">
        <v>45792</v>
      </c>
      <c r="T49" s="154">
        <f>19432.6*100/121</f>
        <v>16059.999999999998</v>
      </c>
      <c r="U49" s="140">
        <v>19432.599999999999</v>
      </c>
      <c r="V49" s="362"/>
      <c r="W49" s="137"/>
    </row>
    <row r="50" spans="2:23">
      <c r="I50" s="129"/>
      <c r="J50" s="628"/>
      <c r="K50" s="139"/>
      <c r="L50" s="140"/>
      <c r="M50" s="634"/>
      <c r="N50" s="629"/>
      <c r="O50" s="630"/>
      <c r="P50" s="156"/>
      <c r="Q50" s="633"/>
      <c r="R50" s="162"/>
      <c r="S50" s="598">
        <v>45793</v>
      </c>
      <c r="T50" s="154">
        <f>8094.9*100/121</f>
        <v>6690</v>
      </c>
      <c r="U50" s="140">
        <v>8094.9</v>
      </c>
      <c r="V50" s="362"/>
      <c r="W50" s="137"/>
    </row>
    <row r="51" spans="2:23">
      <c r="I51" s="129"/>
      <c r="J51" s="628"/>
      <c r="K51" s="139"/>
      <c r="L51" s="140"/>
      <c r="M51" s="634"/>
      <c r="N51" s="629"/>
      <c r="O51" s="630"/>
      <c r="P51" s="156"/>
      <c r="Q51" s="633"/>
      <c r="R51" s="162"/>
      <c r="S51" s="598">
        <v>45852</v>
      </c>
      <c r="T51" s="154">
        <f>U51*100/121</f>
        <v>65174.462809917364</v>
      </c>
      <c r="U51" s="140">
        <v>78861.100000000006</v>
      </c>
      <c r="V51" s="362"/>
      <c r="W51" s="137"/>
    </row>
    <row r="52" spans="2:23">
      <c r="I52" s="129"/>
      <c r="J52" s="628"/>
      <c r="K52" s="139"/>
      <c r="L52" s="140"/>
      <c r="M52" s="634"/>
      <c r="N52" s="629"/>
      <c r="O52" s="630"/>
      <c r="P52" s="156"/>
      <c r="Q52" s="633"/>
      <c r="R52" s="162"/>
      <c r="S52" s="598">
        <v>45897</v>
      </c>
      <c r="T52" s="154">
        <f>U52*100/121</f>
        <v>45919.462809917357</v>
      </c>
      <c r="U52" s="140">
        <v>55562.55</v>
      </c>
      <c r="V52" s="362"/>
      <c r="W52" s="137"/>
    </row>
    <row r="53" spans="2:23">
      <c r="I53" s="129"/>
      <c r="J53" s="628"/>
      <c r="K53" s="139"/>
      <c r="L53" s="140"/>
      <c r="M53" s="634"/>
      <c r="N53" s="629"/>
      <c r="O53" s="630"/>
      <c r="P53" s="156"/>
      <c r="Q53" s="633"/>
      <c r="R53" s="162"/>
      <c r="S53" s="598">
        <v>45910</v>
      </c>
      <c r="T53" s="154">
        <f>U53*100/121</f>
        <v>3160</v>
      </c>
      <c r="U53" s="140">
        <v>3823.6</v>
      </c>
      <c r="V53" s="362"/>
      <c r="W53" s="137"/>
    </row>
    <row r="54" spans="2:23">
      <c r="I54" s="129"/>
      <c r="J54" s="628"/>
      <c r="K54" s="139"/>
      <c r="L54" s="140"/>
      <c r="M54" s="634"/>
      <c r="N54" s="629"/>
      <c r="O54" s="630"/>
      <c r="P54" s="156"/>
      <c r="Q54" s="633"/>
      <c r="R54" s="162"/>
      <c r="S54" s="598">
        <v>45925</v>
      </c>
      <c r="T54" s="154">
        <f>U54*100/121</f>
        <v>6690</v>
      </c>
      <c r="U54" s="140">
        <v>8094.9</v>
      </c>
      <c r="V54" s="362"/>
      <c r="W54" s="137"/>
    </row>
    <row r="55" spans="2:23">
      <c r="I55" s="129"/>
      <c r="J55" s="628"/>
      <c r="K55" s="139"/>
      <c r="L55" s="140"/>
      <c r="M55" s="634"/>
      <c r="N55" s="629"/>
      <c r="O55" s="630"/>
      <c r="P55" s="156"/>
      <c r="Q55" s="633"/>
      <c r="R55" s="162"/>
      <c r="S55" s="598">
        <v>45933</v>
      </c>
      <c r="T55" s="154">
        <f>U55*100/121</f>
        <v>6650</v>
      </c>
      <c r="U55" s="140">
        <v>8046.5</v>
      </c>
      <c r="V55" s="362"/>
      <c r="W55" s="137"/>
    </row>
    <row r="56" spans="2:23">
      <c r="I56" s="129"/>
      <c r="J56" s="628"/>
      <c r="K56" s="139"/>
      <c r="L56" s="140"/>
      <c r="M56" s="634"/>
      <c r="N56" s="629"/>
      <c r="O56" s="630"/>
      <c r="P56" s="156"/>
      <c r="Q56" s="633"/>
      <c r="R56" s="162"/>
      <c r="S56" s="598">
        <v>45945</v>
      </c>
      <c r="T56" s="154">
        <f t="shared" ref="T56:T58" si="0">U56*100/121</f>
        <v>47205.67768595041</v>
      </c>
      <c r="U56" s="140">
        <v>57118.87</v>
      </c>
      <c r="V56" s="362"/>
      <c r="W56" s="137"/>
    </row>
    <row r="57" spans="2:23">
      <c r="I57" s="129"/>
      <c r="J57" s="628"/>
      <c r="K57" s="139"/>
      <c r="L57" s="140"/>
      <c r="M57" s="634"/>
      <c r="N57" s="629"/>
      <c r="O57" s="630"/>
      <c r="P57" s="156"/>
      <c r="Q57" s="633"/>
      <c r="R57" s="162"/>
      <c r="S57" s="598">
        <v>45950</v>
      </c>
      <c r="T57" s="154">
        <f t="shared" si="0"/>
        <v>245</v>
      </c>
      <c r="U57" s="140">
        <v>296.45</v>
      </c>
      <c r="V57" s="362"/>
      <c r="W57" s="137"/>
    </row>
    <row r="58" spans="2:23">
      <c r="I58" s="129"/>
      <c r="J58" s="628"/>
      <c r="K58" s="139"/>
      <c r="L58" s="140"/>
      <c r="M58" s="634"/>
      <c r="N58" s="629"/>
      <c r="O58" s="630"/>
      <c r="P58" s="156"/>
      <c r="Q58" s="633"/>
      <c r="R58" s="162"/>
      <c r="S58" s="598">
        <v>46019</v>
      </c>
      <c r="T58" s="154">
        <f t="shared" si="0"/>
        <v>49238.67768595041</v>
      </c>
      <c r="U58" s="140">
        <v>59578.8</v>
      </c>
      <c r="V58" s="362"/>
      <c r="W58" s="137"/>
    </row>
    <row r="59" spans="2:23">
      <c r="I59" s="129"/>
      <c r="J59" s="628"/>
      <c r="K59" s="139"/>
      <c r="L59" s="140"/>
      <c r="M59" s="634"/>
      <c r="N59" s="629"/>
      <c r="O59" s="630"/>
      <c r="P59" s="156"/>
      <c r="Q59" s="633"/>
      <c r="R59" s="162"/>
      <c r="S59" s="598"/>
      <c r="T59" s="154"/>
      <c r="U59" s="140"/>
      <c r="V59" s="362"/>
      <c r="W59" s="137"/>
    </row>
    <row r="60" spans="2:23">
      <c r="I60" s="129"/>
      <c r="J60" s="628"/>
      <c r="K60" s="139"/>
      <c r="L60" s="140"/>
      <c r="M60" s="634"/>
      <c r="N60" s="629"/>
      <c r="O60" s="630"/>
      <c r="P60" s="156"/>
      <c r="Q60" s="633"/>
      <c r="R60" s="162"/>
      <c r="S60" s="598"/>
      <c r="T60" s="154"/>
      <c r="U60" s="140"/>
      <c r="V60" s="362"/>
      <c r="W60" s="137"/>
    </row>
    <row r="61" spans="2:23">
      <c r="I61" s="129"/>
      <c r="J61" s="628"/>
      <c r="K61" s="139"/>
      <c r="L61" s="140"/>
      <c r="M61" s="634"/>
      <c r="N61" s="629"/>
      <c r="O61" s="630"/>
      <c r="P61" s="156"/>
      <c r="Q61" s="633"/>
      <c r="R61" s="162"/>
      <c r="S61" s="598"/>
      <c r="T61" s="154"/>
      <c r="U61" s="140"/>
      <c r="V61" s="362"/>
      <c r="W61" s="137"/>
    </row>
    <row r="62" spans="2:23" ht="13.8" thickBot="1">
      <c r="I62" s="157" t="s">
        <v>4865</v>
      </c>
      <c r="J62" s="635"/>
      <c r="K62" s="355"/>
      <c r="L62" s="357"/>
      <c r="M62" s="358"/>
      <c r="N62" s="641"/>
      <c r="O62" s="642"/>
      <c r="P62" s="360"/>
      <c r="Q62" s="638">
        <f>SUM(Q44:Q61)</f>
        <v>163809.05785123969</v>
      </c>
      <c r="R62" s="377">
        <f>SUM(R44:R61)</f>
        <v>198208.06000000003</v>
      </c>
      <c r="S62" s="599"/>
      <c r="T62" s="378">
        <f>SUM(T44:T61)</f>
        <v>334592.74380165292</v>
      </c>
      <c r="U62" s="375">
        <f>SUM(U44:U61)</f>
        <v>404857.22</v>
      </c>
      <c r="V62" s="367"/>
      <c r="W62" s="137"/>
    </row>
    <row r="63" spans="2:23" ht="13.8" thickBot="1">
      <c r="B63" s="150" t="s">
        <v>528</v>
      </c>
      <c r="C63" s="331" t="s">
        <v>4880</v>
      </c>
      <c r="D63" s="352">
        <v>27094987</v>
      </c>
      <c r="E63" s="331" t="s">
        <v>4879</v>
      </c>
      <c r="F63" s="369">
        <v>750000</v>
      </c>
      <c r="G63" s="369">
        <v>907500</v>
      </c>
      <c r="H63" s="119">
        <v>46299</v>
      </c>
      <c r="I63" s="120"/>
      <c r="J63" s="121">
        <v>44881</v>
      </c>
      <c r="K63" s="142">
        <v>56973.599999999999</v>
      </c>
      <c r="L63" s="143">
        <v>68938.06</v>
      </c>
      <c r="M63" s="124">
        <v>45009</v>
      </c>
      <c r="N63" s="620">
        <v>52225.8</v>
      </c>
      <c r="O63" s="621">
        <v>63193.22</v>
      </c>
      <c r="P63" s="125">
        <v>45336</v>
      </c>
      <c r="Q63" s="622">
        <v>52225.8</v>
      </c>
      <c r="R63" s="160">
        <v>58492.9</v>
      </c>
      <c r="S63" s="602">
        <v>45713</v>
      </c>
      <c r="T63" s="151">
        <v>30052.799999999999</v>
      </c>
      <c r="U63" s="603">
        <v>33659.14</v>
      </c>
      <c r="V63" s="144">
        <f>SUM(F63-K69-N69-Q69-T69)</f>
        <v>332307.8330578513</v>
      </c>
      <c r="W63" s="159">
        <f>SUM(G63-L69-O69-R69-U69)</f>
        <v>420429.13999999996</v>
      </c>
    </row>
    <row r="64" spans="2:23">
      <c r="B64" s="135"/>
      <c r="C64" s="328"/>
      <c r="D64" s="326"/>
      <c r="E64" s="328"/>
      <c r="F64" s="127"/>
      <c r="G64" s="127"/>
      <c r="H64" s="128"/>
      <c r="I64" s="146"/>
      <c r="J64" s="371"/>
      <c r="K64" s="372"/>
      <c r="L64" s="123"/>
      <c r="M64" s="373">
        <v>45189</v>
      </c>
      <c r="N64" s="640">
        <v>52225.8</v>
      </c>
      <c r="O64" s="643">
        <v>63193.22</v>
      </c>
      <c r="P64" s="644">
        <v>45457</v>
      </c>
      <c r="Q64" s="645">
        <v>37982.400000000001</v>
      </c>
      <c r="R64" s="646">
        <v>42540.29</v>
      </c>
      <c r="S64" s="604">
        <v>45838</v>
      </c>
      <c r="T64" s="605">
        <v>30052.799999999999</v>
      </c>
      <c r="U64" s="606">
        <v>33659.14</v>
      </c>
      <c r="V64" s="374"/>
      <c r="W64" s="368"/>
    </row>
    <row r="65" spans="2:23">
      <c r="B65" s="135"/>
      <c r="C65" s="328"/>
      <c r="D65" s="326"/>
      <c r="E65" s="328"/>
      <c r="F65" s="127"/>
      <c r="G65" s="127"/>
      <c r="H65" s="128"/>
      <c r="I65" s="146"/>
      <c r="J65" s="371"/>
      <c r="K65" s="372"/>
      <c r="L65" s="123"/>
      <c r="M65" s="373"/>
      <c r="N65" s="640"/>
      <c r="O65" s="643"/>
      <c r="P65" s="644">
        <v>45561</v>
      </c>
      <c r="Q65" s="645">
        <v>31722.400000000001</v>
      </c>
      <c r="R65" s="646">
        <v>35529.089999999997</v>
      </c>
      <c r="S65" s="604">
        <v>45883</v>
      </c>
      <c r="T65" s="605">
        <f>U65/121*100</f>
        <v>28650.528925619834</v>
      </c>
      <c r="U65" s="606">
        <v>34667.14</v>
      </c>
      <c r="V65" s="367"/>
      <c r="W65" s="171"/>
    </row>
    <row r="66" spans="2:23">
      <c r="B66" s="135"/>
      <c r="C66" s="328"/>
      <c r="D66" s="326"/>
      <c r="E66" s="328"/>
      <c r="F66" s="127"/>
      <c r="G66" s="127"/>
      <c r="H66" s="128"/>
      <c r="I66" s="146"/>
      <c r="J66" s="371"/>
      <c r="K66" s="372"/>
      <c r="L66" s="123"/>
      <c r="M66" s="373"/>
      <c r="N66" s="640"/>
      <c r="O66" s="643"/>
      <c r="P66" s="644">
        <v>45643</v>
      </c>
      <c r="Q66" s="645">
        <v>21704.799999999999</v>
      </c>
      <c r="R66" s="646">
        <v>24309.38</v>
      </c>
      <c r="S66" s="604">
        <v>45993</v>
      </c>
      <c r="T66" s="605">
        <f>U66/121*100</f>
        <v>23875.438016528922</v>
      </c>
      <c r="U66" s="606">
        <v>28889.279999999999</v>
      </c>
      <c r="V66" s="367"/>
      <c r="W66" s="171"/>
    </row>
    <row r="67" spans="2:23">
      <c r="B67" s="135"/>
      <c r="C67" s="328"/>
      <c r="D67" s="326"/>
      <c r="E67" s="328"/>
      <c r="F67" s="127"/>
      <c r="G67" s="127"/>
      <c r="H67" s="128"/>
      <c r="I67" s="146"/>
      <c r="J67" s="371"/>
      <c r="K67" s="372"/>
      <c r="L67" s="123"/>
      <c r="M67" s="373"/>
      <c r="N67" s="640"/>
      <c r="O67" s="643"/>
      <c r="P67" s="644"/>
      <c r="Q67" s="645"/>
      <c r="R67" s="646"/>
      <c r="S67" s="604"/>
      <c r="T67" s="605"/>
      <c r="U67" s="606"/>
      <c r="V67" s="367"/>
      <c r="W67" s="171"/>
    </row>
    <row r="68" spans="2:23">
      <c r="B68" s="370"/>
      <c r="C68" s="370"/>
      <c r="D68" s="370"/>
      <c r="E68" s="370"/>
      <c r="F68" s="163"/>
      <c r="G68" s="163"/>
      <c r="H68" s="163"/>
      <c r="I68" s="146"/>
      <c r="J68" s="623"/>
      <c r="K68" s="122"/>
      <c r="L68" s="131"/>
      <c r="M68" s="624"/>
      <c r="N68" s="625"/>
      <c r="O68" s="626"/>
      <c r="P68" s="132"/>
      <c r="Q68" s="627"/>
      <c r="R68" s="161"/>
      <c r="S68" s="597"/>
      <c r="T68" s="152"/>
      <c r="U68" s="131"/>
      <c r="V68" s="362"/>
      <c r="W68" s="137"/>
    </row>
    <row r="69" spans="2:23" ht="13.8" thickBot="1">
      <c r="I69" s="147" t="s">
        <v>4865</v>
      </c>
      <c r="J69" s="635"/>
      <c r="K69" s="647">
        <v>56973.599999999999</v>
      </c>
      <c r="L69" s="600">
        <v>68938.06</v>
      </c>
      <c r="M69" s="359"/>
      <c r="N69" s="636">
        <f>SUM(N63:N68)</f>
        <v>104451.6</v>
      </c>
      <c r="O69" s="648">
        <f>SUM(O63:O68)</f>
        <v>126386.44</v>
      </c>
      <c r="P69" s="360"/>
      <c r="Q69" s="638">
        <f>SUM(Q63:Q68)</f>
        <v>143635.4</v>
      </c>
      <c r="R69" s="377">
        <f>SUM(R63:R68)</f>
        <v>160871.66</v>
      </c>
      <c r="S69" s="599"/>
      <c r="T69" s="378">
        <f>SUM(T63:T68)</f>
        <v>112631.56694214875</v>
      </c>
      <c r="U69" s="600">
        <f>SUM(U63:U68)</f>
        <v>130874.7</v>
      </c>
      <c r="V69" s="364"/>
      <c r="W69" s="149"/>
    </row>
    <row r="70" spans="2:23" ht="13.8" thickBot="1">
      <c r="B70" s="150" t="s">
        <v>4584</v>
      </c>
      <c r="C70" s="331" t="s">
        <v>4889</v>
      </c>
      <c r="D70" s="352">
        <v>27529053</v>
      </c>
      <c r="E70" s="331" t="s">
        <v>3424</v>
      </c>
      <c r="F70" s="369">
        <v>700000</v>
      </c>
      <c r="G70" s="369">
        <v>784000</v>
      </c>
      <c r="H70" s="119">
        <v>46221</v>
      </c>
      <c r="I70" s="120"/>
      <c r="J70" s="618"/>
      <c r="K70" s="142"/>
      <c r="L70" s="143"/>
      <c r="M70" s="619"/>
      <c r="N70" s="620"/>
      <c r="O70" s="621"/>
      <c r="P70" s="125">
        <v>45511</v>
      </c>
      <c r="Q70" s="622">
        <v>32400</v>
      </c>
      <c r="R70" s="160">
        <v>36288</v>
      </c>
      <c r="S70" s="596">
        <v>45779</v>
      </c>
      <c r="T70" s="151">
        <v>40500</v>
      </c>
      <c r="U70" s="607">
        <v>45360</v>
      </c>
      <c r="V70" s="158">
        <f>SUM(F70-Q78-T78)</f>
        <v>319300</v>
      </c>
      <c r="W70" s="159">
        <f>SUM(G70-R78-U78)</f>
        <v>357616</v>
      </c>
    </row>
    <row r="71" spans="2:23">
      <c r="B71" s="370"/>
      <c r="C71" s="370"/>
      <c r="D71" s="370"/>
      <c r="E71" s="370"/>
      <c r="F71" s="163"/>
      <c r="G71" s="163"/>
      <c r="H71" s="163"/>
      <c r="I71" s="146"/>
      <c r="J71" s="623"/>
      <c r="K71" s="122"/>
      <c r="L71" s="131"/>
      <c r="M71" s="624"/>
      <c r="N71" s="625"/>
      <c r="O71" s="626"/>
      <c r="P71" s="132">
        <v>45554</v>
      </c>
      <c r="Q71" s="627">
        <v>40500</v>
      </c>
      <c r="R71" s="161">
        <v>45360</v>
      </c>
      <c r="S71" s="597">
        <v>45847</v>
      </c>
      <c r="T71" s="152">
        <v>40500</v>
      </c>
      <c r="U71" s="131">
        <v>45360</v>
      </c>
      <c r="V71" s="365"/>
      <c r="W71" s="134"/>
    </row>
    <row r="72" spans="2:23">
      <c r="I72" s="146"/>
      <c r="J72" s="628"/>
      <c r="K72" s="139"/>
      <c r="L72" s="140"/>
      <c r="M72" s="634"/>
      <c r="N72" s="629"/>
      <c r="O72" s="630"/>
      <c r="P72" s="156">
        <v>45601</v>
      </c>
      <c r="Q72" s="633">
        <v>40500</v>
      </c>
      <c r="R72" s="162">
        <v>45360</v>
      </c>
      <c r="S72" s="598">
        <v>45873</v>
      </c>
      <c r="T72" s="152">
        <v>40500</v>
      </c>
      <c r="U72" s="131">
        <v>45360</v>
      </c>
      <c r="V72" s="362"/>
      <c r="W72" s="137"/>
    </row>
    <row r="73" spans="2:23">
      <c r="I73" s="146"/>
      <c r="J73" s="628"/>
      <c r="K73" s="139"/>
      <c r="L73" s="140"/>
      <c r="M73" s="634"/>
      <c r="N73" s="629"/>
      <c r="O73" s="630"/>
      <c r="P73" s="156">
        <v>45625</v>
      </c>
      <c r="Q73" s="633">
        <f>72576*100/112</f>
        <v>64800</v>
      </c>
      <c r="R73" s="162">
        <v>72576</v>
      </c>
      <c r="S73" s="598">
        <v>45959</v>
      </c>
      <c r="T73" s="152">
        <v>40500</v>
      </c>
      <c r="U73" s="131">
        <v>45360</v>
      </c>
      <c r="V73" s="362"/>
      <c r="W73" s="137"/>
    </row>
    <row r="74" spans="2:23">
      <c r="I74" s="146"/>
      <c r="J74" s="628"/>
      <c r="K74" s="139"/>
      <c r="L74" s="140"/>
      <c r="M74" s="634"/>
      <c r="N74" s="629"/>
      <c r="O74" s="630"/>
      <c r="P74" s="156"/>
      <c r="Q74" s="633"/>
      <c r="R74" s="162"/>
      <c r="S74" s="598">
        <v>46033</v>
      </c>
      <c r="T74" s="152">
        <v>40500</v>
      </c>
      <c r="U74" s="140">
        <v>45360</v>
      </c>
      <c r="V74" s="362"/>
      <c r="W74" s="137"/>
    </row>
    <row r="75" spans="2:23">
      <c r="I75" s="146"/>
      <c r="J75" s="628"/>
      <c r="K75" s="139"/>
      <c r="L75" s="140"/>
      <c r="M75" s="634"/>
      <c r="N75" s="629"/>
      <c r="O75" s="630"/>
      <c r="P75" s="156"/>
      <c r="Q75" s="633"/>
      <c r="R75" s="162"/>
      <c r="S75" s="598"/>
      <c r="T75" s="154"/>
      <c r="U75" s="140"/>
      <c r="V75" s="362"/>
      <c r="W75" s="137"/>
    </row>
    <row r="76" spans="2:23">
      <c r="I76" s="129"/>
      <c r="J76" s="628"/>
      <c r="K76" s="139"/>
      <c r="L76" s="140"/>
      <c r="M76" s="634"/>
      <c r="N76" s="629"/>
      <c r="O76" s="630"/>
      <c r="P76" s="156"/>
      <c r="Q76" s="633"/>
      <c r="R76" s="162"/>
      <c r="S76" s="598"/>
      <c r="T76" s="154"/>
      <c r="U76" s="140"/>
      <c r="V76" s="362"/>
      <c r="W76" s="137"/>
    </row>
    <row r="77" spans="2:23">
      <c r="B77" s="135"/>
      <c r="C77" s="328"/>
      <c r="D77" s="326"/>
      <c r="E77" s="328"/>
      <c r="F77" s="127"/>
      <c r="G77" s="127"/>
      <c r="H77" s="128"/>
      <c r="I77" s="129"/>
      <c r="J77" s="138"/>
      <c r="K77" s="139"/>
      <c r="L77" s="140"/>
      <c r="M77" s="148"/>
      <c r="N77" s="629"/>
      <c r="O77" s="630"/>
      <c r="P77" s="156"/>
      <c r="Q77" s="633"/>
      <c r="R77" s="162"/>
      <c r="S77" s="598"/>
      <c r="T77" s="154"/>
      <c r="U77" s="155"/>
      <c r="V77" s="136"/>
      <c r="W77" s="137"/>
    </row>
    <row r="78" spans="2:23" ht="13.8" thickBot="1">
      <c r="B78" s="135"/>
      <c r="C78" s="328"/>
      <c r="D78" s="326"/>
      <c r="E78" s="328"/>
      <c r="F78" s="127"/>
      <c r="G78" s="127"/>
      <c r="H78" s="128"/>
      <c r="I78" s="157" t="s">
        <v>4865</v>
      </c>
      <c r="J78" s="353"/>
      <c r="K78" s="355"/>
      <c r="L78" s="357"/>
      <c r="M78" s="359"/>
      <c r="N78" s="649"/>
      <c r="O78" s="650"/>
      <c r="P78" s="360"/>
      <c r="Q78" s="638">
        <f>SUM(Q70:Q77)</f>
        <v>178200</v>
      </c>
      <c r="R78" s="377">
        <f>SUM(R70:R77)</f>
        <v>199584</v>
      </c>
      <c r="S78" s="599"/>
      <c r="T78" s="378">
        <f>SUM(T70:T77)</f>
        <v>202500</v>
      </c>
      <c r="U78" s="375">
        <f>SUM(U70:U77)</f>
        <v>226800</v>
      </c>
      <c r="V78" s="137"/>
      <c r="W78" s="137"/>
    </row>
    <row r="79" spans="2:23" ht="13.8" thickBot="1">
      <c r="B79" s="150" t="s">
        <v>5825</v>
      </c>
      <c r="C79" s="331" t="s">
        <v>4875</v>
      </c>
      <c r="D79" s="352">
        <v>27529053</v>
      </c>
      <c r="E79" s="331" t="s">
        <v>3424</v>
      </c>
      <c r="F79" s="117">
        <v>410000</v>
      </c>
      <c r="G79" s="118">
        <v>459200</v>
      </c>
      <c r="H79" s="119">
        <v>46198</v>
      </c>
      <c r="I79" s="120"/>
      <c r="J79" s="618"/>
      <c r="K79" s="142"/>
      <c r="L79" s="143"/>
      <c r="M79" s="619"/>
      <c r="N79" s="620"/>
      <c r="O79" s="621"/>
      <c r="P79" s="125"/>
      <c r="Q79" s="622"/>
      <c r="R79" s="160"/>
      <c r="S79" s="596">
        <v>45873</v>
      </c>
      <c r="T79" s="151">
        <f>U79*100/112</f>
        <v>30000</v>
      </c>
      <c r="U79" s="607">
        <v>33600</v>
      </c>
      <c r="V79" s="158">
        <f>F79-T87</f>
        <v>290000</v>
      </c>
      <c r="W79" s="159">
        <f>G79-U87</f>
        <v>324800</v>
      </c>
    </row>
    <row r="80" spans="2:23">
      <c r="B80" s="126"/>
      <c r="C80" s="328"/>
      <c r="D80" s="326"/>
      <c r="E80" s="328"/>
      <c r="F80" s="127"/>
      <c r="G80" s="127"/>
      <c r="H80" s="128"/>
      <c r="I80" s="146"/>
      <c r="J80" s="623"/>
      <c r="K80" s="122"/>
      <c r="L80" s="131"/>
      <c r="M80" s="624"/>
      <c r="N80" s="625"/>
      <c r="O80" s="626"/>
      <c r="P80" s="132"/>
      <c r="Q80" s="627"/>
      <c r="R80" s="161"/>
      <c r="S80" s="597">
        <v>45926</v>
      </c>
      <c r="T80" s="152">
        <f>U80*100/112</f>
        <v>30000</v>
      </c>
      <c r="U80" s="131">
        <v>33600</v>
      </c>
      <c r="V80" s="133"/>
      <c r="W80" s="134"/>
    </row>
    <row r="81" spans="2:23">
      <c r="B81" s="135"/>
      <c r="C81" s="328"/>
      <c r="D81" s="326"/>
      <c r="E81" s="328"/>
      <c r="F81" s="127"/>
      <c r="G81" s="127"/>
      <c r="H81" s="128"/>
      <c r="I81" s="146"/>
      <c r="J81" s="628"/>
      <c r="K81" s="139"/>
      <c r="L81" s="140"/>
      <c r="M81" s="634"/>
      <c r="N81" s="629"/>
      <c r="O81" s="630"/>
      <c r="P81" s="156"/>
      <c r="Q81" s="633"/>
      <c r="R81" s="162"/>
      <c r="S81" s="598">
        <v>45993</v>
      </c>
      <c r="T81" s="154">
        <v>30000</v>
      </c>
      <c r="U81" s="140">
        <v>33600</v>
      </c>
      <c r="V81" s="136"/>
      <c r="W81" s="137"/>
    </row>
    <row r="82" spans="2:23">
      <c r="B82" s="135"/>
      <c r="C82" s="328"/>
      <c r="D82" s="326"/>
      <c r="E82" s="328"/>
      <c r="F82" s="127"/>
      <c r="G82" s="127"/>
      <c r="H82" s="128"/>
      <c r="I82" s="146"/>
      <c r="J82" s="628"/>
      <c r="K82" s="139"/>
      <c r="L82" s="140"/>
      <c r="M82" s="634"/>
      <c r="N82" s="629"/>
      <c r="O82" s="630"/>
      <c r="P82" s="156"/>
      <c r="Q82" s="633"/>
      <c r="R82" s="162"/>
      <c r="S82" s="598">
        <v>46033</v>
      </c>
      <c r="T82" s="154">
        <v>30000</v>
      </c>
      <c r="U82" s="140">
        <v>33600</v>
      </c>
      <c r="V82" s="136"/>
      <c r="W82" s="137"/>
    </row>
    <row r="83" spans="2:23">
      <c r="B83" s="135"/>
      <c r="C83" s="328"/>
      <c r="D83" s="326"/>
      <c r="E83" s="328"/>
      <c r="F83" s="127"/>
      <c r="G83" s="127"/>
      <c r="H83" s="128"/>
      <c r="I83" s="146"/>
      <c r="J83" s="628"/>
      <c r="K83" s="139"/>
      <c r="L83" s="140"/>
      <c r="M83" s="634"/>
      <c r="N83" s="629"/>
      <c r="O83" s="630"/>
      <c r="P83" s="156"/>
      <c r="Q83" s="633"/>
      <c r="R83" s="162"/>
      <c r="S83" s="598"/>
      <c r="T83" s="154"/>
      <c r="U83" s="140"/>
      <c r="V83" s="136"/>
      <c r="W83" s="137"/>
    </row>
    <row r="84" spans="2:23">
      <c r="B84" s="135"/>
      <c r="C84" s="328"/>
      <c r="D84" s="326"/>
      <c r="E84" s="328"/>
      <c r="F84" s="127"/>
      <c r="G84" s="127"/>
      <c r="H84" s="128"/>
      <c r="I84" s="146"/>
      <c r="J84" s="628"/>
      <c r="K84" s="139"/>
      <c r="L84" s="140"/>
      <c r="M84" s="634"/>
      <c r="N84" s="629"/>
      <c r="O84" s="630"/>
      <c r="P84" s="156"/>
      <c r="Q84" s="633"/>
      <c r="R84" s="162"/>
      <c r="S84" s="598"/>
      <c r="T84" s="154"/>
      <c r="U84" s="140"/>
      <c r="V84" s="136"/>
      <c r="W84" s="137"/>
    </row>
    <row r="85" spans="2:23">
      <c r="B85" s="135"/>
      <c r="C85" s="328"/>
      <c r="D85" s="326"/>
      <c r="E85" s="328"/>
      <c r="F85" s="127"/>
      <c r="G85" s="127"/>
      <c r="H85" s="128"/>
      <c r="I85" s="129"/>
      <c r="J85" s="628"/>
      <c r="K85" s="139"/>
      <c r="L85" s="140"/>
      <c r="M85" s="634"/>
      <c r="N85" s="629"/>
      <c r="O85" s="630"/>
      <c r="P85" s="156"/>
      <c r="Q85" s="633"/>
      <c r="R85" s="162"/>
      <c r="S85" s="598"/>
      <c r="T85" s="154"/>
      <c r="U85" s="140"/>
      <c r="V85" s="136"/>
      <c r="W85" s="137"/>
    </row>
    <row r="86" spans="2:23">
      <c r="B86" s="135"/>
      <c r="C86" s="328"/>
      <c r="D86" s="326"/>
      <c r="E86" s="328"/>
      <c r="F86" s="127"/>
      <c r="G86" s="127"/>
      <c r="H86" s="128"/>
      <c r="I86" s="129"/>
      <c r="J86" s="628"/>
      <c r="K86" s="139"/>
      <c r="L86" s="140"/>
      <c r="M86" s="634"/>
      <c r="N86" s="629"/>
      <c r="O86" s="630"/>
      <c r="P86" s="651"/>
      <c r="Q86" s="633"/>
      <c r="R86" s="162"/>
      <c r="S86" s="608"/>
      <c r="T86" s="154"/>
      <c r="U86" s="155"/>
      <c r="V86" s="136"/>
      <c r="W86" s="137"/>
    </row>
    <row r="87" spans="2:23" ht="13.8" thickBot="1">
      <c r="B87" s="135"/>
      <c r="C87" s="328"/>
      <c r="D87" s="326"/>
      <c r="E87" s="328"/>
      <c r="F87" s="127"/>
      <c r="G87" s="127"/>
      <c r="H87" s="128"/>
      <c r="I87" s="157" t="s">
        <v>4865</v>
      </c>
      <c r="J87" s="635"/>
      <c r="K87" s="355"/>
      <c r="L87" s="357"/>
      <c r="M87" s="359"/>
      <c r="N87" s="641"/>
      <c r="O87" s="642"/>
      <c r="P87" s="652"/>
      <c r="Q87" s="638"/>
      <c r="R87" s="377"/>
      <c r="S87" s="609"/>
      <c r="T87" s="378">
        <f>SUM(T79:T86)</f>
        <v>120000</v>
      </c>
      <c r="U87" s="375">
        <f>SUM(U79:U86)</f>
        <v>134400</v>
      </c>
      <c r="V87" s="163"/>
      <c r="W87" s="137"/>
    </row>
    <row r="88" spans="2:23" ht="13.8" thickBot="1">
      <c r="B88" s="150" t="s">
        <v>724</v>
      </c>
      <c r="C88" s="331" t="s">
        <v>4884</v>
      </c>
      <c r="D88" s="352">
        <v>25944991</v>
      </c>
      <c r="E88" s="331" t="s">
        <v>3539</v>
      </c>
      <c r="F88" s="369">
        <v>1990000</v>
      </c>
      <c r="G88" s="369">
        <v>2407900</v>
      </c>
      <c r="H88" s="119">
        <v>46180</v>
      </c>
      <c r="I88" s="120"/>
      <c r="J88" s="618"/>
      <c r="K88" s="142"/>
      <c r="L88" s="143"/>
      <c r="M88" s="124">
        <v>45246</v>
      </c>
      <c r="N88" s="620">
        <v>64500</v>
      </c>
      <c r="O88" s="621">
        <v>78045</v>
      </c>
      <c r="P88" s="125">
        <v>45331</v>
      </c>
      <c r="Q88" s="622">
        <v>64500</v>
      </c>
      <c r="R88" s="160">
        <v>72240</v>
      </c>
      <c r="S88" s="596">
        <v>45716</v>
      </c>
      <c r="T88" s="151">
        <v>64500</v>
      </c>
      <c r="U88" s="607">
        <v>72240</v>
      </c>
      <c r="V88" s="158">
        <f>SUM(F88-N96-Q96-T96)</f>
        <v>674200</v>
      </c>
      <c r="W88" s="159">
        <f>SUM(G88-O96-R96-U96)</f>
        <v>922594</v>
      </c>
    </row>
    <row r="89" spans="2:23">
      <c r="B89" s="135"/>
      <c r="C89" s="328"/>
      <c r="D89" s="326"/>
      <c r="E89" s="328"/>
      <c r="F89" s="127"/>
      <c r="G89" s="127"/>
      <c r="H89" s="128"/>
      <c r="I89" s="146"/>
      <c r="J89" s="623"/>
      <c r="K89" s="122"/>
      <c r="L89" s="131"/>
      <c r="M89" s="376">
        <v>45288</v>
      </c>
      <c r="N89" s="625">
        <v>64500</v>
      </c>
      <c r="O89" s="626">
        <v>78045</v>
      </c>
      <c r="P89" s="132">
        <v>45387</v>
      </c>
      <c r="Q89" s="627">
        <v>64500</v>
      </c>
      <c r="R89" s="161">
        <v>72240</v>
      </c>
      <c r="S89" s="597">
        <v>45757</v>
      </c>
      <c r="T89" s="152">
        <v>64500</v>
      </c>
      <c r="U89" s="153">
        <v>72240</v>
      </c>
      <c r="V89" s="133"/>
      <c r="W89" s="134"/>
    </row>
    <row r="90" spans="2:23">
      <c r="B90" s="135"/>
      <c r="C90" s="328"/>
      <c r="D90" s="326"/>
      <c r="E90" s="328"/>
      <c r="F90" s="127"/>
      <c r="G90" s="127"/>
      <c r="H90" s="128"/>
      <c r="I90" s="146"/>
      <c r="J90" s="628"/>
      <c r="K90" s="139"/>
      <c r="L90" s="140"/>
      <c r="M90" s="634"/>
      <c r="N90" s="629"/>
      <c r="O90" s="630"/>
      <c r="P90" s="156">
        <v>45435</v>
      </c>
      <c r="Q90" s="633">
        <v>64500</v>
      </c>
      <c r="R90" s="162">
        <v>72240</v>
      </c>
      <c r="S90" s="598">
        <v>45803</v>
      </c>
      <c r="T90" s="154">
        <v>129000</v>
      </c>
      <c r="U90" s="155">
        <v>144480</v>
      </c>
      <c r="V90" s="363"/>
      <c r="W90" s="137"/>
    </row>
    <row r="91" spans="2:23">
      <c r="B91" s="135"/>
      <c r="C91" s="328"/>
      <c r="D91" s="326"/>
      <c r="E91" s="328"/>
      <c r="F91" s="127"/>
      <c r="G91" s="127"/>
      <c r="H91" s="128"/>
      <c r="I91" s="146"/>
      <c r="J91" s="628"/>
      <c r="K91" s="139"/>
      <c r="L91" s="140"/>
      <c r="M91" s="634"/>
      <c r="N91" s="629"/>
      <c r="O91" s="630"/>
      <c r="P91" s="156">
        <v>45474</v>
      </c>
      <c r="Q91" s="633">
        <v>64500</v>
      </c>
      <c r="R91" s="162">
        <v>72240</v>
      </c>
      <c r="S91" s="598">
        <v>45825</v>
      </c>
      <c r="T91" s="154">
        <v>129000</v>
      </c>
      <c r="U91" s="155">
        <v>144480</v>
      </c>
      <c r="V91" s="136"/>
      <c r="W91" s="137"/>
    </row>
    <row r="92" spans="2:23">
      <c r="B92" s="135"/>
      <c r="C92" s="328"/>
      <c r="D92" s="326"/>
      <c r="E92" s="328"/>
      <c r="F92" s="127"/>
      <c r="G92" s="127"/>
      <c r="H92" s="128"/>
      <c r="I92" s="146"/>
      <c r="J92" s="628"/>
      <c r="K92" s="139"/>
      <c r="L92" s="140"/>
      <c r="M92" s="634"/>
      <c r="N92" s="629"/>
      <c r="O92" s="630"/>
      <c r="P92" s="156">
        <v>45525</v>
      </c>
      <c r="Q92" s="633">
        <v>64500</v>
      </c>
      <c r="R92" s="162">
        <v>72240</v>
      </c>
      <c r="S92" s="598">
        <v>45952</v>
      </c>
      <c r="T92" s="154">
        <v>129000</v>
      </c>
      <c r="U92" s="155">
        <v>144480</v>
      </c>
      <c r="V92" s="136"/>
      <c r="W92" s="137"/>
    </row>
    <row r="93" spans="2:23">
      <c r="B93" s="135"/>
      <c r="C93" s="328"/>
      <c r="D93" s="326"/>
      <c r="E93" s="328"/>
      <c r="F93" s="127"/>
      <c r="G93" s="127"/>
      <c r="H93" s="128"/>
      <c r="I93" s="146"/>
      <c r="J93" s="628"/>
      <c r="K93" s="139"/>
      <c r="L93" s="140"/>
      <c r="M93" s="634"/>
      <c r="N93" s="629"/>
      <c r="O93" s="630"/>
      <c r="P93" s="156">
        <v>45560</v>
      </c>
      <c r="Q93" s="633">
        <v>64500</v>
      </c>
      <c r="R93" s="162">
        <v>72240</v>
      </c>
      <c r="S93" s="598">
        <v>46022</v>
      </c>
      <c r="T93" s="154">
        <v>129000</v>
      </c>
      <c r="U93" s="140">
        <v>144480</v>
      </c>
      <c r="V93" s="136"/>
      <c r="W93" s="137"/>
    </row>
    <row r="94" spans="2:23">
      <c r="B94" s="135"/>
      <c r="C94" s="328"/>
      <c r="D94" s="326"/>
      <c r="E94" s="328"/>
      <c r="F94" s="127"/>
      <c r="G94" s="127"/>
      <c r="H94" s="128"/>
      <c r="I94" s="129"/>
      <c r="J94" s="628"/>
      <c r="K94" s="139"/>
      <c r="L94" s="140"/>
      <c r="M94" s="634"/>
      <c r="N94" s="629"/>
      <c r="O94" s="630"/>
      <c r="P94" s="156">
        <v>45611</v>
      </c>
      <c r="Q94" s="633">
        <v>90300</v>
      </c>
      <c r="R94" s="162">
        <v>101136</v>
      </c>
      <c r="S94" s="598"/>
      <c r="T94" s="154"/>
      <c r="U94" s="140"/>
      <c r="V94" s="136"/>
      <c r="W94" s="137"/>
    </row>
    <row r="95" spans="2:23">
      <c r="B95" s="135"/>
      <c r="C95" s="328"/>
      <c r="D95" s="326"/>
      <c r="E95" s="328"/>
      <c r="F95" s="127"/>
      <c r="G95" s="127"/>
      <c r="H95" s="128"/>
      <c r="I95" s="129"/>
      <c r="J95" s="628"/>
      <c r="K95" s="139"/>
      <c r="L95" s="140"/>
      <c r="M95" s="634"/>
      <c r="N95" s="629"/>
      <c r="O95" s="630"/>
      <c r="P95" s="156">
        <v>45646</v>
      </c>
      <c r="Q95" s="633">
        <v>64500</v>
      </c>
      <c r="R95" s="162">
        <v>72240</v>
      </c>
      <c r="S95" s="598"/>
      <c r="T95" s="154"/>
      <c r="U95" s="140"/>
      <c r="V95" s="136"/>
      <c r="W95" s="137"/>
    </row>
    <row r="96" spans="2:23" ht="13.8" thickBot="1">
      <c r="B96" s="135"/>
      <c r="C96" s="328"/>
      <c r="D96" s="326"/>
      <c r="E96" s="328"/>
      <c r="F96" s="127"/>
      <c r="G96" s="127"/>
      <c r="H96" s="128"/>
      <c r="I96" s="157" t="s">
        <v>4865</v>
      </c>
      <c r="J96" s="635"/>
      <c r="K96" s="355"/>
      <c r="L96" s="357"/>
      <c r="M96" s="359"/>
      <c r="N96" s="636">
        <f>SUM(N88:N95)</f>
        <v>129000</v>
      </c>
      <c r="O96" s="648">
        <f>SUM(O88:O95)</f>
        <v>156090</v>
      </c>
      <c r="P96" s="360"/>
      <c r="Q96" s="638">
        <f>SUM(Q88:Q95)</f>
        <v>541800</v>
      </c>
      <c r="R96" s="377">
        <f>SUM(R88:R95)</f>
        <v>606816</v>
      </c>
      <c r="S96" s="599"/>
      <c r="T96" s="378">
        <f>SUM(T88:T95)</f>
        <v>645000</v>
      </c>
      <c r="U96" s="600">
        <f>SUM(U88:U95)</f>
        <v>722400</v>
      </c>
      <c r="V96" s="137"/>
      <c r="W96" s="137"/>
    </row>
    <row r="97" spans="2:23" ht="13.8" thickBot="1">
      <c r="B97" s="150" t="s">
        <v>5362</v>
      </c>
      <c r="C97" s="331" t="s">
        <v>5695</v>
      </c>
      <c r="D97" s="352">
        <v>60491256</v>
      </c>
      <c r="E97" s="331" t="s">
        <v>5366</v>
      </c>
      <c r="F97" s="369">
        <v>500000</v>
      </c>
      <c r="G97" s="369">
        <v>560000</v>
      </c>
      <c r="H97" s="1089">
        <v>46078</v>
      </c>
      <c r="I97" s="120"/>
      <c r="J97" s="618"/>
      <c r="K97" s="142"/>
      <c r="L97" s="143"/>
      <c r="M97" s="124"/>
      <c r="N97" s="620"/>
      <c r="O97" s="621"/>
      <c r="P97" s="125"/>
      <c r="Q97" s="622"/>
      <c r="R97" s="160"/>
      <c r="S97" s="596">
        <v>45771</v>
      </c>
      <c r="T97" s="151">
        <f>43276.8*100/112</f>
        <v>38640</v>
      </c>
      <c r="U97" s="603">
        <v>43276.800000000003</v>
      </c>
      <c r="V97" s="158">
        <f>SUM(F97-N105-Q105-T105)</f>
        <v>268160</v>
      </c>
      <c r="W97" s="159">
        <f>SUM(G97-O105-R105-U105)</f>
        <v>300339.20000000001</v>
      </c>
    </row>
    <row r="98" spans="2:23">
      <c r="B98" s="135"/>
      <c r="C98" s="328"/>
      <c r="D98" s="326"/>
      <c r="E98" s="328"/>
      <c r="F98" s="127"/>
      <c r="G98" s="127"/>
      <c r="H98" s="128"/>
      <c r="I98" s="146"/>
      <c r="J98" s="623"/>
      <c r="K98" s="122"/>
      <c r="L98" s="131"/>
      <c r="M98" s="376"/>
      <c r="N98" s="625"/>
      <c r="O98" s="626"/>
      <c r="P98" s="132"/>
      <c r="Q98" s="627"/>
      <c r="R98" s="161"/>
      <c r="S98" s="597">
        <v>45818</v>
      </c>
      <c r="T98" s="152">
        <v>38640</v>
      </c>
      <c r="U98" s="153">
        <v>43276.800000000003</v>
      </c>
      <c r="V98" s="366"/>
      <c r="W98" s="134"/>
    </row>
    <row r="99" spans="2:23">
      <c r="B99" s="135"/>
      <c r="C99" s="328"/>
      <c r="D99" s="326"/>
      <c r="E99" s="328"/>
      <c r="F99" s="127"/>
      <c r="G99" s="127"/>
      <c r="H99" s="128"/>
      <c r="I99" s="146"/>
      <c r="J99" s="628"/>
      <c r="K99" s="139"/>
      <c r="L99" s="140"/>
      <c r="M99" s="634"/>
      <c r="N99" s="629"/>
      <c r="O99" s="630"/>
      <c r="P99" s="156"/>
      <c r="Q99" s="633"/>
      <c r="R99" s="162"/>
      <c r="S99" s="598">
        <v>45855</v>
      </c>
      <c r="T99" s="152">
        <v>38640</v>
      </c>
      <c r="U99" s="153">
        <v>43276.800000000003</v>
      </c>
      <c r="V99" s="136"/>
      <c r="W99" s="137"/>
    </row>
    <row r="100" spans="2:23">
      <c r="B100" s="135"/>
      <c r="C100" s="328"/>
      <c r="D100" s="326"/>
      <c r="E100" s="328"/>
      <c r="F100" s="127"/>
      <c r="G100" s="127"/>
      <c r="H100" s="128"/>
      <c r="I100" s="146"/>
      <c r="J100" s="628"/>
      <c r="K100" s="139"/>
      <c r="L100" s="140"/>
      <c r="M100" s="634"/>
      <c r="N100" s="629"/>
      <c r="O100" s="630"/>
      <c r="P100" s="156"/>
      <c r="Q100" s="633"/>
      <c r="R100" s="162"/>
      <c r="S100" s="598">
        <v>45883</v>
      </c>
      <c r="T100" s="152">
        <v>38640</v>
      </c>
      <c r="U100" s="153">
        <v>43276.800000000003</v>
      </c>
      <c r="V100" s="136"/>
      <c r="W100" s="137"/>
    </row>
    <row r="101" spans="2:23">
      <c r="B101" s="135"/>
      <c r="C101" s="328"/>
      <c r="D101" s="326"/>
      <c r="E101" s="328"/>
      <c r="F101" s="127"/>
      <c r="G101" s="127"/>
      <c r="H101" s="128"/>
      <c r="I101" s="146"/>
      <c r="J101" s="628"/>
      <c r="K101" s="139"/>
      <c r="L101" s="140"/>
      <c r="M101" s="634"/>
      <c r="N101" s="629"/>
      <c r="O101" s="630"/>
      <c r="P101" s="156"/>
      <c r="Q101" s="633"/>
      <c r="R101" s="162"/>
      <c r="S101" s="598">
        <v>45947</v>
      </c>
      <c r="T101" s="152">
        <v>38640</v>
      </c>
      <c r="U101" s="153">
        <v>43276.800000000003</v>
      </c>
      <c r="V101" s="136"/>
      <c r="W101" s="137"/>
    </row>
    <row r="102" spans="2:23">
      <c r="B102" s="135"/>
      <c r="C102" s="328"/>
      <c r="D102" s="326"/>
      <c r="E102" s="328"/>
      <c r="F102" s="127"/>
      <c r="G102" s="127"/>
      <c r="H102" s="128"/>
      <c r="I102" s="146"/>
      <c r="J102" s="628"/>
      <c r="K102" s="139"/>
      <c r="L102" s="140"/>
      <c r="M102" s="634"/>
      <c r="N102" s="629"/>
      <c r="O102" s="630"/>
      <c r="P102" s="156"/>
      <c r="Q102" s="633"/>
      <c r="R102" s="162"/>
      <c r="S102" s="598">
        <v>45993</v>
      </c>
      <c r="T102" s="154">
        <v>38640</v>
      </c>
      <c r="U102" s="140">
        <v>43276.800000000003</v>
      </c>
      <c r="V102" s="136"/>
      <c r="W102" s="137"/>
    </row>
    <row r="103" spans="2:23">
      <c r="B103" s="135"/>
      <c r="C103" s="328"/>
      <c r="D103" s="326"/>
      <c r="E103" s="328"/>
      <c r="F103" s="127"/>
      <c r="G103" s="127"/>
      <c r="H103" s="128"/>
      <c r="I103" s="129"/>
      <c r="J103" s="628"/>
      <c r="K103" s="139"/>
      <c r="L103" s="140"/>
      <c r="M103" s="634"/>
      <c r="N103" s="629"/>
      <c r="O103" s="630"/>
      <c r="P103" s="156"/>
      <c r="Q103" s="633"/>
      <c r="R103" s="162"/>
      <c r="S103" s="598"/>
      <c r="T103" s="154"/>
      <c r="U103" s="140"/>
      <c r="V103" s="136"/>
      <c r="W103" s="137"/>
    </row>
    <row r="104" spans="2:23">
      <c r="B104" s="135"/>
      <c r="C104" s="328"/>
      <c r="D104" s="326"/>
      <c r="E104" s="328"/>
      <c r="F104" s="127"/>
      <c r="G104" s="127"/>
      <c r="H104" s="128"/>
      <c r="I104" s="129"/>
      <c r="J104" s="628"/>
      <c r="K104" s="139"/>
      <c r="L104" s="140"/>
      <c r="M104" s="634"/>
      <c r="N104" s="629"/>
      <c r="O104" s="630"/>
      <c r="P104" s="156"/>
      <c r="Q104" s="633"/>
      <c r="R104" s="162"/>
      <c r="S104" s="598"/>
      <c r="T104" s="154"/>
      <c r="U104" s="140"/>
      <c r="V104" s="136"/>
      <c r="W104" s="137"/>
    </row>
    <row r="105" spans="2:23" ht="13.8" thickBot="1">
      <c r="B105" s="135"/>
      <c r="C105" s="328"/>
      <c r="D105" s="326"/>
      <c r="E105" s="328"/>
      <c r="F105" s="127"/>
      <c r="G105" s="127"/>
      <c r="H105" s="128"/>
      <c r="I105" s="157" t="s">
        <v>4865</v>
      </c>
      <c r="J105" s="635"/>
      <c r="K105" s="355"/>
      <c r="L105" s="357"/>
      <c r="M105" s="359"/>
      <c r="N105" s="636">
        <f>SUM(N97:N104)</f>
        <v>0</v>
      </c>
      <c r="O105" s="648">
        <f>SUM(O97:O104)</f>
        <v>0</v>
      </c>
      <c r="P105" s="652"/>
      <c r="Q105" s="638">
        <f>SUM(Q97:Q104)</f>
        <v>0</v>
      </c>
      <c r="R105" s="377">
        <f>SUM(R97:R104)</f>
        <v>0</v>
      </c>
      <c r="S105" s="609"/>
      <c r="T105" s="378">
        <f>SUM(T97:T104)</f>
        <v>231840</v>
      </c>
      <c r="U105" s="375">
        <f>SUM(U97:U104)</f>
        <v>259660.79999999999</v>
      </c>
      <c r="V105" s="137"/>
      <c r="W105" s="137"/>
    </row>
    <row r="106" spans="2:23" ht="13.8" thickBot="1">
      <c r="B106" s="150" t="s">
        <v>707</v>
      </c>
      <c r="C106" s="331" t="s">
        <v>4870</v>
      </c>
      <c r="D106" s="352">
        <v>28467299</v>
      </c>
      <c r="E106" s="331" t="s">
        <v>4871</v>
      </c>
      <c r="F106" s="369">
        <v>1990000</v>
      </c>
      <c r="G106" s="369">
        <v>2407900</v>
      </c>
      <c r="H106" s="119">
        <v>46157</v>
      </c>
      <c r="I106" s="120"/>
      <c r="J106" s="618"/>
      <c r="K106" s="142"/>
      <c r="L106" s="143"/>
      <c r="M106" s="124">
        <v>45099</v>
      </c>
      <c r="N106" s="620">
        <v>172000</v>
      </c>
      <c r="O106" s="621">
        <v>208120</v>
      </c>
      <c r="P106" s="125">
        <v>45338</v>
      </c>
      <c r="Q106" s="622">
        <v>172000</v>
      </c>
      <c r="R106" s="160">
        <v>208120</v>
      </c>
      <c r="S106" s="596">
        <v>45716</v>
      </c>
      <c r="T106" s="151">
        <v>172000</v>
      </c>
      <c r="U106" s="603">
        <v>208120</v>
      </c>
      <c r="V106" s="486">
        <f>SUM(F106-N114-Q114-T114)</f>
        <v>399000</v>
      </c>
      <c r="W106" s="159">
        <f>SUM(G106-O114-R114-U114)</f>
        <v>482790</v>
      </c>
    </row>
    <row r="107" spans="2:23">
      <c r="B107" s="135"/>
      <c r="C107" s="328"/>
      <c r="D107" s="326"/>
      <c r="E107" s="328"/>
      <c r="F107" s="127"/>
      <c r="G107" s="127"/>
      <c r="H107" s="128"/>
      <c r="I107" s="146"/>
      <c r="J107" s="623"/>
      <c r="K107" s="122"/>
      <c r="L107" s="131"/>
      <c r="M107" s="624"/>
      <c r="N107" s="625"/>
      <c r="O107" s="626"/>
      <c r="P107" s="132">
        <v>45450</v>
      </c>
      <c r="Q107" s="627">
        <v>172000</v>
      </c>
      <c r="R107" s="161">
        <v>208120</v>
      </c>
      <c r="S107" s="597">
        <v>45804</v>
      </c>
      <c r="T107" s="152">
        <v>301000</v>
      </c>
      <c r="U107" s="131">
        <v>364210</v>
      </c>
      <c r="V107" s="133"/>
      <c r="W107" s="134"/>
    </row>
    <row r="108" spans="2:23">
      <c r="B108" s="135"/>
      <c r="C108" s="328"/>
      <c r="D108" s="326"/>
      <c r="E108" s="328"/>
      <c r="F108" s="127"/>
      <c r="G108" s="127"/>
      <c r="H108" s="128"/>
      <c r="I108" s="146"/>
      <c r="J108" s="628"/>
      <c r="K108" s="139"/>
      <c r="L108" s="140"/>
      <c r="M108" s="634"/>
      <c r="N108" s="629"/>
      <c r="O108" s="630"/>
      <c r="P108" s="156">
        <v>45561</v>
      </c>
      <c r="Q108" s="633">
        <v>172000</v>
      </c>
      <c r="R108" s="162">
        <v>208120</v>
      </c>
      <c r="S108" s="598">
        <v>45855</v>
      </c>
      <c r="T108" s="152">
        <v>301000</v>
      </c>
      <c r="U108" s="131">
        <v>364210</v>
      </c>
      <c r="V108" s="136"/>
      <c r="W108" s="137"/>
    </row>
    <row r="109" spans="2:23">
      <c r="B109" s="135"/>
      <c r="C109" s="328"/>
      <c r="D109" s="326"/>
      <c r="E109" s="328"/>
      <c r="F109" s="127"/>
      <c r="G109" s="127"/>
      <c r="H109" s="128"/>
      <c r="I109" s="146"/>
      <c r="J109" s="628"/>
      <c r="K109" s="139"/>
      <c r="L109" s="140"/>
      <c r="M109" s="634"/>
      <c r="N109" s="629"/>
      <c r="O109" s="630"/>
      <c r="P109" s="156">
        <v>45637</v>
      </c>
      <c r="Q109" s="633">
        <v>129000</v>
      </c>
      <c r="R109" s="162">
        <v>156090</v>
      </c>
      <c r="S109" s="598"/>
      <c r="T109" s="154"/>
      <c r="U109" s="140"/>
      <c r="V109" s="136"/>
      <c r="W109" s="137"/>
    </row>
    <row r="110" spans="2:23">
      <c r="B110" s="135"/>
      <c r="C110" s="328"/>
      <c r="D110" s="326"/>
      <c r="E110" s="328"/>
      <c r="F110" s="127"/>
      <c r="G110" s="127"/>
      <c r="H110" s="128"/>
      <c r="I110" s="146"/>
      <c r="J110" s="628"/>
      <c r="K110" s="139"/>
      <c r="L110" s="140"/>
      <c r="M110" s="634"/>
      <c r="N110" s="629"/>
      <c r="O110" s="630"/>
      <c r="P110" s="156"/>
      <c r="Q110" s="633"/>
      <c r="R110" s="162"/>
      <c r="S110" s="598"/>
      <c r="T110" s="154"/>
      <c r="U110" s="140"/>
      <c r="V110" s="136"/>
      <c r="W110" s="137"/>
    </row>
    <row r="111" spans="2:23">
      <c r="B111" s="135"/>
      <c r="C111" s="328"/>
      <c r="D111" s="326"/>
      <c r="E111" s="328"/>
      <c r="F111" s="127"/>
      <c r="G111" s="127"/>
      <c r="H111" s="128"/>
      <c r="I111" s="146"/>
      <c r="J111" s="628"/>
      <c r="K111" s="139"/>
      <c r="L111" s="140"/>
      <c r="M111" s="634"/>
      <c r="N111" s="629"/>
      <c r="O111" s="630"/>
      <c r="P111" s="156"/>
      <c r="Q111" s="633"/>
      <c r="R111" s="162"/>
      <c r="S111" s="598"/>
      <c r="T111" s="154"/>
      <c r="U111" s="140"/>
      <c r="V111" s="136"/>
      <c r="W111" s="137"/>
    </row>
    <row r="112" spans="2:23">
      <c r="B112" s="135"/>
      <c r="C112" s="328"/>
      <c r="D112" s="326"/>
      <c r="E112" s="328"/>
      <c r="F112" s="127"/>
      <c r="G112" s="127"/>
      <c r="H112" s="128"/>
      <c r="I112" s="129"/>
      <c r="J112" s="628"/>
      <c r="K112" s="139"/>
      <c r="L112" s="140"/>
      <c r="M112" s="634"/>
      <c r="N112" s="629"/>
      <c r="O112" s="630"/>
      <c r="P112" s="156"/>
      <c r="Q112" s="633"/>
      <c r="R112" s="162"/>
      <c r="S112" s="598"/>
      <c r="T112" s="154"/>
      <c r="U112" s="140"/>
      <c r="V112" s="136"/>
      <c r="W112" s="137"/>
    </row>
    <row r="113" spans="2:24">
      <c r="B113" s="135"/>
      <c r="C113" s="328"/>
      <c r="D113" s="326"/>
      <c r="E113" s="328"/>
      <c r="F113" s="127"/>
      <c r="G113" s="127"/>
      <c r="H113" s="128"/>
      <c r="I113" s="129"/>
      <c r="J113" s="628"/>
      <c r="K113" s="139"/>
      <c r="L113" s="140"/>
      <c r="M113" s="634"/>
      <c r="N113" s="629"/>
      <c r="O113" s="630"/>
      <c r="P113" s="651"/>
      <c r="Q113" s="633"/>
      <c r="R113" s="162"/>
      <c r="S113" s="608"/>
      <c r="T113" s="154"/>
      <c r="U113" s="155"/>
      <c r="V113" s="136"/>
      <c r="W113" s="137"/>
    </row>
    <row r="114" spans="2:24" ht="13.8" thickBot="1">
      <c r="B114" s="135"/>
      <c r="C114" s="328"/>
      <c r="D114" s="326"/>
      <c r="E114" s="328"/>
      <c r="F114" s="127"/>
      <c r="G114" s="127"/>
      <c r="H114" s="128"/>
      <c r="I114" s="157" t="s">
        <v>4865</v>
      </c>
      <c r="J114" s="635"/>
      <c r="K114" s="355"/>
      <c r="L114" s="357"/>
      <c r="M114" s="359"/>
      <c r="N114" s="636">
        <v>172000</v>
      </c>
      <c r="O114" s="648">
        <v>208120</v>
      </c>
      <c r="P114" s="652"/>
      <c r="Q114" s="638">
        <f>SUM(Q106:Q113)</f>
        <v>645000</v>
      </c>
      <c r="R114" s="377">
        <f>SUM(R106:R113)</f>
        <v>780450</v>
      </c>
      <c r="S114" s="609"/>
      <c r="T114" s="378">
        <f>SUM(T106:T113)</f>
        <v>774000</v>
      </c>
      <c r="U114" s="375">
        <f>SUM(U106:U113)</f>
        <v>936540</v>
      </c>
      <c r="V114" s="163"/>
      <c r="W114" s="137"/>
    </row>
    <row r="115" spans="2:24" ht="13.8" thickBot="1">
      <c r="B115" s="1375" t="s">
        <v>5203</v>
      </c>
      <c r="C115" s="331" t="s">
        <v>6152</v>
      </c>
      <c r="D115" s="352">
        <v>47675934</v>
      </c>
      <c r="E115" s="150" t="s">
        <v>3286</v>
      </c>
      <c r="F115" s="369">
        <v>1500000</v>
      </c>
      <c r="G115" s="369">
        <v>1680000</v>
      </c>
      <c r="H115" s="1089">
        <v>46034</v>
      </c>
      <c r="I115" s="120"/>
      <c r="J115" s="618"/>
      <c r="K115" s="142"/>
      <c r="L115" s="143"/>
      <c r="M115" s="124"/>
      <c r="N115" s="620"/>
      <c r="O115" s="621"/>
      <c r="P115" s="125"/>
      <c r="Q115" s="622"/>
      <c r="R115" s="160"/>
      <c r="S115" s="596">
        <v>45730</v>
      </c>
      <c r="T115" s="151">
        <f>U115*100/112</f>
        <v>237987.5</v>
      </c>
      <c r="U115" s="603">
        <v>266546</v>
      </c>
      <c r="V115" s="158">
        <f>SUM(F115-N123-Q123-T123)</f>
        <v>248162.94642857136</v>
      </c>
      <c r="W115" s="159">
        <f>SUM(G115-O123-R123-U123)</f>
        <v>277942.5</v>
      </c>
      <c r="X115" s="112" t="s">
        <v>5445</v>
      </c>
    </row>
    <row r="116" spans="2:24">
      <c r="B116" s="135"/>
      <c r="C116" s="328"/>
      <c r="D116" s="326"/>
      <c r="E116" s="328"/>
      <c r="F116" s="127"/>
      <c r="G116" s="127"/>
      <c r="H116" s="128"/>
      <c r="I116" s="146"/>
      <c r="J116" s="623"/>
      <c r="K116" s="122"/>
      <c r="L116" s="131"/>
      <c r="M116" s="376"/>
      <c r="N116" s="625"/>
      <c r="O116" s="626"/>
      <c r="P116" s="132"/>
      <c r="Q116" s="627"/>
      <c r="R116" s="161"/>
      <c r="S116" s="597">
        <v>45743</v>
      </c>
      <c r="T116" s="152">
        <f>U116*100/112</f>
        <v>9669.1964285714294</v>
      </c>
      <c r="U116" s="153">
        <v>10829.5</v>
      </c>
      <c r="V116" s="133"/>
      <c r="W116" s="134"/>
    </row>
    <row r="117" spans="2:24">
      <c r="B117" s="135"/>
      <c r="C117" s="328"/>
      <c r="D117" s="326"/>
      <c r="E117" s="328"/>
      <c r="F117" s="127"/>
      <c r="G117" s="127"/>
      <c r="H117" s="128"/>
      <c r="I117" s="146"/>
      <c r="J117" s="628"/>
      <c r="K117" s="139"/>
      <c r="L117" s="140"/>
      <c r="M117" s="148"/>
      <c r="N117" s="629"/>
      <c r="O117" s="630"/>
      <c r="P117" s="156"/>
      <c r="Q117" s="633"/>
      <c r="R117" s="162"/>
      <c r="S117" s="598">
        <v>45807</v>
      </c>
      <c r="T117" s="154">
        <f t="shared" ref="T117:T121" si="1">U117*100/112</f>
        <v>286333.48214285716</v>
      </c>
      <c r="U117" s="155">
        <v>320693.5</v>
      </c>
      <c r="V117" s="136"/>
      <c r="W117" s="137"/>
    </row>
    <row r="118" spans="2:24">
      <c r="B118" s="135"/>
      <c r="C118" s="328"/>
      <c r="D118" s="326"/>
      <c r="E118" s="328"/>
      <c r="F118" s="127"/>
      <c r="G118" s="127"/>
      <c r="H118" s="128"/>
      <c r="I118" s="146"/>
      <c r="J118" s="628"/>
      <c r="K118" s="139"/>
      <c r="L118" s="140"/>
      <c r="M118" s="634"/>
      <c r="N118" s="629"/>
      <c r="O118" s="630"/>
      <c r="P118" s="156"/>
      <c r="Q118" s="633"/>
      <c r="R118" s="162"/>
      <c r="S118" s="598">
        <v>45847</v>
      </c>
      <c r="T118" s="154">
        <f t="shared" si="1"/>
        <v>349600.89285714284</v>
      </c>
      <c r="U118" s="155">
        <v>391553</v>
      </c>
      <c r="V118" s="136"/>
      <c r="W118" s="137"/>
    </row>
    <row r="119" spans="2:24">
      <c r="B119" s="135"/>
      <c r="C119" s="328"/>
      <c r="D119" s="326"/>
      <c r="E119" s="328"/>
      <c r="F119" s="127"/>
      <c r="G119" s="127"/>
      <c r="H119" s="128"/>
      <c r="I119" s="146"/>
      <c r="J119" s="628"/>
      <c r="K119" s="139"/>
      <c r="L119" s="140"/>
      <c r="M119" s="634"/>
      <c r="N119" s="629"/>
      <c r="O119" s="630"/>
      <c r="P119" s="156"/>
      <c r="Q119" s="633"/>
      <c r="R119" s="162"/>
      <c r="S119" s="598">
        <v>45966</v>
      </c>
      <c r="T119" s="139">
        <f t="shared" si="1"/>
        <v>319900</v>
      </c>
      <c r="U119" s="140">
        <v>358288</v>
      </c>
      <c r="V119" s="136"/>
      <c r="W119" s="137"/>
    </row>
    <row r="120" spans="2:24">
      <c r="B120" s="135"/>
      <c r="C120" s="328"/>
      <c r="D120" s="326"/>
      <c r="E120" s="328"/>
      <c r="F120" s="127"/>
      <c r="G120" s="127"/>
      <c r="H120" s="128"/>
      <c r="I120" s="146"/>
      <c r="J120" s="628"/>
      <c r="K120" s="139"/>
      <c r="L120" s="140"/>
      <c r="M120" s="634"/>
      <c r="N120" s="629"/>
      <c r="O120" s="630"/>
      <c r="P120" s="156"/>
      <c r="Q120" s="633"/>
      <c r="R120" s="162"/>
      <c r="S120" s="598">
        <v>45972</v>
      </c>
      <c r="T120" s="154">
        <f t="shared" si="1"/>
        <v>19338.392857142859</v>
      </c>
      <c r="U120" s="140">
        <v>21659</v>
      </c>
      <c r="V120" s="136"/>
      <c r="W120" s="137"/>
    </row>
    <row r="121" spans="2:24">
      <c r="B121" s="135"/>
      <c r="C121" s="328"/>
      <c r="D121" s="326"/>
      <c r="E121" s="328"/>
      <c r="F121" s="127"/>
      <c r="G121" s="127"/>
      <c r="H121" s="128"/>
      <c r="I121" s="129"/>
      <c r="J121" s="628"/>
      <c r="K121" s="139"/>
      <c r="L121" s="140"/>
      <c r="M121" s="634"/>
      <c r="N121" s="629"/>
      <c r="O121" s="630"/>
      <c r="P121" s="156"/>
      <c r="Q121" s="633"/>
      <c r="R121" s="162"/>
      <c r="S121" s="598">
        <v>46033</v>
      </c>
      <c r="T121" s="154">
        <f t="shared" si="1"/>
        <v>29007.589285714286</v>
      </c>
      <c r="U121" s="140">
        <v>32488.5</v>
      </c>
      <c r="V121" s="136"/>
      <c r="W121" s="137"/>
    </row>
    <row r="122" spans="2:24">
      <c r="B122" s="135"/>
      <c r="C122" s="328"/>
      <c r="D122" s="326"/>
      <c r="E122" s="328"/>
      <c r="F122" s="127"/>
      <c r="G122" s="127"/>
      <c r="H122" s="128"/>
      <c r="I122" s="129"/>
      <c r="J122" s="628"/>
      <c r="K122" s="139"/>
      <c r="L122" s="140"/>
      <c r="M122" s="634"/>
      <c r="N122" s="629"/>
      <c r="O122" s="630"/>
      <c r="P122" s="156"/>
      <c r="Q122" s="633"/>
      <c r="R122" s="162"/>
      <c r="S122" s="598"/>
      <c r="T122" s="154"/>
      <c r="U122" s="140"/>
      <c r="V122" s="136"/>
      <c r="W122" s="137"/>
    </row>
    <row r="123" spans="2:24" ht="13.8" thickBot="1">
      <c r="B123" s="135"/>
      <c r="C123" s="328"/>
      <c r="D123" s="326"/>
      <c r="E123" s="328"/>
      <c r="F123" s="127"/>
      <c r="G123" s="127"/>
      <c r="H123" s="128"/>
      <c r="I123" s="157" t="s">
        <v>4865</v>
      </c>
      <c r="J123" s="635"/>
      <c r="K123" s="355"/>
      <c r="L123" s="357"/>
      <c r="M123" s="359"/>
      <c r="N123" s="636">
        <f>SUM(N115:N122)</f>
        <v>0</v>
      </c>
      <c r="O123" s="648">
        <f>SUM(O115:O122)</f>
        <v>0</v>
      </c>
      <c r="P123" s="360"/>
      <c r="Q123" s="638">
        <f>SUM(Q115:Q122)</f>
        <v>0</v>
      </c>
      <c r="R123" s="377">
        <f>SUM(R115:R122)</f>
        <v>0</v>
      </c>
      <c r="S123" s="599"/>
      <c r="T123" s="378">
        <f>SUM(T115:T122)</f>
        <v>1251837.0535714286</v>
      </c>
      <c r="U123" s="600">
        <f>SUM(U115:U122)</f>
        <v>1402057.5</v>
      </c>
      <c r="V123" s="137"/>
      <c r="W123" s="137"/>
    </row>
    <row r="124" spans="2:24" ht="13.8" thickBot="1">
      <c r="B124" s="1375" t="s">
        <v>6208</v>
      </c>
      <c r="C124" s="331" t="s">
        <v>6266</v>
      </c>
      <c r="D124" s="352">
        <v>25099019</v>
      </c>
      <c r="E124" s="150" t="s">
        <v>6267</v>
      </c>
      <c r="F124" s="369">
        <v>1000000</v>
      </c>
      <c r="G124" s="369">
        <v>1120000</v>
      </c>
      <c r="H124" s="119">
        <v>46329</v>
      </c>
      <c r="I124" s="120"/>
      <c r="J124" s="618"/>
      <c r="K124" s="142"/>
      <c r="L124" s="143"/>
      <c r="M124" s="124"/>
      <c r="N124" s="620"/>
      <c r="O124" s="621"/>
      <c r="P124" s="125"/>
      <c r="Q124" s="622"/>
      <c r="R124" s="160"/>
      <c r="S124" s="596">
        <v>46033</v>
      </c>
      <c r="T124" s="151">
        <f>U124*100/112</f>
        <v>121550</v>
      </c>
      <c r="U124" s="603">
        <v>136136</v>
      </c>
      <c r="V124" s="158">
        <f>SUM(F124-N132-Q132-T132)</f>
        <v>878450</v>
      </c>
      <c r="W124" s="159">
        <f>SUM(G124-O132-R132-U132)</f>
        <v>983864</v>
      </c>
      <c r="X124" s="112" t="s">
        <v>5445</v>
      </c>
    </row>
    <row r="125" spans="2:24">
      <c r="B125" s="135"/>
      <c r="C125" s="328"/>
      <c r="D125" s="326"/>
      <c r="E125" s="328"/>
      <c r="F125" s="127"/>
      <c r="G125" s="127"/>
      <c r="H125" s="128"/>
      <c r="I125" s="146"/>
      <c r="J125" s="623"/>
      <c r="K125" s="122"/>
      <c r="L125" s="131"/>
      <c r="M125" s="376"/>
      <c r="N125" s="625"/>
      <c r="O125" s="626"/>
      <c r="P125" s="132"/>
      <c r="Q125" s="627"/>
      <c r="R125" s="161"/>
      <c r="S125" s="597"/>
      <c r="T125" s="152"/>
      <c r="U125" s="153"/>
      <c r="V125" s="133"/>
      <c r="W125" s="134"/>
    </row>
    <row r="126" spans="2:24">
      <c r="B126" s="135"/>
      <c r="C126" s="328"/>
      <c r="D126" s="326"/>
      <c r="E126" s="328"/>
      <c r="F126" s="127"/>
      <c r="G126" s="127"/>
      <c r="H126" s="128"/>
      <c r="I126" s="146"/>
      <c r="J126" s="628"/>
      <c r="K126" s="139"/>
      <c r="L126" s="140"/>
      <c r="M126" s="148"/>
      <c r="N126" s="629"/>
      <c r="O126" s="630"/>
      <c r="P126" s="156"/>
      <c r="Q126" s="633"/>
      <c r="R126" s="162"/>
      <c r="S126" s="598"/>
      <c r="T126" s="154"/>
      <c r="U126" s="155"/>
      <c r="V126" s="136"/>
      <c r="W126" s="137"/>
    </row>
    <row r="127" spans="2:24">
      <c r="B127" s="135"/>
      <c r="C127" s="328"/>
      <c r="D127" s="326"/>
      <c r="E127" s="328"/>
      <c r="F127" s="127"/>
      <c r="G127" s="127"/>
      <c r="H127" s="128"/>
      <c r="I127" s="146"/>
      <c r="J127" s="628"/>
      <c r="K127" s="139"/>
      <c r="L127" s="140"/>
      <c r="M127" s="634"/>
      <c r="N127" s="629"/>
      <c r="O127" s="630"/>
      <c r="P127" s="156"/>
      <c r="Q127" s="633"/>
      <c r="R127" s="162"/>
      <c r="S127" s="598"/>
      <c r="T127" s="154"/>
      <c r="U127" s="155"/>
      <c r="V127" s="136"/>
      <c r="W127" s="137"/>
    </row>
    <row r="128" spans="2:24">
      <c r="B128" s="135"/>
      <c r="C128" s="328"/>
      <c r="D128" s="326"/>
      <c r="E128" s="328"/>
      <c r="F128" s="127"/>
      <c r="G128" s="127"/>
      <c r="H128" s="128"/>
      <c r="I128" s="146"/>
      <c r="J128" s="628"/>
      <c r="K128" s="139"/>
      <c r="L128" s="140"/>
      <c r="M128" s="634"/>
      <c r="N128" s="629"/>
      <c r="O128" s="630"/>
      <c r="P128" s="156"/>
      <c r="Q128" s="633"/>
      <c r="R128" s="162"/>
      <c r="S128" s="608"/>
      <c r="T128" s="354"/>
      <c r="U128" s="356"/>
      <c r="V128" s="136"/>
      <c r="W128" s="137"/>
    </row>
    <row r="129" spans="2:23">
      <c r="B129" s="135"/>
      <c r="C129" s="328"/>
      <c r="D129" s="326"/>
      <c r="E129" s="328"/>
      <c r="F129" s="127"/>
      <c r="G129" s="127"/>
      <c r="H129" s="128"/>
      <c r="I129" s="146"/>
      <c r="J129" s="628"/>
      <c r="K129" s="139"/>
      <c r="L129" s="140"/>
      <c r="M129" s="634"/>
      <c r="N129" s="629"/>
      <c r="O129" s="630"/>
      <c r="P129" s="156"/>
      <c r="Q129" s="633"/>
      <c r="R129" s="162"/>
      <c r="S129" s="598"/>
      <c r="T129" s="154"/>
      <c r="U129" s="140"/>
      <c r="V129" s="136"/>
      <c r="W129" s="137"/>
    </row>
    <row r="130" spans="2:23">
      <c r="B130" s="135"/>
      <c r="C130" s="328"/>
      <c r="D130" s="326"/>
      <c r="E130" s="328"/>
      <c r="F130" s="127"/>
      <c r="G130" s="127"/>
      <c r="H130" s="128"/>
      <c r="I130" s="129"/>
      <c r="J130" s="628"/>
      <c r="K130" s="139"/>
      <c r="L130" s="140"/>
      <c r="M130" s="634"/>
      <c r="N130" s="629"/>
      <c r="O130" s="630"/>
      <c r="P130" s="156"/>
      <c r="Q130" s="633"/>
      <c r="R130" s="162"/>
      <c r="S130" s="598"/>
      <c r="T130" s="154"/>
      <c r="U130" s="140"/>
      <c r="V130" s="136"/>
      <c r="W130" s="137"/>
    </row>
    <row r="131" spans="2:23">
      <c r="B131" s="135"/>
      <c r="C131" s="328"/>
      <c r="D131" s="326"/>
      <c r="E131" s="328"/>
      <c r="F131" s="127"/>
      <c r="G131" s="127"/>
      <c r="H131" s="128"/>
      <c r="I131" s="129"/>
      <c r="J131" s="628"/>
      <c r="K131" s="139"/>
      <c r="L131" s="140"/>
      <c r="M131" s="634"/>
      <c r="N131" s="629"/>
      <c r="O131" s="630"/>
      <c r="P131" s="156"/>
      <c r="Q131" s="633"/>
      <c r="R131" s="162"/>
      <c r="S131" s="598"/>
      <c r="T131" s="154"/>
      <c r="U131" s="140"/>
      <c r="V131" s="136"/>
      <c r="W131" s="137"/>
    </row>
    <row r="132" spans="2:23" ht="13.8" thickBot="1">
      <c r="B132" s="135"/>
      <c r="C132" s="328"/>
      <c r="D132" s="326"/>
      <c r="E132" s="328"/>
      <c r="F132" s="127"/>
      <c r="G132" s="127"/>
      <c r="H132" s="128"/>
      <c r="I132" s="157" t="s">
        <v>4865</v>
      </c>
      <c r="J132" s="635"/>
      <c r="K132" s="355"/>
      <c r="L132" s="357"/>
      <c r="M132" s="359"/>
      <c r="N132" s="636">
        <f>SUM(N124:N131)</f>
        <v>0</v>
      </c>
      <c r="O132" s="648">
        <f>SUM(O124:O131)</f>
        <v>0</v>
      </c>
      <c r="P132" s="360"/>
      <c r="Q132" s="638">
        <f>SUM(Q124:Q131)</f>
        <v>0</v>
      </c>
      <c r="R132" s="377">
        <f>SUM(R124:R131)</f>
        <v>0</v>
      </c>
      <c r="S132" s="599"/>
      <c r="T132" s="378">
        <f>SUM(T124:T131)</f>
        <v>121550</v>
      </c>
      <c r="U132" s="600">
        <f>SUM(U124:U131)</f>
        <v>136136</v>
      </c>
      <c r="V132" s="137"/>
      <c r="W132" s="137"/>
    </row>
    <row r="133" spans="2:23" ht="13.8" thickBot="1">
      <c r="B133" s="150" t="s">
        <v>733</v>
      </c>
      <c r="C133" s="331" t="s">
        <v>734</v>
      </c>
      <c r="D133" s="330">
        <v>27094987</v>
      </c>
      <c r="E133" s="329" t="s">
        <v>4879</v>
      </c>
      <c r="F133" s="117">
        <v>600000</v>
      </c>
      <c r="G133" s="118">
        <v>726000</v>
      </c>
      <c r="H133" s="119">
        <v>46587</v>
      </c>
      <c r="I133" s="120"/>
      <c r="J133" s="618"/>
      <c r="K133" s="142"/>
      <c r="L133" s="143"/>
      <c r="M133" s="124">
        <v>45184</v>
      </c>
      <c r="N133" s="620">
        <v>20400</v>
      </c>
      <c r="O133" s="621">
        <v>24684</v>
      </c>
      <c r="P133" s="125">
        <v>45296</v>
      </c>
      <c r="Q133" s="622">
        <v>20400</v>
      </c>
      <c r="R133" s="160">
        <v>24684</v>
      </c>
      <c r="S133" s="596">
        <v>45713</v>
      </c>
      <c r="T133" s="151">
        <v>20400</v>
      </c>
      <c r="U133" s="607">
        <v>22848</v>
      </c>
      <c r="V133" s="158">
        <f>SUM(F133-N141-Q141-T141)</f>
        <v>260000</v>
      </c>
      <c r="W133" s="159">
        <f>SUM(G133-O141-R141-U141)</f>
        <v>338162</v>
      </c>
    </row>
    <row r="134" spans="2:23">
      <c r="B134" s="126"/>
      <c r="C134" s="328"/>
      <c r="D134" s="326"/>
      <c r="E134" s="328"/>
      <c r="F134" s="127"/>
      <c r="G134" s="127"/>
      <c r="H134" s="128"/>
      <c r="I134" s="146"/>
      <c r="J134" s="623"/>
      <c r="K134" s="122"/>
      <c r="L134" s="131"/>
      <c r="M134" s="376">
        <v>45245</v>
      </c>
      <c r="N134" s="625">
        <v>17000</v>
      </c>
      <c r="O134" s="626">
        <v>20570</v>
      </c>
      <c r="P134" s="132">
        <v>45371</v>
      </c>
      <c r="Q134" s="627">
        <v>20400</v>
      </c>
      <c r="R134" s="161">
        <v>22848</v>
      </c>
      <c r="S134" s="597">
        <v>45743</v>
      </c>
      <c r="T134" s="152">
        <v>20400</v>
      </c>
      <c r="U134" s="131">
        <v>22848</v>
      </c>
      <c r="V134" s="133"/>
      <c r="W134" s="134"/>
    </row>
    <row r="135" spans="2:23">
      <c r="B135" s="135"/>
      <c r="C135" s="328"/>
      <c r="D135" s="326"/>
      <c r="E135" s="328"/>
      <c r="F135" s="127"/>
      <c r="G135" s="127"/>
      <c r="H135" s="128"/>
      <c r="I135" s="146"/>
      <c r="J135" s="628"/>
      <c r="K135" s="139"/>
      <c r="L135" s="140"/>
      <c r="M135" s="148">
        <v>45282</v>
      </c>
      <c r="N135" s="629">
        <v>20400</v>
      </c>
      <c r="O135" s="630">
        <v>24684</v>
      </c>
      <c r="P135" s="156">
        <v>45429</v>
      </c>
      <c r="Q135" s="633">
        <v>20400</v>
      </c>
      <c r="R135" s="162">
        <v>22848</v>
      </c>
      <c r="S135" s="598">
        <v>45807</v>
      </c>
      <c r="T135" s="154">
        <v>20400</v>
      </c>
      <c r="U135" s="140">
        <v>22848</v>
      </c>
      <c r="V135" s="136"/>
      <c r="W135" s="137"/>
    </row>
    <row r="136" spans="2:23">
      <c r="B136" s="135"/>
      <c r="C136" s="328"/>
      <c r="D136" s="326"/>
      <c r="E136" s="328"/>
      <c r="F136" s="127"/>
      <c r="G136" s="127"/>
      <c r="H136" s="128"/>
      <c r="I136" s="146"/>
      <c r="J136" s="628"/>
      <c r="K136" s="139"/>
      <c r="L136" s="140"/>
      <c r="M136" s="634"/>
      <c r="N136" s="629"/>
      <c r="O136" s="630"/>
      <c r="P136" s="156">
        <v>45484</v>
      </c>
      <c r="Q136" s="633">
        <v>20400</v>
      </c>
      <c r="R136" s="162">
        <v>22848</v>
      </c>
      <c r="S136" s="598">
        <v>45860</v>
      </c>
      <c r="T136" s="154">
        <v>20400</v>
      </c>
      <c r="U136" s="140">
        <v>22848</v>
      </c>
      <c r="V136" s="136"/>
      <c r="W136" s="137"/>
    </row>
    <row r="137" spans="2:23">
      <c r="B137" s="135"/>
      <c r="C137" s="328"/>
      <c r="D137" s="326"/>
      <c r="E137" s="328"/>
      <c r="F137" s="127"/>
      <c r="G137" s="127"/>
      <c r="H137" s="128"/>
      <c r="I137" s="146"/>
      <c r="J137" s="628"/>
      <c r="K137" s="139"/>
      <c r="L137" s="140"/>
      <c r="M137" s="634"/>
      <c r="N137" s="629"/>
      <c r="O137" s="630"/>
      <c r="P137" s="156">
        <v>45541</v>
      </c>
      <c r="Q137" s="633">
        <v>20400</v>
      </c>
      <c r="R137" s="162">
        <v>22848</v>
      </c>
      <c r="S137" s="598">
        <v>45883</v>
      </c>
      <c r="T137" s="154">
        <f>U137*100/112</f>
        <v>17000</v>
      </c>
      <c r="U137" s="140">
        <v>19040</v>
      </c>
      <c r="V137" s="136"/>
      <c r="W137" s="137"/>
    </row>
    <row r="138" spans="2:23">
      <c r="B138" s="135"/>
      <c r="C138" s="328"/>
      <c r="D138" s="326"/>
      <c r="E138" s="328"/>
      <c r="F138" s="127"/>
      <c r="G138" s="127"/>
      <c r="H138" s="128"/>
      <c r="I138" s="146"/>
      <c r="J138" s="628"/>
      <c r="K138" s="139"/>
      <c r="L138" s="140"/>
      <c r="M138" s="634"/>
      <c r="N138" s="629"/>
      <c r="O138" s="630"/>
      <c r="P138" s="156">
        <v>45597</v>
      </c>
      <c r="Q138" s="633">
        <v>20400</v>
      </c>
      <c r="R138" s="162">
        <v>22848</v>
      </c>
      <c r="S138" s="598">
        <v>45938</v>
      </c>
      <c r="T138" s="154">
        <f>U138*100/112</f>
        <v>20400</v>
      </c>
      <c r="U138" s="155">
        <v>22848</v>
      </c>
      <c r="V138" s="136"/>
      <c r="W138" s="137"/>
    </row>
    <row r="139" spans="2:23">
      <c r="B139" s="135"/>
      <c r="C139" s="328"/>
      <c r="D139" s="326"/>
      <c r="E139" s="328"/>
      <c r="F139" s="127"/>
      <c r="G139" s="127"/>
      <c r="H139" s="128"/>
      <c r="I139" s="129"/>
      <c r="J139" s="628"/>
      <c r="K139" s="139"/>
      <c r="L139" s="140"/>
      <c r="M139" s="634"/>
      <c r="N139" s="629"/>
      <c r="O139" s="630"/>
      <c r="P139" s="156">
        <v>45643</v>
      </c>
      <c r="Q139" s="633">
        <v>20400</v>
      </c>
      <c r="R139" s="162">
        <v>22848</v>
      </c>
      <c r="S139" s="1647">
        <v>46022</v>
      </c>
      <c r="T139" s="154">
        <v>20400</v>
      </c>
      <c r="U139" s="155">
        <v>22848</v>
      </c>
      <c r="V139" s="363"/>
      <c r="W139" s="137"/>
    </row>
    <row r="140" spans="2:23">
      <c r="B140" s="135"/>
      <c r="C140" s="328"/>
      <c r="D140" s="326"/>
      <c r="E140" s="328"/>
      <c r="F140" s="127"/>
      <c r="G140" s="127"/>
      <c r="H140" s="128"/>
      <c r="I140" s="129"/>
      <c r="J140" s="628"/>
      <c r="K140" s="139"/>
      <c r="L140" s="140"/>
      <c r="M140" s="634"/>
      <c r="N140" s="629"/>
      <c r="O140" s="630"/>
      <c r="P140" s="156"/>
      <c r="Q140" s="633"/>
      <c r="R140" s="162"/>
      <c r="S140" s="598"/>
      <c r="T140" s="154"/>
      <c r="U140" s="140"/>
      <c r="V140" s="136"/>
      <c r="W140" s="137"/>
    </row>
    <row r="141" spans="2:23" ht="13.8" thickBot="1">
      <c r="B141" s="135"/>
      <c r="C141" s="328"/>
      <c r="D141" s="326"/>
      <c r="E141" s="328"/>
      <c r="F141" s="127"/>
      <c r="G141" s="127"/>
      <c r="H141" s="128"/>
      <c r="I141" s="157" t="s">
        <v>4865</v>
      </c>
      <c r="J141" s="635"/>
      <c r="K141" s="355"/>
      <c r="L141" s="357"/>
      <c r="M141" s="359"/>
      <c r="N141" s="636">
        <f>SUM(N133:N140)</f>
        <v>57800</v>
      </c>
      <c r="O141" s="648">
        <f>SUM(O133:O140)</f>
        <v>69938</v>
      </c>
      <c r="P141" s="360"/>
      <c r="Q141" s="638">
        <f>SUM(Q133:Q140)</f>
        <v>142800</v>
      </c>
      <c r="R141" s="377">
        <f>SUM(R133:R140)</f>
        <v>161772</v>
      </c>
      <c r="S141" s="599"/>
      <c r="T141" s="378">
        <f>SUM(T133:T140)</f>
        <v>139400</v>
      </c>
      <c r="U141" s="600">
        <f>SUM(U133:U140)</f>
        <v>156128</v>
      </c>
      <c r="V141" s="137"/>
      <c r="W141" s="137"/>
    </row>
    <row r="142" spans="2:23" ht="13.8" thickBot="1">
      <c r="B142" s="150" t="s">
        <v>736</v>
      </c>
      <c r="C142" s="331" t="s">
        <v>737</v>
      </c>
      <c r="D142" s="352">
        <v>27094987</v>
      </c>
      <c r="E142" s="331" t="s">
        <v>4879</v>
      </c>
      <c r="F142" s="369">
        <v>60000</v>
      </c>
      <c r="G142" s="369">
        <v>72600</v>
      </c>
      <c r="H142" s="119">
        <v>46587</v>
      </c>
      <c r="I142" s="120"/>
      <c r="J142" s="618"/>
      <c r="K142" s="142"/>
      <c r="L142" s="143"/>
      <c r="M142" s="124">
        <v>45184</v>
      </c>
      <c r="N142" s="620">
        <v>1900</v>
      </c>
      <c r="O142" s="621">
        <v>2299</v>
      </c>
      <c r="P142" s="125">
        <v>45293</v>
      </c>
      <c r="Q142" s="622">
        <v>1900</v>
      </c>
      <c r="R142" s="160">
        <v>2299</v>
      </c>
      <c r="S142" s="597">
        <v>45713</v>
      </c>
      <c r="T142" s="151">
        <f>1064/112*100</f>
        <v>950</v>
      </c>
      <c r="U142" s="607">
        <v>1064</v>
      </c>
      <c r="V142" s="158">
        <f>SUM(F142-N150-Q150-T150)</f>
        <v>35300</v>
      </c>
      <c r="W142" s="159">
        <f>SUM(G142-O150-R150-U150)</f>
        <v>44252</v>
      </c>
    </row>
    <row r="143" spans="2:23">
      <c r="B143" s="135"/>
      <c r="C143" s="328"/>
      <c r="D143" s="326"/>
      <c r="E143" s="328"/>
      <c r="F143" s="127"/>
      <c r="G143" s="127"/>
      <c r="H143" s="128"/>
      <c r="I143" s="146"/>
      <c r="J143" s="623"/>
      <c r="K143" s="122"/>
      <c r="L143" s="131"/>
      <c r="M143" s="376">
        <v>45282</v>
      </c>
      <c r="N143" s="625">
        <v>3800</v>
      </c>
      <c r="O143" s="626">
        <v>4598</v>
      </c>
      <c r="P143" s="132">
        <v>45541</v>
      </c>
      <c r="Q143" s="627">
        <v>1900</v>
      </c>
      <c r="R143" s="161">
        <v>2128</v>
      </c>
      <c r="S143" s="598">
        <v>45807</v>
      </c>
      <c r="T143" s="152">
        <f>4256/112*100</f>
        <v>3800</v>
      </c>
      <c r="U143" s="131">
        <v>4256</v>
      </c>
      <c r="V143" s="133"/>
      <c r="W143" s="134"/>
    </row>
    <row r="144" spans="2:23">
      <c r="B144" s="135"/>
      <c r="C144" s="328"/>
      <c r="D144" s="326"/>
      <c r="E144" s="328"/>
      <c r="F144" s="127"/>
      <c r="G144" s="127"/>
      <c r="H144" s="128"/>
      <c r="I144" s="146"/>
      <c r="J144" s="628"/>
      <c r="K144" s="139"/>
      <c r="L144" s="140"/>
      <c r="M144" s="634"/>
      <c r="N144" s="629"/>
      <c r="O144" s="630"/>
      <c r="P144" s="156">
        <v>45597</v>
      </c>
      <c r="Q144" s="633">
        <v>1900</v>
      </c>
      <c r="R144" s="162">
        <v>2128</v>
      </c>
      <c r="S144" s="598">
        <v>45964</v>
      </c>
      <c r="T144" s="152">
        <f>U144/112*100</f>
        <v>5700</v>
      </c>
      <c r="U144" s="140">
        <v>6384</v>
      </c>
      <c r="V144" s="136"/>
      <c r="W144" s="137"/>
    </row>
    <row r="145" spans="2:23">
      <c r="B145" s="135"/>
      <c r="C145" s="328"/>
      <c r="D145" s="326"/>
      <c r="E145" s="328"/>
      <c r="F145" s="127"/>
      <c r="G145" s="127"/>
      <c r="H145" s="128"/>
      <c r="I145" s="146"/>
      <c r="J145" s="628"/>
      <c r="K145" s="139"/>
      <c r="L145" s="140"/>
      <c r="M145" s="634"/>
      <c r="N145" s="629"/>
      <c r="O145" s="630"/>
      <c r="P145" s="156">
        <v>45643</v>
      </c>
      <c r="Q145" s="633">
        <v>2850</v>
      </c>
      <c r="R145" s="162">
        <v>3192</v>
      </c>
      <c r="S145" s="598"/>
      <c r="T145" s="154"/>
      <c r="U145" s="140"/>
      <c r="V145" s="136"/>
      <c r="W145" s="137"/>
    </row>
    <row r="146" spans="2:23">
      <c r="B146" s="135"/>
      <c r="C146" s="328"/>
      <c r="D146" s="326"/>
      <c r="E146" s="328"/>
      <c r="F146" s="127"/>
      <c r="G146" s="127"/>
      <c r="H146" s="128"/>
      <c r="I146" s="146"/>
      <c r="J146" s="628"/>
      <c r="K146" s="139"/>
      <c r="L146" s="140"/>
      <c r="M146" s="634"/>
      <c r="N146" s="629"/>
      <c r="O146" s="630"/>
      <c r="P146" s="651"/>
      <c r="Q146" s="633"/>
      <c r="R146" s="162"/>
      <c r="S146" s="608"/>
      <c r="T146" s="154"/>
      <c r="U146" s="155"/>
      <c r="V146" s="136"/>
      <c r="W146" s="137"/>
    </row>
    <row r="147" spans="2:23">
      <c r="B147" s="135"/>
      <c r="C147" s="328"/>
      <c r="D147" s="326"/>
      <c r="E147" s="328"/>
      <c r="F147" s="127"/>
      <c r="G147" s="127"/>
      <c r="H147" s="128"/>
      <c r="I147" s="146"/>
      <c r="J147" s="628"/>
      <c r="K147" s="139"/>
      <c r="L147" s="140"/>
      <c r="M147" s="634"/>
      <c r="N147" s="629"/>
      <c r="O147" s="630"/>
      <c r="P147" s="651"/>
      <c r="Q147" s="631"/>
      <c r="R147" s="632"/>
      <c r="S147" s="608"/>
      <c r="T147" s="354"/>
      <c r="U147" s="356"/>
      <c r="V147" s="363"/>
      <c r="W147" s="137"/>
    </row>
    <row r="148" spans="2:23">
      <c r="B148" s="135"/>
      <c r="C148" s="328"/>
      <c r="D148" s="326"/>
      <c r="E148" s="328"/>
      <c r="F148" s="127"/>
      <c r="G148" s="127"/>
      <c r="H148" s="128"/>
      <c r="I148" s="129"/>
      <c r="J148" s="628"/>
      <c r="K148" s="139"/>
      <c r="L148" s="140"/>
      <c r="M148" s="634"/>
      <c r="N148" s="629"/>
      <c r="O148" s="630"/>
      <c r="P148" s="156"/>
      <c r="Q148" s="633"/>
      <c r="R148" s="162"/>
      <c r="S148" s="598"/>
      <c r="T148" s="154"/>
      <c r="U148" s="140"/>
      <c r="V148" s="136"/>
      <c r="W148" s="137"/>
    </row>
    <row r="149" spans="2:23">
      <c r="B149" s="135"/>
      <c r="C149" s="328"/>
      <c r="D149" s="326"/>
      <c r="E149" s="328"/>
      <c r="F149" s="127"/>
      <c r="G149" s="127"/>
      <c r="H149" s="128"/>
      <c r="I149" s="129"/>
      <c r="J149" s="628"/>
      <c r="K149" s="139"/>
      <c r="L149" s="140"/>
      <c r="M149" s="634"/>
      <c r="N149" s="629"/>
      <c r="O149" s="630"/>
      <c r="P149" s="156"/>
      <c r="Q149" s="633"/>
      <c r="R149" s="162"/>
      <c r="S149" s="598"/>
      <c r="T149" s="154"/>
      <c r="U149" s="140"/>
      <c r="V149" s="136"/>
      <c r="W149" s="137"/>
    </row>
    <row r="150" spans="2:23" ht="13.8" thickBot="1">
      <c r="B150" s="135"/>
      <c r="C150" s="328"/>
      <c r="D150" s="326"/>
      <c r="E150" s="328"/>
      <c r="F150" s="127"/>
      <c r="G150" s="127"/>
      <c r="H150" s="128"/>
      <c r="I150" s="157" t="s">
        <v>4865</v>
      </c>
      <c r="J150" s="635"/>
      <c r="K150" s="355"/>
      <c r="L150" s="357"/>
      <c r="M150" s="359"/>
      <c r="N150" s="636">
        <f>SUM(N142:N149)</f>
        <v>5700</v>
      </c>
      <c r="O150" s="648">
        <f>SUM(O142:O149)</f>
        <v>6897</v>
      </c>
      <c r="P150" s="360"/>
      <c r="Q150" s="638">
        <f>SUM(Q142:Q149)</f>
        <v>8550</v>
      </c>
      <c r="R150" s="377">
        <f>SUM(R142:R149)</f>
        <v>9747</v>
      </c>
      <c r="S150" s="599"/>
      <c r="T150" s="378">
        <f>SUM(T142:T149)</f>
        <v>10450</v>
      </c>
      <c r="U150" s="600">
        <f>SUM(U142:U149)</f>
        <v>11704</v>
      </c>
      <c r="V150" s="137"/>
      <c r="W150" s="137"/>
    </row>
    <row r="151" spans="2:23" ht="13.8" thickBot="1">
      <c r="B151" s="150" t="s">
        <v>739</v>
      </c>
      <c r="C151" s="331" t="s">
        <v>740</v>
      </c>
      <c r="D151" s="352">
        <v>27094987</v>
      </c>
      <c r="E151" s="331" t="s">
        <v>4879</v>
      </c>
      <c r="F151" s="369">
        <v>180000</v>
      </c>
      <c r="G151" s="369">
        <v>217800</v>
      </c>
      <c r="H151" s="119">
        <v>46587</v>
      </c>
      <c r="I151" s="120"/>
      <c r="J151" s="618"/>
      <c r="K151" s="142"/>
      <c r="L151" s="143"/>
      <c r="M151" s="619"/>
      <c r="N151" s="620"/>
      <c r="O151" s="621"/>
      <c r="P151" s="125">
        <v>45296</v>
      </c>
      <c r="Q151" s="622">
        <v>9500</v>
      </c>
      <c r="R151" s="160">
        <v>11495</v>
      </c>
      <c r="S151" s="596">
        <v>45713</v>
      </c>
      <c r="T151" s="151">
        <v>9500</v>
      </c>
      <c r="U151" s="607">
        <v>10640</v>
      </c>
      <c r="V151" s="158">
        <f>SUM(F151-Q159-T159)</f>
        <v>60300</v>
      </c>
      <c r="W151" s="159">
        <f>SUM(G151-R159-U159)</f>
        <v>82881</v>
      </c>
    </row>
    <row r="152" spans="2:23">
      <c r="B152" s="135"/>
      <c r="C152" s="328"/>
      <c r="D152" s="326"/>
      <c r="E152" s="328"/>
      <c r="F152" s="127"/>
      <c r="G152" s="127"/>
      <c r="H152" s="128"/>
      <c r="I152" s="146"/>
      <c r="J152" s="623"/>
      <c r="K152" s="122"/>
      <c r="L152" s="131"/>
      <c r="M152" s="624"/>
      <c r="N152" s="625"/>
      <c r="O152" s="626"/>
      <c r="P152" s="132">
        <v>45371</v>
      </c>
      <c r="Q152" s="627">
        <v>9500</v>
      </c>
      <c r="R152" s="161">
        <v>10640</v>
      </c>
      <c r="S152" s="597">
        <v>45743</v>
      </c>
      <c r="T152" s="152">
        <v>13300</v>
      </c>
      <c r="U152" s="131">
        <v>14896</v>
      </c>
      <c r="V152" s="133"/>
      <c r="W152" s="134"/>
    </row>
    <row r="153" spans="2:23">
      <c r="B153" s="135"/>
      <c r="C153" s="328"/>
      <c r="D153" s="326"/>
      <c r="E153" s="328"/>
      <c r="F153" s="127"/>
      <c r="G153" s="127"/>
      <c r="H153" s="128"/>
      <c r="I153" s="146"/>
      <c r="J153" s="628"/>
      <c r="K153" s="139"/>
      <c r="L153" s="140"/>
      <c r="M153" s="634"/>
      <c r="N153" s="629"/>
      <c r="O153" s="630"/>
      <c r="P153" s="156">
        <v>45429</v>
      </c>
      <c r="Q153" s="633">
        <v>9500</v>
      </c>
      <c r="R153" s="162">
        <v>10640</v>
      </c>
      <c r="S153" s="598">
        <v>45807</v>
      </c>
      <c r="T153" s="154">
        <v>13300</v>
      </c>
      <c r="U153" s="140">
        <v>14896</v>
      </c>
      <c r="V153" s="136"/>
      <c r="W153" s="137"/>
    </row>
    <row r="154" spans="2:23">
      <c r="B154" s="135"/>
      <c r="C154" s="328"/>
      <c r="D154" s="326"/>
      <c r="E154" s="328"/>
      <c r="F154" s="127"/>
      <c r="G154" s="127"/>
      <c r="H154" s="128"/>
      <c r="I154" s="146"/>
      <c r="J154" s="628"/>
      <c r="K154" s="139"/>
      <c r="L154" s="140"/>
      <c r="M154" s="634"/>
      <c r="N154" s="629"/>
      <c r="O154" s="630"/>
      <c r="P154" s="156">
        <v>45484</v>
      </c>
      <c r="Q154" s="633">
        <v>7600</v>
      </c>
      <c r="R154" s="162">
        <v>8512</v>
      </c>
      <c r="S154" s="598">
        <v>45883</v>
      </c>
      <c r="T154" s="154">
        <v>13300</v>
      </c>
      <c r="U154" s="140">
        <v>14896</v>
      </c>
      <c r="V154" s="136"/>
      <c r="W154" s="137"/>
    </row>
    <row r="155" spans="2:23">
      <c r="B155" s="135"/>
      <c r="C155" s="328"/>
      <c r="D155" s="326"/>
      <c r="E155" s="328"/>
      <c r="F155" s="127"/>
      <c r="G155" s="127"/>
      <c r="H155" s="128"/>
      <c r="I155" s="146"/>
      <c r="J155" s="628"/>
      <c r="K155" s="139"/>
      <c r="L155" s="140"/>
      <c r="M155" s="634"/>
      <c r="N155" s="629"/>
      <c r="O155" s="630"/>
      <c r="P155" s="156">
        <v>45541</v>
      </c>
      <c r="Q155" s="633">
        <v>9500</v>
      </c>
      <c r="R155" s="162">
        <v>10640</v>
      </c>
      <c r="S155" s="598">
        <v>45964</v>
      </c>
      <c r="T155" s="154">
        <f>U155*100/112</f>
        <v>9500</v>
      </c>
      <c r="U155" s="155">
        <v>10640</v>
      </c>
      <c r="V155" s="363"/>
      <c r="W155" s="137"/>
    </row>
    <row r="156" spans="2:23">
      <c r="B156" s="135"/>
      <c r="C156" s="328"/>
      <c r="D156" s="326"/>
      <c r="E156" s="328"/>
      <c r="F156" s="127"/>
      <c r="G156" s="127"/>
      <c r="H156" s="128"/>
      <c r="I156" s="146"/>
      <c r="J156" s="628"/>
      <c r="K156" s="139"/>
      <c r="L156" s="140"/>
      <c r="M156" s="634"/>
      <c r="N156" s="629"/>
      <c r="O156" s="630"/>
      <c r="P156" s="156">
        <v>45597</v>
      </c>
      <c r="Q156" s="633">
        <v>9500</v>
      </c>
      <c r="R156" s="162">
        <v>10640</v>
      </c>
      <c r="S156" s="598">
        <v>46023</v>
      </c>
      <c r="T156" s="154">
        <f>U156*100/112</f>
        <v>5700</v>
      </c>
      <c r="U156" s="140">
        <v>6384</v>
      </c>
      <c r="V156" s="136"/>
      <c r="W156" s="137"/>
    </row>
    <row r="157" spans="2:23">
      <c r="B157" s="135"/>
      <c r="C157" s="328"/>
      <c r="D157" s="326"/>
      <c r="E157" s="328"/>
      <c r="F157" s="127"/>
      <c r="G157" s="127"/>
      <c r="H157" s="128"/>
      <c r="I157" s="129"/>
      <c r="J157" s="628"/>
      <c r="K157" s="139"/>
      <c r="L157" s="140"/>
      <c r="M157" s="634"/>
      <c r="N157" s="629"/>
      <c r="O157" s="630"/>
      <c r="P157" s="156"/>
      <c r="Q157" s="633"/>
      <c r="R157" s="162"/>
      <c r="S157" s="598"/>
      <c r="T157" s="154"/>
      <c r="U157" s="140"/>
      <c r="V157" s="136"/>
      <c r="W157" s="137"/>
    </row>
    <row r="158" spans="2:23">
      <c r="B158" s="135"/>
      <c r="C158" s="328"/>
      <c r="D158" s="326"/>
      <c r="E158" s="328"/>
      <c r="F158" s="127"/>
      <c r="G158" s="127"/>
      <c r="H158" s="128"/>
      <c r="I158" s="129"/>
      <c r="J158" s="628"/>
      <c r="K158" s="139"/>
      <c r="L158" s="140"/>
      <c r="M158" s="634"/>
      <c r="N158" s="629"/>
      <c r="O158" s="630"/>
      <c r="P158" s="156"/>
      <c r="Q158" s="633"/>
      <c r="R158" s="162"/>
      <c r="S158" s="598"/>
      <c r="T158" s="154"/>
      <c r="U158" s="140"/>
      <c r="V158" s="136"/>
      <c r="W158" s="137"/>
    </row>
    <row r="159" spans="2:23" ht="13.8" thickBot="1">
      <c r="B159" s="135"/>
      <c r="C159" s="328"/>
      <c r="D159" s="326"/>
      <c r="E159" s="328"/>
      <c r="F159" s="127"/>
      <c r="G159" s="127"/>
      <c r="H159" s="128"/>
      <c r="I159" s="157" t="s">
        <v>4865</v>
      </c>
      <c r="J159" s="635"/>
      <c r="K159" s="355"/>
      <c r="L159" s="357"/>
      <c r="M159" s="359"/>
      <c r="N159" s="641"/>
      <c r="O159" s="642"/>
      <c r="P159" s="360"/>
      <c r="Q159" s="638">
        <f>SUM(Q151:Q158)</f>
        <v>55100</v>
      </c>
      <c r="R159" s="377">
        <f>SUM(R151:R158)</f>
        <v>62567</v>
      </c>
      <c r="S159" s="599"/>
      <c r="T159" s="378">
        <f>SUM(T151:T158)</f>
        <v>64600</v>
      </c>
      <c r="U159" s="600">
        <f>SUM(U151:U158)</f>
        <v>72352</v>
      </c>
      <c r="V159" s="137"/>
      <c r="W159" s="137"/>
    </row>
    <row r="160" spans="2:23" ht="13.8" thickBot="1">
      <c r="B160" s="150" t="s">
        <v>742</v>
      </c>
      <c r="C160" s="331" t="s">
        <v>743</v>
      </c>
      <c r="D160" s="352">
        <v>27094987</v>
      </c>
      <c r="E160" s="331" t="s">
        <v>4879</v>
      </c>
      <c r="F160" s="369">
        <v>70000</v>
      </c>
      <c r="G160" s="369">
        <v>84700</v>
      </c>
      <c r="H160" s="119">
        <v>46587</v>
      </c>
      <c r="I160" s="120"/>
      <c r="J160" s="618"/>
      <c r="K160" s="142"/>
      <c r="L160" s="143"/>
      <c r="M160" s="124">
        <v>45184</v>
      </c>
      <c r="N160" s="620">
        <v>1900</v>
      </c>
      <c r="O160" s="621">
        <v>2299</v>
      </c>
      <c r="P160" s="125">
        <v>45293</v>
      </c>
      <c r="Q160" s="622">
        <v>1900</v>
      </c>
      <c r="R160" s="160">
        <v>2299</v>
      </c>
      <c r="S160" s="596">
        <v>45713</v>
      </c>
      <c r="T160" s="151">
        <v>2850</v>
      </c>
      <c r="U160" s="607">
        <v>3192</v>
      </c>
      <c r="V160" s="158">
        <f>SUM(F160-N168-Q168-T168)</f>
        <v>39600</v>
      </c>
      <c r="W160" s="159">
        <f>SUM(G160-O168-R168-U168)</f>
        <v>50310</v>
      </c>
    </row>
    <row r="161" spans="2:23">
      <c r="B161" s="135"/>
      <c r="C161" s="328"/>
      <c r="D161" s="326"/>
      <c r="E161" s="328"/>
      <c r="F161" s="127"/>
      <c r="G161" s="127"/>
      <c r="H161" s="128"/>
      <c r="I161" s="146"/>
      <c r="J161" s="623"/>
      <c r="K161" s="122"/>
      <c r="L161" s="131"/>
      <c r="M161" s="624"/>
      <c r="N161" s="625"/>
      <c r="O161" s="626"/>
      <c r="P161" s="132">
        <v>45429</v>
      </c>
      <c r="Q161" s="627">
        <v>1900</v>
      </c>
      <c r="R161" s="161">
        <v>2128</v>
      </c>
      <c r="S161" s="597">
        <v>45807</v>
      </c>
      <c r="T161" s="152">
        <f>4256*100/112</f>
        <v>3800</v>
      </c>
      <c r="U161" s="131">
        <v>4256</v>
      </c>
      <c r="V161" s="133"/>
      <c r="W161" s="134"/>
    </row>
    <row r="162" spans="2:23">
      <c r="B162" s="135"/>
      <c r="C162" s="328"/>
      <c r="D162" s="326"/>
      <c r="E162" s="328"/>
      <c r="F162" s="127"/>
      <c r="G162" s="127"/>
      <c r="H162" s="128"/>
      <c r="I162" s="146"/>
      <c r="J162" s="628"/>
      <c r="K162" s="139"/>
      <c r="L162" s="140"/>
      <c r="M162" s="634"/>
      <c r="N162" s="629"/>
      <c r="O162" s="630"/>
      <c r="P162" s="156">
        <v>45484</v>
      </c>
      <c r="Q162" s="633">
        <v>1900</v>
      </c>
      <c r="R162" s="162">
        <v>2128</v>
      </c>
      <c r="S162" s="598">
        <v>45883</v>
      </c>
      <c r="T162" s="152">
        <f>U162*100/112</f>
        <v>1900</v>
      </c>
      <c r="U162" s="155">
        <v>2128</v>
      </c>
      <c r="V162" s="136"/>
      <c r="W162" s="137"/>
    </row>
    <row r="163" spans="2:23">
      <c r="B163" s="135"/>
      <c r="C163" s="328"/>
      <c r="D163" s="326"/>
      <c r="E163" s="328"/>
      <c r="F163" s="127"/>
      <c r="G163" s="127"/>
      <c r="H163" s="128"/>
      <c r="I163" s="146"/>
      <c r="J163" s="628"/>
      <c r="K163" s="139"/>
      <c r="L163" s="140"/>
      <c r="M163" s="634"/>
      <c r="N163" s="629"/>
      <c r="O163" s="630"/>
      <c r="P163" s="156">
        <v>45541</v>
      </c>
      <c r="Q163" s="633">
        <v>1900</v>
      </c>
      <c r="R163" s="162">
        <v>2128</v>
      </c>
      <c r="S163" s="598">
        <v>45964</v>
      </c>
      <c r="T163" s="152">
        <f>U163*100/112</f>
        <v>3800</v>
      </c>
      <c r="U163" s="155">
        <v>4256</v>
      </c>
      <c r="V163" s="363"/>
      <c r="W163" s="137"/>
    </row>
    <row r="164" spans="2:23">
      <c r="B164" s="135"/>
      <c r="C164" s="328"/>
      <c r="D164" s="326"/>
      <c r="E164" s="328"/>
      <c r="F164" s="127"/>
      <c r="G164" s="127"/>
      <c r="H164" s="128"/>
      <c r="I164" s="146"/>
      <c r="J164" s="628"/>
      <c r="K164" s="139"/>
      <c r="L164" s="140"/>
      <c r="M164" s="634"/>
      <c r="N164" s="629"/>
      <c r="O164" s="630"/>
      <c r="P164" s="156">
        <v>45643</v>
      </c>
      <c r="Q164" s="633">
        <v>2850</v>
      </c>
      <c r="R164" s="162">
        <v>3192</v>
      </c>
      <c r="S164" s="598">
        <v>46023</v>
      </c>
      <c r="T164" s="152">
        <f>U164*100/112</f>
        <v>5700</v>
      </c>
      <c r="U164" s="140">
        <v>6384</v>
      </c>
      <c r="V164" s="136"/>
      <c r="W164" s="137"/>
    </row>
    <row r="165" spans="2:23">
      <c r="B165" s="135"/>
      <c r="C165" s="328"/>
      <c r="D165" s="326"/>
      <c r="E165" s="328"/>
      <c r="F165" s="127"/>
      <c r="G165" s="127"/>
      <c r="H165" s="128"/>
      <c r="I165" s="146"/>
      <c r="J165" s="628"/>
      <c r="K165" s="139"/>
      <c r="L165" s="140"/>
      <c r="M165" s="634"/>
      <c r="N165" s="629"/>
      <c r="O165" s="630"/>
      <c r="P165" s="156"/>
      <c r="Q165" s="633"/>
      <c r="R165" s="162"/>
      <c r="S165" s="598"/>
      <c r="T165" s="154"/>
      <c r="U165" s="140"/>
      <c r="V165" s="136"/>
      <c r="W165" s="137"/>
    </row>
    <row r="166" spans="2:23">
      <c r="B166" s="135"/>
      <c r="C166" s="328"/>
      <c r="D166" s="326"/>
      <c r="E166" s="328"/>
      <c r="F166" s="127"/>
      <c r="G166" s="127"/>
      <c r="H166" s="128"/>
      <c r="I166" s="129"/>
      <c r="J166" s="628"/>
      <c r="K166" s="139"/>
      <c r="L166" s="140"/>
      <c r="M166" s="634"/>
      <c r="N166" s="629"/>
      <c r="O166" s="630"/>
      <c r="P166" s="156"/>
      <c r="Q166" s="633"/>
      <c r="R166" s="162"/>
      <c r="S166" s="598"/>
      <c r="T166" s="154"/>
      <c r="U166" s="140"/>
      <c r="V166" s="136"/>
      <c r="W166" s="137"/>
    </row>
    <row r="167" spans="2:23">
      <c r="B167" s="135"/>
      <c r="C167" s="328"/>
      <c r="D167" s="326"/>
      <c r="E167" s="328"/>
      <c r="F167" s="127"/>
      <c r="G167" s="127"/>
      <c r="H167" s="128"/>
      <c r="I167" s="129"/>
      <c r="J167" s="628"/>
      <c r="K167" s="139"/>
      <c r="L167" s="140"/>
      <c r="M167" s="634"/>
      <c r="N167" s="629"/>
      <c r="O167" s="630"/>
      <c r="P167" s="156"/>
      <c r="Q167" s="633"/>
      <c r="R167" s="162"/>
      <c r="S167" s="598"/>
      <c r="T167" s="154"/>
      <c r="U167" s="140"/>
      <c r="V167" s="136"/>
      <c r="W167" s="137"/>
    </row>
    <row r="168" spans="2:23" ht="13.8" thickBot="1">
      <c r="B168" s="135"/>
      <c r="C168" s="328"/>
      <c r="D168" s="326"/>
      <c r="E168" s="328"/>
      <c r="F168" s="127"/>
      <c r="G168" s="127"/>
      <c r="H168" s="128"/>
      <c r="I168" s="157" t="s">
        <v>4865</v>
      </c>
      <c r="J168" s="635"/>
      <c r="K168" s="355"/>
      <c r="L168" s="357"/>
      <c r="M168" s="359"/>
      <c r="N168" s="636">
        <v>1900</v>
      </c>
      <c r="O168" s="648">
        <v>2299</v>
      </c>
      <c r="P168" s="360"/>
      <c r="Q168" s="638">
        <f>SUM(Q160:Q167)</f>
        <v>10450</v>
      </c>
      <c r="R168" s="377">
        <f>SUM(R160:R167)</f>
        <v>11875</v>
      </c>
      <c r="S168" s="599"/>
      <c r="T168" s="378">
        <f>SUM(T160:T167)</f>
        <v>18050</v>
      </c>
      <c r="U168" s="600">
        <f>SUM(U160:U167)</f>
        <v>20216</v>
      </c>
      <c r="V168" s="137"/>
      <c r="W168" s="137"/>
    </row>
    <row r="169" spans="2:23" ht="13.8" thickBot="1">
      <c r="B169" s="150" t="s">
        <v>5923</v>
      </c>
      <c r="C169" s="331" t="s">
        <v>5960</v>
      </c>
      <c r="D169" s="352">
        <v>28849809</v>
      </c>
      <c r="E169" s="150" t="s">
        <v>3381</v>
      </c>
      <c r="F169" s="369">
        <v>350000</v>
      </c>
      <c r="G169" s="369">
        <v>392000</v>
      </c>
      <c r="H169" s="119">
        <v>46231</v>
      </c>
      <c r="I169" s="120"/>
      <c r="J169" s="121" t="s">
        <v>5445</v>
      </c>
      <c r="K169" s="142" t="s">
        <v>5445</v>
      </c>
      <c r="L169" s="143" t="s">
        <v>5445</v>
      </c>
      <c r="M169" s="124" t="s">
        <v>5445</v>
      </c>
      <c r="N169" s="620" t="s">
        <v>5445</v>
      </c>
      <c r="O169" s="621" t="s">
        <v>5445</v>
      </c>
      <c r="P169" s="125" t="s">
        <v>5445</v>
      </c>
      <c r="Q169" s="622" t="s">
        <v>5445</v>
      </c>
      <c r="R169" s="160" t="s">
        <v>5445</v>
      </c>
      <c r="S169" s="596">
        <v>46024</v>
      </c>
      <c r="T169" s="151">
        <f>U169*100/112</f>
        <v>182000</v>
      </c>
      <c r="U169" s="607">
        <v>203840</v>
      </c>
      <c r="V169" s="158">
        <f>SUM(F169-K177-N177-Q177-T177)</f>
        <v>168000</v>
      </c>
      <c r="W169" s="159">
        <f>SUM(G169-L177-O177-R177-U177)</f>
        <v>188160</v>
      </c>
    </row>
    <row r="170" spans="2:23">
      <c r="B170" s="135"/>
      <c r="C170" s="328"/>
      <c r="D170" s="326"/>
      <c r="E170" s="328"/>
      <c r="F170" s="127"/>
      <c r="G170" s="127"/>
      <c r="H170" s="128"/>
      <c r="I170" s="146"/>
      <c r="J170" s="130" t="s">
        <v>5445</v>
      </c>
      <c r="K170" s="122" t="s">
        <v>5445</v>
      </c>
      <c r="L170" s="131" t="s">
        <v>5445</v>
      </c>
      <c r="M170" s="376" t="s">
        <v>5445</v>
      </c>
      <c r="N170" s="625" t="s">
        <v>5445</v>
      </c>
      <c r="O170" s="626" t="s">
        <v>5445</v>
      </c>
      <c r="P170" s="132" t="s">
        <v>5445</v>
      </c>
      <c r="Q170" s="627" t="s">
        <v>5445</v>
      </c>
      <c r="R170" s="161" t="s">
        <v>5445</v>
      </c>
      <c r="S170" s="597"/>
      <c r="T170" s="152"/>
      <c r="U170" s="153"/>
      <c r="V170" s="133"/>
      <c r="W170" s="134"/>
    </row>
    <row r="171" spans="2:23">
      <c r="B171" s="135"/>
      <c r="C171" s="328"/>
      <c r="D171" s="326"/>
      <c r="E171" s="328"/>
      <c r="F171" s="127"/>
      <c r="G171" s="127"/>
      <c r="H171" s="128"/>
      <c r="I171" s="146"/>
      <c r="J171" s="138" t="s">
        <v>5445</v>
      </c>
      <c r="K171" s="139" t="s">
        <v>5445</v>
      </c>
      <c r="L171" s="140" t="s">
        <v>5445</v>
      </c>
      <c r="M171" s="634"/>
      <c r="N171" s="629"/>
      <c r="O171" s="630"/>
      <c r="P171" s="156" t="s">
        <v>5445</v>
      </c>
      <c r="Q171" s="633" t="s">
        <v>5445</v>
      </c>
      <c r="R171" s="162" t="s">
        <v>5445</v>
      </c>
      <c r="S171" s="608"/>
      <c r="T171" s="354"/>
      <c r="U171" s="356"/>
      <c r="V171" s="363"/>
      <c r="W171" s="137"/>
    </row>
    <row r="172" spans="2:23">
      <c r="B172" s="135"/>
      <c r="C172" s="328"/>
      <c r="D172" s="326"/>
      <c r="E172" s="328"/>
      <c r="F172" s="127"/>
      <c r="G172" s="127"/>
      <c r="H172" s="128"/>
      <c r="I172" s="146"/>
      <c r="J172" s="628"/>
      <c r="K172" s="139"/>
      <c r="L172" s="140"/>
      <c r="M172" s="634"/>
      <c r="N172" s="629"/>
      <c r="O172" s="630"/>
      <c r="P172" s="156"/>
      <c r="Q172" s="633"/>
      <c r="R172" s="162"/>
      <c r="S172" s="598"/>
      <c r="T172" s="154"/>
      <c r="U172" s="140"/>
      <c r="V172" s="136"/>
      <c r="W172" s="137"/>
    </row>
    <row r="173" spans="2:23">
      <c r="B173" s="135"/>
      <c r="C173" s="328"/>
      <c r="D173" s="326"/>
      <c r="E173" s="328"/>
      <c r="F173" s="127"/>
      <c r="G173" s="127"/>
      <c r="H173" s="128"/>
      <c r="I173" s="146"/>
      <c r="J173" s="628"/>
      <c r="K173" s="139"/>
      <c r="L173" s="140"/>
      <c r="M173" s="634"/>
      <c r="N173" s="629"/>
      <c r="O173" s="630"/>
      <c r="P173" s="156"/>
      <c r="Q173" s="633"/>
      <c r="R173" s="162"/>
      <c r="S173" s="598"/>
      <c r="T173" s="154"/>
      <c r="U173" s="140"/>
      <c r="V173" s="136"/>
      <c r="W173" s="137"/>
    </row>
    <row r="174" spans="2:23">
      <c r="B174" s="135"/>
      <c r="C174" s="328"/>
      <c r="D174" s="326"/>
      <c r="E174" s="328"/>
      <c r="F174" s="127"/>
      <c r="G174" s="127"/>
      <c r="H174" s="128"/>
      <c r="I174" s="146"/>
      <c r="J174" s="628"/>
      <c r="K174" s="139"/>
      <c r="L174" s="140"/>
      <c r="M174" s="634"/>
      <c r="N174" s="629"/>
      <c r="O174" s="630"/>
      <c r="P174" s="156"/>
      <c r="Q174" s="633"/>
      <c r="R174" s="162"/>
      <c r="S174" s="598"/>
      <c r="T174" s="154"/>
      <c r="U174" s="140"/>
      <c r="V174" s="136"/>
      <c r="W174" s="137"/>
    </row>
    <row r="175" spans="2:23">
      <c r="B175" s="135"/>
      <c r="C175" s="328"/>
      <c r="D175" s="326"/>
      <c r="E175" s="328"/>
      <c r="F175" s="127"/>
      <c r="G175" s="127"/>
      <c r="H175" s="128"/>
      <c r="I175" s="129"/>
      <c r="J175" s="628"/>
      <c r="K175" s="139"/>
      <c r="L175" s="140"/>
      <c r="M175" s="634"/>
      <c r="N175" s="629"/>
      <c r="O175" s="630"/>
      <c r="P175" s="156"/>
      <c r="Q175" s="633"/>
      <c r="R175" s="162"/>
      <c r="S175" s="598"/>
      <c r="T175" s="154"/>
      <c r="U175" s="140"/>
      <c r="V175" s="136"/>
      <c r="W175" s="137"/>
    </row>
    <row r="176" spans="2:23">
      <c r="B176" s="135"/>
      <c r="C176" s="328"/>
      <c r="D176" s="326"/>
      <c r="E176" s="328"/>
      <c r="F176" s="127"/>
      <c r="G176" s="127"/>
      <c r="H176" s="128"/>
      <c r="I176" s="129"/>
      <c r="J176" s="628"/>
      <c r="K176" s="139"/>
      <c r="L176" s="140"/>
      <c r="M176" s="634"/>
      <c r="N176" s="629"/>
      <c r="O176" s="630"/>
      <c r="P176" s="156"/>
      <c r="Q176" s="633"/>
      <c r="R176" s="162"/>
      <c r="S176" s="598"/>
      <c r="T176" s="154"/>
      <c r="U176" s="140"/>
      <c r="V176" s="136"/>
      <c r="W176" s="137"/>
    </row>
    <row r="177" spans="2:23" ht="13.8" thickBot="1">
      <c r="B177" s="135"/>
      <c r="C177" s="328"/>
      <c r="D177" s="326"/>
      <c r="E177" s="328"/>
      <c r="F177" s="127"/>
      <c r="G177" s="127"/>
      <c r="H177" s="128"/>
      <c r="I177" s="157" t="s">
        <v>4865</v>
      </c>
      <c r="J177" s="635"/>
      <c r="K177" s="647">
        <f>SUM(K169:K176)</f>
        <v>0</v>
      </c>
      <c r="L177" s="600">
        <f>SUM(L169:L176)</f>
        <v>0</v>
      </c>
      <c r="M177" s="359"/>
      <c r="N177" s="636">
        <f>SUM(N169:N176)</f>
        <v>0</v>
      </c>
      <c r="O177" s="648">
        <f>SUM(O169:O176)</f>
        <v>0</v>
      </c>
      <c r="P177" s="360"/>
      <c r="Q177" s="638">
        <f>SUM(Q169:Q176)</f>
        <v>0</v>
      </c>
      <c r="R177" s="377">
        <f>SUM(R169:R176)</f>
        <v>0</v>
      </c>
      <c r="S177" s="599"/>
      <c r="T177" s="378">
        <v>182000</v>
      </c>
      <c r="U177" s="600">
        <v>203840</v>
      </c>
      <c r="V177" s="137"/>
      <c r="W177" s="137"/>
    </row>
    <row r="178" spans="2:23" ht="13.8" thickBot="1">
      <c r="B178" s="150" t="s">
        <v>5925</v>
      </c>
      <c r="C178" s="331" t="s">
        <v>5961</v>
      </c>
      <c r="D178" s="352">
        <v>27094987</v>
      </c>
      <c r="E178" s="150" t="s">
        <v>5962</v>
      </c>
      <c r="F178" s="369">
        <v>250000</v>
      </c>
      <c r="G178" s="369">
        <v>280000</v>
      </c>
      <c r="H178" s="119">
        <v>46237</v>
      </c>
      <c r="I178" s="120"/>
      <c r="J178" s="121" t="s">
        <v>5445</v>
      </c>
      <c r="K178" s="142" t="s">
        <v>5445</v>
      </c>
      <c r="L178" s="143" t="s">
        <v>5445</v>
      </c>
      <c r="M178" s="124" t="s">
        <v>5445</v>
      </c>
      <c r="N178" s="620" t="s">
        <v>5445</v>
      </c>
      <c r="O178" s="621" t="s">
        <v>5445</v>
      </c>
      <c r="P178" s="125" t="s">
        <v>5445</v>
      </c>
      <c r="Q178" s="622" t="s">
        <v>5445</v>
      </c>
      <c r="R178" s="160" t="s">
        <v>5445</v>
      </c>
      <c r="S178" s="596" t="s">
        <v>5445</v>
      </c>
      <c r="T178" s="151" t="s">
        <v>5445</v>
      </c>
      <c r="U178" s="607" t="s">
        <v>5445</v>
      </c>
      <c r="V178" s="158">
        <f>SUM(F178-K186-N186-Q186-T186)</f>
        <v>250000</v>
      </c>
      <c r="W178" s="159">
        <f>SUM(G178-L186-O186-R186-U186)</f>
        <v>280000</v>
      </c>
    </row>
    <row r="179" spans="2:23">
      <c r="B179" s="135"/>
      <c r="C179" s="328"/>
      <c r="D179" s="326"/>
      <c r="E179" s="328"/>
      <c r="F179" s="127"/>
      <c r="G179" s="127"/>
      <c r="H179" s="128"/>
      <c r="I179" s="146"/>
      <c r="J179" s="130" t="s">
        <v>5445</v>
      </c>
      <c r="K179" s="122" t="s">
        <v>5445</v>
      </c>
      <c r="L179" s="131" t="s">
        <v>5445</v>
      </c>
      <c r="M179" s="376" t="s">
        <v>5445</v>
      </c>
      <c r="N179" s="625" t="s">
        <v>5445</v>
      </c>
      <c r="O179" s="626" t="s">
        <v>5445</v>
      </c>
      <c r="P179" s="132" t="s">
        <v>5445</v>
      </c>
      <c r="Q179" s="627" t="s">
        <v>5445</v>
      </c>
      <c r="R179" s="161" t="s">
        <v>5445</v>
      </c>
      <c r="S179" s="597"/>
      <c r="T179" s="152"/>
      <c r="U179" s="153"/>
      <c r="V179" s="133"/>
      <c r="W179" s="134"/>
    </row>
    <row r="180" spans="2:23">
      <c r="B180" s="135"/>
      <c r="C180" s="328"/>
      <c r="D180" s="326"/>
      <c r="E180" s="328"/>
      <c r="F180" s="127"/>
      <c r="G180" s="127"/>
      <c r="H180" s="128"/>
      <c r="I180" s="146"/>
      <c r="J180" s="138" t="s">
        <v>5445</v>
      </c>
      <c r="K180" s="139" t="s">
        <v>5445</v>
      </c>
      <c r="L180" s="140" t="s">
        <v>5445</v>
      </c>
      <c r="M180" s="634"/>
      <c r="N180" s="629"/>
      <c r="O180" s="630"/>
      <c r="P180" s="156" t="s">
        <v>5445</v>
      </c>
      <c r="Q180" s="633" t="s">
        <v>5445</v>
      </c>
      <c r="R180" s="162" t="s">
        <v>5445</v>
      </c>
      <c r="S180" s="608"/>
      <c r="T180" s="354"/>
      <c r="U180" s="356"/>
      <c r="V180" s="363"/>
      <c r="W180" s="137"/>
    </row>
    <row r="181" spans="2:23">
      <c r="B181" s="135"/>
      <c r="C181" s="328"/>
      <c r="D181" s="326"/>
      <c r="E181" s="328"/>
      <c r="F181" s="127"/>
      <c r="G181" s="127"/>
      <c r="H181" s="128"/>
      <c r="I181" s="146"/>
      <c r="J181" s="628"/>
      <c r="K181" s="139"/>
      <c r="L181" s="140"/>
      <c r="M181" s="634"/>
      <c r="N181" s="629"/>
      <c r="O181" s="630"/>
      <c r="P181" s="156"/>
      <c r="Q181" s="633"/>
      <c r="R181" s="162"/>
      <c r="S181" s="598"/>
      <c r="T181" s="154"/>
      <c r="U181" s="140"/>
      <c r="V181" s="136"/>
      <c r="W181" s="137"/>
    </row>
    <row r="182" spans="2:23">
      <c r="B182" s="135"/>
      <c r="C182" s="328"/>
      <c r="D182" s="326"/>
      <c r="E182" s="328"/>
      <c r="F182" s="127"/>
      <c r="G182" s="127"/>
      <c r="H182" s="128"/>
      <c r="I182" s="146"/>
      <c r="J182" s="628"/>
      <c r="K182" s="139"/>
      <c r="L182" s="140"/>
      <c r="M182" s="634"/>
      <c r="N182" s="629"/>
      <c r="O182" s="630"/>
      <c r="P182" s="156"/>
      <c r="Q182" s="633"/>
      <c r="R182" s="162"/>
      <c r="S182" s="598"/>
      <c r="T182" s="154"/>
      <c r="U182" s="140"/>
      <c r="V182" s="136"/>
      <c r="W182" s="137"/>
    </row>
    <row r="183" spans="2:23">
      <c r="B183" s="135"/>
      <c r="C183" s="328"/>
      <c r="D183" s="326"/>
      <c r="E183" s="328"/>
      <c r="F183" s="127"/>
      <c r="G183" s="127"/>
      <c r="H183" s="128"/>
      <c r="I183" s="146"/>
      <c r="J183" s="628"/>
      <c r="K183" s="139"/>
      <c r="L183" s="140"/>
      <c r="M183" s="634"/>
      <c r="N183" s="629"/>
      <c r="O183" s="630"/>
      <c r="P183" s="156"/>
      <c r="Q183" s="633"/>
      <c r="R183" s="162"/>
      <c r="S183" s="598"/>
      <c r="T183" s="154"/>
      <c r="U183" s="140"/>
      <c r="V183" s="136"/>
      <c r="W183" s="137"/>
    </row>
    <row r="184" spans="2:23">
      <c r="B184" s="135"/>
      <c r="C184" s="328"/>
      <c r="D184" s="326"/>
      <c r="E184" s="328"/>
      <c r="F184" s="127"/>
      <c r="G184" s="127"/>
      <c r="H184" s="128"/>
      <c r="I184" s="129"/>
      <c r="J184" s="628"/>
      <c r="K184" s="139"/>
      <c r="L184" s="140"/>
      <c r="M184" s="634"/>
      <c r="N184" s="629"/>
      <c r="O184" s="630"/>
      <c r="P184" s="156"/>
      <c r="Q184" s="633"/>
      <c r="R184" s="162"/>
      <c r="S184" s="598"/>
      <c r="T184" s="154"/>
      <c r="U184" s="140"/>
      <c r="V184" s="136"/>
      <c r="W184" s="137"/>
    </row>
    <row r="185" spans="2:23">
      <c r="B185" s="135"/>
      <c r="C185" s="328"/>
      <c r="D185" s="326"/>
      <c r="E185" s="328"/>
      <c r="F185" s="127"/>
      <c r="G185" s="127"/>
      <c r="H185" s="128"/>
      <c r="I185" s="129"/>
      <c r="J185" s="628"/>
      <c r="K185" s="139"/>
      <c r="L185" s="140"/>
      <c r="M185" s="634"/>
      <c r="N185" s="629"/>
      <c r="O185" s="630"/>
      <c r="P185" s="156"/>
      <c r="Q185" s="633"/>
      <c r="R185" s="162"/>
      <c r="S185" s="598"/>
      <c r="T185" s="154"/>
      <c r="U185" s="140"/>
      <c r="V185" s="136"/>
      <c r="W185" s="137"/>
    </row>
    <row r="186" spans="2:23" ht="13.8" thickBot="1">
      <c r="B186" s="135"/>
      <c r="C186" s="328"/>
      <c r="D186" s="326"/>
      <c r="E186" s="328"/>
      <c r="F186" s="127"/>
      <c r="G186" s="127"/>
      <c r="H186" s="128"/>
      <c r="I186" s="157" t="s">
        <v>4865</v>
      </c>
      <c r="J186" s="635"/>
      <c r="K186" s="647">
        <f>SUM(K178:K185)</f>
        <v>0</v>
      </c>
      <c r="L186" s="600">
        <f>SUM(L178:L185)</f>
        <v>0</v>
      </c>
      <c r="M186" s="359"/>
      <c r="N186" s="636">
        <f>SUM(N178:N185)</f>
        <v>0</v>
      </c>
      <c r="O186" s="648">
        <f>SUM(O178:O185)</f>
        <v>0</v>
      </c>
      <c r="P186" s="360"/>
      <c r="Q186" s="638">
        <f>SUM(Q178:Q185)</f>
        <v>0</v>
      </c>
      <c r="R186" s="377">
        <f>SUM(R178:R185)</f>
        <v>0</v>
      </c>
      <c r="S186" s="599"/>
      <c r="T186" s="378">
        <v>0</v>
      </c>
      <c r="U186" s="600">
        <v>0</v>
      </c>
      <c r="V186" s="137"/>
      <c r="W186" s="137"/>
    </row>
    <row r="187" spans="2:23" ht="13.8" thickBot="1">
      <c r="B187" s="172" t="s">
        <v>442</v>
      </c>
      <c r="C187" s="331" t="s">
        <v>441</v>
      </c>
      <c r="D187" s="330">
        <v>28849809</v>
      </c>
      <c r="E187" s="327" t="s">
        <v>3381</v>
      </c>
      <c r="F187" s="117">
        <v>739580</v>
      </c>
      <c r="G187" s="118">
        <v>894891.8</v>
      </c>
      <c r="H187" s="119">
        <v>46185</v>
      </c>
      <c r="I187" s="120"/>
      <c r="J187" s="121">
        <v>44783</v>
      </c>
      <c r="K187" s="142">
        <v>52500</v>
      </c>
      <c r="L187" s="143">
        <v>63525</v>
      </c>
      <c r="M187" s="124">
        <v>44944</v>
      </c>
      <c r="N187" s="620">
        <v>37600</v>
      </c>
      <c r="O187" s="621">
        <v>45496</v>
      </c>
      <c r="P187" s="125">
        <v>45302</v>
      </c>
      <c r="Q187" s="622">
        <v>67400</v>
      </c>
      <c r="R187" s="160">
        <v>81554</v>
      </c>
      <c r="S187" s="596">
        <v>45776</v>
      </c>
      <c r="T187" s="151">
        <v>38310</v>
      </c>
      <c r="U187" s="603">
        <v>42907.199999999997</v>
      </c>
      <c r="V187" s="158">
        <f>SUM(F187-K195-N195-Q195-T195)</f>
        <v>83960</v>
      </c>
      <c r="W187" s="159">
        <f>SUM(G187-L195-O195-R195-U195)</f>
        <v>131285.3000000001</v>
      </c>
    </row>
    <row r="188" spans="2:23">
      <c r="B188" s="126"/>
      <c r="C188" s="328"/>
      <c r="D188" s="326"/>
      <c r="E188" s="328"/>
      <c r="F188" s="127"/>
      <c r="G188" s="127"/>
      <c r="H188" s="128"/>
      <c r="I188" s="146"/>
      <c r="J188" s="130">
        <v>44820</v>
      </c>
      <c r="K188" s="122">
        <v>73790</v>
      </c>
      <c r="L188" s="131">
        <v>89285.9</v>
      </c>
      <c r="M188" s="376">
        <v>45114</v>
      </c>
      <c r="N188" s="625">
        <v>67420</v>
      </c>
      <c r="O188" s="626">
        <v>81578.2</v>
      </c>
      <c r="P188" s="132">
        <v>45366</v>
      </c>
      <c r="Q188" s="627">
        <v>68110</v>
      </c>
      <c r="R188" s="161">
        <v>76283.199999999997</v>
      </c>
      <c r="S188" s="597">
        <v>45855</v>
      </c>
      <c r="T188" s="152">
        <f>U188/112*100</f>
        <v>12780</v>
      </c>
      <c r="U188" s="153">
        <v>14313.6</v>
      </c>
      <c r="V188" s="366"/>
      <c r="W188" s="134"/>
    </row>
    <row r="189" spans="2:23">
      <c r="B189" s="135"/>
      <c r="C189" s="328"/>
      <c r="D189" s="326"/>
      <c r="E189" s="328"/>
      <c r="F189" s="127"/>
      <c r="G189" s="127"/>
      <c r="H189" s="128"/>
      <c r="I189" s="146"/>
      <c r="J189" s="138">
        <v>44875</v>
      </c>
      <c r="K189" s="139">
        <v>26980</v>
      </c>
      <c r="L189" s="140">
        <v>32645.8</v>
      </c>
      <c r="M189" s="634"/>
      <c r="N189" s="629"/>
      <c r="O189" s="630"/>
      <c r="P189" s="156">
        <v>45477</v>
      </c>
      <c r="Q189" s="633">
        <v>7810</v>
      </c>
      <c r="R189" s="162">
        <v>8747.2000000000007</v>
      </c>
      <c r="S189" s="598">
        <v>45917</v>
      </c>
      <c r="T189" s="152">
        <f>U189/112*100</f>
        <v>37960</v>
      </c>
      <c r="U189" s="154">
        <v>42515.199999999997</v>
      </c>
      <c r="V189" s="136"/>
      <c r="W189" s="137"/>
    </row>
    <row r="190" spans="2:23">
      <c r="B190" s="135"/>
      <c r="C190" s="328"/>
      <c r="D190" s="326"/>
      <c r="E190" s="328"/>
      <c r="F190" s="127"/>
      <c r="G190" s="127"/>
      <c r="H190" s="128"/>
      <c r="I190" s="146"/>
      <c r="J190" s="628"/>
      <c r="K190" s="139"/>
      <c r="L190" s="140"/>
      <c r="M190" s="634"/>
      <c r="N190" s="629"/>
      <c r="O190" s="630"/>
      <c r="P190" s="156">
        <v>45477</v>
      </c>
      <c r="Q190" s="633">
        <v>710</v>
      </c>
      <c r="R190" s="162">
        <v>795.2</v>
      </c>
      <c r="S190" s="598">
        <v>45966</v>
      </c>
      <c r="T190" s="152">
        <f t="shared" ref="T190:T191" si="2">U190/112*100</f>
        <v>33700</v>
      </c>
      <c r="U190" s="140">
        <v>37744</v>
      </c>
      <c r="V190" s="136"/>
      <c r="W190" s="137"/>
    </row>
    <row r="191" spans="2:23">
      <c r="B191" s="135"/>
      <c r="C191" s="328"/>
      <c r="D191" s="326"/>
      <c r="E191" s="328"/>
      <c r="F191" s="127"/>
      <c r="G191" s="127"/>
      <c r="H191" s="128"/>
      <c r="I191" s="146"/>
      <c r="J191" s="628"/>
      <c r="K191" s="139"/>
      <c r="L191" s="140"/>
      <c r="M191" s="634"/>
      <c r="N191" s="629"/>
      <c r="O191" s="630"/>
      <c r="P191" s="156">
        <v>45538</v>
      </c>
      <c r="Q191" s="633">
        <v>11360</v>
      </c>
      <c r="R191" s="162">
        <v>12723.2</v>
      </c>
      <c r="S191" s="598">
        <v>46019</v>
      </c>
      <c r="T191" s="152">
        <f t="shared" si="2"/>
        <v>33700</v>
      </c>
      <c r="U191" s="140">
        <v>37744</v>
      </c>
      <c r="V191" s="136"/>
      <c r="W191" s="137"/>
    </row>
    <row r="192" spans="2:23">
      <c r="B192" s="135"/>
      <c r="C192" s="328"/>
      <c r="D192" s="326"/>
      <c r="E192" s="328"/>
      <c r="F192" s="127"/>
      <c r="G192" s="127"/>
      <c r="H192" s="128"/>
      <c r="I192" s="146"/>
      <c r="J192" s="628"/>
      <c r="K192" s="139"/>
      <c r="L192" s="140"/>
      <c r="M192" s="634"/>
      <c r="N192" s="629"/>
      <c r="O192" s="630"/>
      <c r="P192" s="156">
        <v>45597</v>
      </c>
      <c r="Q192" s="633">
        <v>43270</v>
      </c>
      <c r="R192" s="162">
        <v>48462.400000000001</v>
      </c>
      <c r="S192" s="598"/>
      <c r="T192" s="154"/>
      <c r="U192" s="140"/>
      <c r="V192" s="136"/>
      <c r="W192" s="137"/>
    </row>
    <row r="193" spans="2:23">
      <c r="B193" s="135"/>
      <c r="C193" s="328"/>
      <c r="D193" s="326"/>
      <c r="E193" s="328"/>
      <c r="F193" s="127"/>
      <c r="G193" s="127"/>
      <c r="H193" s="128"/>
      <c r="I193" s="129"/>
      <c r="J193" s="628"/>
      <c r="K193" s="139"/>
      <c r="L193" s="140"/>
      <c r="M193" s="634"/>
      <c r="N193" s="629"/>
      <c r="O193" s="630"/>
      <c r="P193" s="156">
        <v>45637</v>
      </c>
      <c r="Q193" s="633">
        <v>42220</v>
      </c>
      <c r="R193" s="162">
        <v>47286.400000000001</v>
      </c>
      <c r="S193" s="598"/>
      <c r="T193" s="154"/>
      <c r="U193" s="140"/>
      <c r="V193" s="136"/>
      <c r="W193" s="137"/>
    </row>
    <row r="194" spans="2:23">
      <c r="B194" s="135"/>
      <c r="C194" s="328"/>
      <c r="D194" s="326"/>
      <c r="E194" s="328"/>
      <c r="F194" s="127"/>
      <c r="G194" s="127"/>
      <c r="H194" s="128"/>
      <c r="I194" s="129"/>
      <c r="J194" s="628"/>
      <c r="K194" s="139"/>
      <c r="L194" s="140"/>
      <c r="M194" s="634"/>
      <c r="N194" s="629"/>
      <c r="O194" s="630"/>
      <c r="P194" s="156"/>
      <c r="Q194" s="633"/>
      <c r="R194" s="162"/>
      <c r="S194" s="598"/>
      <c r="T194" s="154"/>
      <c r="U194" s="140"/>
      <c r="V194" s="136"/>
      <c r="W194" s="137"/>
    </row>
    <row r="195" spans="2:23" ht="13.8" thickBot="1">
      <c r="B195" s="135"/>
      <c r="C195" s="328"/>
      <c r="D195" s="326"/>
      <c r="E195" s="328"/>
      <c r="F195" s="127"/>
      <c r="G195" s="127"/>
      <c r="H195" s="128"/>
      <c r="I195" s="157" t="s">
        <v>4865</v>
      </c>
      <c r="J195" s="635"/>
      <c r="K195" s="647">
        <f>SUM(K187:K194)</f>
        <v>153270</v>
      </c>
      <c r="L195" s="600">
        <f>SUM(L187:L194)</f>
        <v>185456.69999999998</v>
      </c>
      <c r="M195" s="359"/>
      <c r="N195" s="636">
        <f>SUM(N187:N194)</f>
        <v>105020</v>
      </c>
      <c r="O195" s="648">
        <f>SUM(O187:O194)</f>
        <v>127074.2</v>
      </c>
      <c r="P195" s="652"/>
      <c r="Q195" s="638">
        <f>SUM(Q187:Q194)</f>
        <v>240880</v>
      </c>
      <c r="R195" s="377">
        <f>SUM(R187:R194)</f>
        <v>275851.60000000003</v>
      </c>
      <c r="S195" s="609"/>
      <c r="T195" s="378">
        <f>SUM(T187:T194)</f>
        <v>156450</v>
      </c>
      <c r="U195" s="375">
        <f>SUM(U187:U194)</f>
        <v>175224</v>
      </c>
      <c r="V195" s="137"/>
      <c r="W195" s="137"/>
    </row>
    <row r="196" spans="2:23" ht="13.8" thickBot="1">
      <c r="B196" s="150" t="s">
        <v>4309</v>
      </c>
      <c r="C196" s="331" t="s">
        <v>4311</v>
      </c>
      <c r="D196" s="352">
        <v>47675934</v>
      </c>
      <c r="E196" s="331" t="s">
        <v>3286</v>
      </c>
      <c r="F196" s="369">
        <v>140000</v>
      </c>
      <c r="G196" s="369">
        <v>156800</v>
      </c>
      <c r="H196" s="119">
        <v>46535</v>
      </c>
      <c r="I196" s="120"/>
      <c r="J196" s="618"/>
      <c r="K196" s="142"/>
      <c r="L196" s="143"/>
      <c r="M196" s="619"/>
      <c r="N196" s="620"/>
      <c r="O196" s="621"/>
      <c r="P196" s="125">
        <v>45492</v>
      </c>
      <c r="Q196" s="622">
        <v>18813.59</v>
      </c>
      <c r="R196" s="160">
        <v>21071.23</v>
      </c>
      <c r="S196" s="596">
        <v>45678</v>
      </c>
      <c r="T196" s="151">
        <f>25213.44/112*100</f>
        <v>22511.999999999996</v>
      </c>
      <c r="U196" s="603">
        <v>25213.439999999999</v>
      </c>
      <c r="V196" s="486">
        <f>SUM(F196-Q204-T204)</f>
        <v>46736.010000000009</v>
      </c>
      <c r="W196" s="159">
        <f>SUM(G196-R204-U204)</f>
        <v>52344.320000000007</v>
      </c>
    </row>
    <row r="197" spans="2:23">
      <c r="B197" s="135"/>
      <c r="C197" s="328"/>
      <c r="D197" s="326"/>
      <c r="E197" s="328"/>
      <c r="F197" s="127"/>
      <c r="G197" s="127"/>
      <c r="H197" s="128"/>
      <c r="I197" s="146"/>
      <c r="J197" s="623"/>
      <c r="K197" s="122"/>
      <c r="L197" s="131"/>
      <c r="M197" s="624"/>
      <c r="N197" s="625"/>
      <c r="O197" s="626"/>
      <c r="P197" s="132">
        <v>45502</v>
      </c>
      <c r="Q197" s="627">
        <v>6914.4</v>
      </c>
      <c r="R197" s="161">
        <v>7744.13</v>
      </c>
      <c r="S197" s="597">
        <v>45833</v>
      </c>
      <c r="T197" s="152">
        <f>19210.24/112*100</f>
        <v>17152</v>
      </c>
      <c r="U197" s="131">
        <v>19210.240000000002</v>
      </c>
      <c r="V197" s="133"/>
      <c r="W197" s="134"/>
    </row>
    <row r="198" spans="2:23">
      <c r="B198" s="135"/>
      <c r="C198" s="328"/>
      <c r="D198" s="326"/>
      <c r="E198" s="328"/>
      <c r="F198" s="127"/>
      <c r="G198" s="127"/>
      <c r="H198" s="128"/>
      <c r="I198" s="146"/>
      <c r="J198" s="628"/>
      <c r="K198" s="139"/>
      <c r="L198" s="140"/>
      <c r="M198" s="634"/>
      <c r="N198" s="629"/>
      <c r="O198" s="630"/>
      <c r="P198" s="156"/>
      <c r="Q198" s="633"/>
      <c r="R198" s="162"/>
      <c r="S198" s="598">
        <v>45840</v>
      </c>
      <c r="T198" s="154">
        <f>6003.2/112*100</f>
        <v>5360</v>
      </c>
      <c r="U198" s="140">
        <v>6003.2</v>
      </c>
      <c r="V198" s="136"/>
      <c r="W198" s="137"/>
    </row>
    <row r="199" spans="2:23">
      <c r="B199" s="135"/>
      <c r="C199" s="328"/>
      <c r="D199" s="326"/>
      <c r="E199" s="328"/>
      <c r="F199" s="127"/>
      <c r="G199" s="127"/>
      <c r="H199" s="128"/>
      <c r="I199" s="146"/>
      <c r="J199" s="628"/>
      <c r="K199" s="139"/>
      <c r="L199" s="140"/>
      <c r="M199" s="634"/>
      <c r="N199" s="629"/>
      <c r="O199" s="630"/>
      <c r="P199" s="156"/>
      <c r="Q199" s="633"/>
      <c r="R199" s="162"/>
      <c r="S199" s="598">
        <v>45959</v>
      </c>
      <c r="T199" s="154">
        <f>U199/112*100</f>
        <v>12864.000000000002</v>
      </c>
      <c r="U199" s="140">
        <v>14407.68</v>
      </c>
      <c r="V199" s="136"/>
      <c r="W199" s="137"/>
    </row>
    <row r="200" spans="2:23">
      <c r="B200" s="135"/>
      <c r="C200" s="328"/>
      <c r="D200" s="326"/>
      <c r="E200" s="328"/>
      <c r="F200" s="127"/>
      <c r="G200" s="127"/>
      <c r="H200" s="128"/>
      <c r="I200" s="146"/>
      <c r="J200" s="628"/>
      <c r="K200" s="139"/>
      <c r="L200" s="140"/>
      <c r="M200" s="634"/>
      <c r="N200" s="629"/>
      <c r="O200" s="630"/>
      <c r="P200" s="156"/>
      <c r="Q200" s="633"/>
      <c r="R200" s="162"/>
      <c r="S200" s="598">
        <v>45966</v>
      </c>
      <c r="T200" s="154">
        <f>U200/112*100</f>
        <v>9648</v>
      </c>
      <c r="U200" s="140">
        <v>10805.76</v>
      </c>
      <c r="V200" s="136"/>
      <c r="W200" s="137"/>
    </row>
    <row r="201" spans="2:23">
      <c r="B201" s="135"/>
      <c r="C201" s="328"/>
      <c r="D201" s="326"/>
      <c r="E201" s="328"/>
      <c r="F201" s="127"/>
      <c r="G201" s="127"/>
      <c r="H201" s="128"/>
      <c r="I201" s="146"/>
      <c r="J201" s="628"/>
      <c r="K201" s="139"/>
      <c r="L201" s="140"/>
      <c r="M201" s="634"/>
      <c r="N201" s="629"/>
      <c r="O201" s="630"/>
      <c r="P201" s="156"/>
      <c r="Q201" s="633"/>
      <c r="R201" s="162"/>
      <c r="S201" s="598"/>
      <c r="T201" s="154"/>
      <c r="U201" s="140"/>
      <c r="V201" s="136"/>
      <c r="W201" s="137"/>
    </row>
    <row r="202" spans="2:23">
      <c r="B202" s="135"/>
      <c r="C202" s="328"/>
      <c r="D202" s="326"/>
      <c r="E202" s="328"/>
      <c r="F202" s="127"/>
      <c r="G202" s="127"/>
      <c r="H202" s="128"/>
      <c r="I202" s="129"/>
      <c r="J202" s="628"/>
      <c r="K202" s="139"/>
      <c r="L202" s="140"/>
      <c r="M202" s="634"/>
      <c r="N202" s="629"/>
      <c r="O202" s="630"/>
      <c r="P202" s="156"/>
      <c r="Q202" s="633"/>
      <c r="R202" s="162"/>
      <c r="S202" s="598"/>
      <c r="T202" s="154"/>
      <c r="U202" s="140"/>
      <c r="V202" s="136"/>
      <c r="W202" s="137"/>
    </row>
    <row r="203" spans="2:23">
      <c r="B203" s="135"/>
      <c r="C203" s="328"/>
      <c r="D203" s="326"/>
      <c r="E203" s="328"/>
      <c r="F203" s="127"/>
      <c r="G203" s="127"/>
      <c r="H203" s="128"/>
      <c r="I203" s="129"/>
      <c r="J203" s="628"/>
      <c r="K203" s="139"/>
      <c r="L203" s="140"/>
      <c r="M203" s="634"/>
      <c r="N203" s="629"/>
      <c r="O203" s="630"/>
      <c r="P203" s="651"/>
      <c r="Q203" s="633"/>
      <c r="R203" s="162"/>
      <c r="S203" s="608"/>
      <c r="T203" s="154"/>
      <c r="U203" s="155"/>
      <c r="V203" s="136"/>
      <c r="W203" s="137"/>
    </row>
    <row r="204" spans="2:23" ht="13.8" thickBot="1">
      <c r="B204" s="135"/>
      <c r="C204" s="328"/>
      <c r="D204" s="326"/>
      <c r="E204" s="328"/>
      <c r="F204" s="127"/>
      <c r="G204" s="127"/>
      <c r="H204" s="128"/>
      <c r="I204" s="157" t="s">
        <v>4865</v>
      </c>
      <c r="J204" s="635"/>
      <c r="K204" s="355"/>
      <c r="L204" s="357"/>
      <c r="M204" s="359"/>
      <c r="N204" s="641"/>
      <c r="O204" s="642"/>
      <c r="P204" s="652"/>
      <c r="Q204" s="638">
        <f>SUM(Q196:Q203)</f>
        <v>25727.989999999998</v>
      </c>
      <c r="R204" s="377">
        <f>SUM(R196:R203)</f>
        <v>28815.360000000001</v>
      </c>
      <c r="S204" s="609"/>
      <c r="T204" s="378">
        <f>SUM(T196:T203)</f>
        <v>67536</v>
      </c>
      <c r="U204" s="375">
        <f>SUM(U196:U203)</f>
        <v>75640.319999999992</v>
      </c>
      <c r="V204" s="163"/>
      <c r="W204" s="137"/>
    </row>
    <row r="205" spans="2:23" ht="13.8" thickBot="1">
      <c r="B205" s="150" t="s">
        <v>4601</v>
      </c>
      <c r="C205" s="331" t="s">
        <v>4602</v>
      </c>
      <c r="D205" s="352">
        <v>28849809</v>
      </c>
      <c r="E205" s="331" t="s">
        <v>3381</v>
      </c>
      <c r="F205" s="369">
        <v>1800000</v>
      </c>
      <c r="G205" s="369">
        <v>2178000</v>
      </c>
      <c r="H205" s="119">
        <v>46605</v>
      </c>
      <c r="I205" s="120"/>
      <c r="J205" s="618"/>
      <c r="K205" s="142"/>
      <c r="L205" s="143"/>
      <c r="M205" s="619"/>
      <c r="N205" s="620"/>
      <c r="O205" s="621"/>
      <c r="P205" s="125">
        <v>45545</v>
      </c>
      <c r="Q205" s="622">
        <v>404349</v>
      </c>
      <c r="R205" s="160">
        <v>452870.88</v>
      </c>
      <c r="S205" s="596">
        <v>45847</v>
      </c>
      <c r="T205" s="151">
        <f>U205*100/112</f>
        <v>78998.40178571429</v>
      </c>
      <c r="U205" s="607">
        <v>88478.21</v>
      </c>
      <c r="V205" s="158">
        <f>SUM(F205-Q213-T213)</f>
        <v>470884</v>
      </c>
      <c r="W205" s="159">
        <f>SUM(G205-R213-U213)</f>
        <v>689390.08000000019</v>
      </c>
    </row>
    <row r="206" spans="2:23">
      <c r="B206" s="135"/>
      <c r="C206" s="328"/>
      <c r="D206" s="326"/>
      <c r="E206" s="328"/>
      <c r="F206" s="127"/>
      <c r="G206" s="127"/>
      <c r="H206" s="128"/>
      <c r="I206" s="146"/>
      <c r="J206" s="623"/>
      <c r="K206" s="122"/>
      <c r="L206" s="131"/>
      <c r="M206" s="624"/>
      <c r="N206" s="625"/>
      <c r="O206" s="626"/>
      <c r="P206" s="132">
        <v>45637</v>
      </c>
      <c r="Q206" s="627">
        <v>134783</v>
      </c>
      <c r="R206" s="161">
        <v>150956.96</v>
      </c>
      <c r="S206" s="597">
        <v>45860</v>
      </c>
      <c r="T206" s="152">
        <f t="shared" ref="T206:T209" si="3">U206*100/112</f>
        <v>263328</v>
      </c>
      <c r="U206" s="131">
        <v>294927.35999999999</v>
      </c>
      <c r="V206" s="133"/>
      <c r="W206" s="134"/>
    </row>
    <row r="207" spans="2:23">
      <c r="B207" s="135"/>
      <c r="C207" s="328"/>
      <c r="D207" s="326"/>
      <c r="E207" s="328"/>
      <c r="F207" s="127"/>
      <c r="G207" s="127"/>
      <c r="H207" s="128"/>
      <c r="I207" s="146"/>
      <c r="J207" s="628"/>
      <c r="K207" s="139"/>
      <c r="L207" s="140"/>
      <c r="M207" s="634"/>
      <c r="N207" s="629"/>
      <c r="O207" s="630"/>
      <c r="P207" s="156"/>
      <c r="Q207" s="633"/>
      <c r="R207" s="162"/>
      <c r="S207" s="598">
        <v>45863</v>
      </c>
      <c r="T207" s="154">
        <f t="shared" si="3"/>
        <v>52665.598214285717</v>
      </c>
      <c r="U207" s="140">
        <v>58985.47</v>
      </c>
      <c r="V207" s="136"/>
      <c r="W207" s="137"/>
    </row>
    <row r="208" spans="2:23">
      <c r="B208" s="135"/>
      <c r="C208" s="328"/>
      <c r="D208" s="326"/>
      <c r="E208" s="328"/>
      <c r="F208" s="127"/>
      <c r="G208" s="127"/>
      <c r="H208" s="128"/>
      <c r="I208" s="146"/>
      <c r="J208" s="628"/>
      <c r="K208" s="139"/>
      <c r="L208" s="140"/>
      <c r="M208" s="634"/>
      <c r="N208" s="629"/>
      <c r="O208" s="630"/>
      <c r="P208" s="156"/>
      <c r="Q208" s="633"/>
      <c r="R208" s="162"/>
      <c r="S208" s="598">
        <v>45863</v>
      </c>
      <c r="T208" s="154">
        <f t="shared" si="3"/>
        <v>131664</v>
      </c>
      <c r="U208" s="140">
        <v>147463.67999999999</v>
      </c>
      <c r="V208" s="136"/>
      <c r="W208" s="137"/>
    </row>
    <row r="209" spans="2:23">
      <c r="B209" s="135"/>
      <c r="C209" s="328"/>
      <c r="D209" s="326"/>
      <c r="E209" s="328"/>
      <c r="F209" s="127"/>
      <c r="G209" s="127"/>
      <c r="H209" s="128"/>
      <c r="I209" s="146"/>
      <c r="J209" s="628"/>
      <c r="K209" s="139"/>
      <c r="L209" s="140"/>
      <c r="M209" s="634"/>
      <c r="N209" s="629"/>
      <c r="O209" s="630"/>
      <c r="P209" s="651"/>
      <c r="Q209" s="633"/>
      <c r="R209" s="162"/>
      <c r="S209" s="598">
        <v>45936</v>
      </c>
      <c r="T209" s="154">
        <f t="shared" si="3"/>
        <v>263328</v>
      </c>
      <c r="U209" s="155">
        <v>294927.35999999999</v>
      </c>
      <c r="V209" s="136"/>
      <c r="W209" s="137"/>
    </row>
    <row r="210" spans="2:23">
      <c r="B210" s="135"/>
      <c r="C210" s="328"/>
      <c r="D210" s="326"/>
      <c r="E210" s="328"/>
      <c r="F210" s="127"/>
      <c r="G210" s="127"/>
      <c r="H210" s="128"/>
      <c r="I210" s="146"/>
      <c r="J210" s="628"/>
      <c r="K210" s="139"/>
      <c r="L210" s="140"/>
      <c r="M210" s="634"/>
      <c r="N210" s="629"/>
      <c r="O210" s="630"/>
      <c r="P210" s="651"/>
      <c r="Q210" s="631"/>
      <c r="R210" s="632"/>
      <c r="S210" s="608"/>
      <c r="T210" s="354"/>
      <c r="U210" s="356"/>
      <c r="V210" s="363"/>
      <c r="W210" s="137"/>
    </row>
    <row r="211" spans="2:23">
      <c r="B211" s="135"/>
      <c r="C211" s="328"/>
      <c r="D211" s="326"/>
      <c r="E211" s="328"/>
      <c r="F211" s="127"/>
      <c r="G211" s="127"/>
      <c r="H211" s="128"/>
      <c r="I211" s="129"/>
      <c r="J211" s="628"/>
      <c r="K211" s="139"/>
      <c r="L211" s="140"/>
      <c r="M211" s="634"/>
      <c r="N211" s="629"/>
      <c r="O211" s="630"/>
      <c r="P211" s="156"/>
      <c r="Q211" s="633"/>
      <c r="R211" s="162"/>
      <c r="S211" s="598"/>
      <c r="T211" s="154"/>
      <c r="U211" s="140"/>
      <c r="V211" s="136"/>
      <c r="W211" s="137"/>
    </row>
    <row r="212" spans="2:23">
      <c r="B212" s="135"/>
      <c r="C212" s="328"/>
      <c r="D212" s="326"/>
      <c r="E212" s="328"/>
      <c r="F212" s="127"/>
      <c r="G212" s="127"/>
      <c r="H212" s="128"/>
      <c r="I212" s="129"/>
      <c r="J212" s="628"/>
      <c r="K212" s="139"/>
      <c r="L212" s="140"/>
      <c r="M212" s="634"/>
      <c r="N212" s="629"/>
      <c r="O212" s="630"/>
      <c r="P212" s="156"/>
      <c r="Q212" s="633"/>
      <c r="R212" s="162"/>
      <c r="S212" s="598"/>
      <c r="T212" s="154"/>
      <c r="U212" s="140"/>
      <c r="V212" s="136"/>
      <c r="W212" s="137"/>
    </row>
    <row r="213" spans="2:23" ht="13.8" thickBot="1">
      <c r="B213" s="135"/>
      <c r="C213" s="328"/>
      <c r="D213" s="326"/>
      <c r="E213" s="328"/>
      <c r="F213" s="127"/>
      <c r="G213" s="127"/>
      <c r="H213" s="128"/>
      <c r="I213" s="157" t="s">
        <v>4865</v>
      </c>
      <c r="J213" s="635"/>
      <c r="K213" s="355"/>
      <c r="L213" s="357"/>
      <c r="M213" s="359"/>
      <c r="N213" s="641"/>
      <c r="O213" s="642"/>
      <c r="P213" s="360"/>
      <c r="Q213" s="638">
        <f>SUM(Q205:Q212)</f>
        <v>539132</v>
      </c>
      <c r="R213" s="377">
        <f>SUM(R205:R212)</f>
        <v>603827.84</v>
      </c>
      <c r="S213" s="599"/>
      <c r="T213" s="378">
        <f>SUM(T205:T212)</f>
        <v>789984</v>
      </c>
      <c r="U213" s="600">
        <f>SUM(U205:U212)</f>
        <v>884782.07999999996</v>
      </c>
      <c r="V213" s="137"/>
      <c r="W213" s="137"/>
    </row>
    <row r="214" spans="2:23" ht="13.8" thickBot="1">
      <c r="B214" s="150" t="s">
        <v>4070</v>
      </c>
      <c r="C214" s="331" t="s">
        <v>4888</v>
      </c>
      <c r="D214" s="352">
        <v>61509051</v>
      </c>
      <c r="E214" s="331" t="s">
        <v>4071</v>
      </c>
      <c r="F214" s="369">
        <v>1100000</v>
      </c>
      <c r="G214" s="369">
        <v>1331000</v>
      </c>
      <c r="H214" s="119">
        <v>46130</v>
      </c>
      <c r="I214" s="120"/>
      <c r="J214" s="618"/>
      <c r="K214" s="142"/>
      <c r="L214" s="143"/>
      <c r="M214" s="619"/>
      <c r="N214" s="620"/>
      <c r="O214" s="621"/>
      <c r="P214" s="125">
        <v>45576</v>
      </c>
      <c r="Q214" s="622">
        <f>17612.76*100/121</f>
        <v>14555.999999999998</v>
      </c>
      <c r="R214" s="160">
        <v>17612.759999999998</v>
      </c>
      <c r="S214" s="596">
        <v>45713</v>
      </c>
      <c r="T214" s="151">
        <v>22812</v>
      </c>
      <c r="U214" s="607">
        <v>27602.52</v>
      </c>
      <c r="V214" s="158">
        <f>SUM(F214-Q222-T222)</f>
        <v>889916</v>
      </c>
      <c r="W214" s="159">
        <f>SUM(G214-R222-U222)</f>
        <v>1076798.3600000001</v>
      </c>
    </row>
    <row r="215" spans="2:23">
      <c r="B215" s="135"/>
      <c r="C215" s="328"/>
      <c r="D215" s="326"/>
      <c r="E215" s="328"/>
      <c r="F215" s="127"/>
      <c r="G215" s="127"/>
      <c r="H215" s="128"/>
      <c r="I215" s="146"/>
      <c r="J215" s="623"/>
      <c r="K215" s="122"/>
      <c r="L215" s="131"/>
      <c r="M215" s="624"/>
      <c r="N215" s="625"/>
      <c r="O215" s="626"/>
      <c r="P215" s="132">
        <v>45618</v>
      </c>
      <c r="Q215" s="627">
        <v>24984</v>
      </c>
      <c r="R215" s="161">
        <v>30230.639999999999</v>
      </c>
      <c r="S215" s="597">
        <v>45790</v>
      </c>
      <c r="T215" s="152">
        <v>24984</v>
      </c>
      <c r="U215" s="131">
        <v>30230.639999999999</v>
      </c>
      <c r="V215" s="133"/>
      <c r="W215" s="134"/>
    </row>
    <row r="216" spans="2:23">
      <c r="B216" s="135"/>
      <c r="C216" s="328"/>
      <c r="D216" s="326"/>
      <c r="E216" s="328"/>
      <c r="F216" s="127"/>
      <c r="G216" s="127"/>
      <c r="H216" s="128"/>
      <c r="I216" s="146"/>
      <c r="J216" s="628"/>
      <c r="K216" s="139"/>
      <c r="L216" s="140"/>
      <c r="M216" s="634"/>
      <c r="N216" s="629"/>
      <c r="O216" s="630"/>
      <c r="P216" s="156">
        <v>45643</v>
      </c>
      <c r="Q216" s="633">
        <f>27602.52*100/121</f>
        <v>22812</v>
      </c>
      <c r="R216" s="162">
        <v>27602.52</v>
      </c>
      <c r="S216" s="598">
        <v>45847</v>
      </c>
      <c r="T216" s="152">
        <v>24984</v>
      </c>
      <c r="U216" s="131">
        <v>30230.639999999999</v>
      </c>
      <c r="V216" s="136"/>
      <c r="W216" s="137"/>
    </row>
    <row r="217" spans="2:23">
      <c r="B217" s="135"/>
      <c r="C217" s="328"/>
      <c r="D217" s="326"/>
      <c r="E217" s="328"/>
      <c r="F217" s="127"/>
      <c r="G217" s="127"/>
      <c r="H217" s="128"/>
      <c r="I217" s="146"/>
      <c r="J217" s="628"/>
      <c r="K217" s="139"/>
      <c r="L217" s="140"/>
      <c r="M217" s="634"/>
      <c r="N217" s="629"/>
      <c r="O217" s="630"/>
      <c r="P217" s="651"/>
      <c r="Q217" s="633"/>
      <c r="R217" s="162"/>
      <c r="S217" s="598">
        <v>45903</v>
      </c>
      <c r="T217" s="152">
        <v>24984</v>
      </c>
      <c r="U217" s="131">
        <v>30230.639999999999</v>
      </c>
      <c r="V217" s="136"/>
      <c r="W217" s="137"/>
    </row>
    <row r="218" spans="2:23">
      <c r="B218" s="135"/>
      <c r="C218" s="328"/>
      <c r="D218" s="326"/>
      <c r="E218" s="328"/>
      <c r="F218" s="127"/>
      <c r="G218" s="127"/>
      <c r="H218" s="128"/>
      <c r="I218" s="146"/>
      <c r="J218" s="628"/>
      <c r="K218" s="139"/>
      <c r="L218" s="140"/>
      <c r="M218" s="634"/>
      <c r="N218" s="629"/>
      <c r="O218" s="630"/>
      <c r="P218" s="651"/>
      <c r="Q218" s="631"/>
      <c r="R218" s="632"/>
      <c r="S218" s="598">
        <v>45966</v>
      </c>
      <c r="T218" s="152">
        <v>24984</v>
      </c>
      <c r="U218" s="140">
        <v>30230.639999999999</v>
      </c>
      <c r="V218" s="363"/>
      <c r="W218" s="137"/>
    </row>
    <row r="219" spans="2:23">
      <c r="B219" s="135"/>
      <c r="C219" s="328"/>
      <c r="D219" s="326"/>
      <c r="E219" s="328"/>
      <c r="F219" s="127"/>
      <c r="G219" s="127"/>
      <c r="H219" s="128"/>
      <c r="I219" s="146"/>
      <c r="J219" s="628"/>
      <c r="K219" s="139"/>
      <c r="L219" s="140"/>
      <c r="M219" s="634"/>
      <c r="N219" s="629"/>
      <c r="O219" s="630"/>
      <c r="P219" s="156"/>
      <c r="Q219" s="633"/>
      <c r="R219" s="162"/>
      <c r="S219" s="598">
        <v>46001</v>
      </c>
      <c r="T219" s="152">
        <v>24984</v>
      </c>
      <c r="U219" s="140">
        <v>30230.639999999999</v>
      </c>
      <c r="V219" s="136"/>
      <c r="W219" s="137"/>
    </row>
    <row r="220" spans="2:23">
      <c r="B220" s="135"/>
      <c r="C220" s="328"/>
      <c r="D220" s="326"/>
      <c r="E220" s="328"/>
      <c r="F220" s="127"/>
      <c r="G220" s="127"/>
      <c r="H220" s="128"/>
      <c r="I220" s="129"/>
      <c r="J220" s="628"/>
      <c r="K220" s="139"/>
      <c r="L220" s="140"/>
      <c r="M220" s="634"/>
      <c r="N220" s="629"/>
      <c r="O220" s="630"/>
      <c r="P220" s="156"/>
      <c r="Q220" s="633"/>
      <c r="R220" s="162"/>
      <c r="S220" s="598"/>
      <c r="T220" s="139"/>
      <c r="U220" s="140" t="s">
        <v>5445</v>
      </c>
      <c r="V220" s="136"/>
      <c r="W220" s="137"/>
    </row>
    <row r="221" spans="2:23">
      <c r="B221" s="135"/>
      <c r="C221" s="328"/>
      <c r="D221" s="326"/>
      <c r="E221" s="328"/>
      <c r="F221" s="127"/>
      <c r="G221" s="127"/>
      <c r="H221" s="128"/>
      <c r="I221" s="129"/>
      <c r="J221" s="628"/>
      <c r="K221" s="139"/>
      <c r="L221" s="140"/>
      <c r="M221" s="634"/>
      <c r="N221" s="629"/>
      <c r="O221" s="630"/>
      <c r="P221" s="156"/>
      <c r="Q221" s="633"/>
      <c r="R221" s="162"/>
      <c r="S221" s="598"/>
      <c r="T221" s="139"/>
      <c r="U221" s="140"/>
      <c r="V221" s="136"/>
      <c r="W221" s="137"/>
    </row>
    <row r="222" spans="2:23" ht="13.8" thickBot="1">
      <c r="B222" s="135"/>
      <c r="C222" s="328"/>
      <c r="D222" s="326"/>
      <c r="E222" s="328"/>
      <c r="F222" s="127"/>
      <c r="G222" s="127"/>
      <c r="H222" s="128"/>
      <c r="I222" s="157" t="s">
        <v>4865</v>
      </c>
      <c r="J222" s="635"/>
      <c r="K222" s="355"/>
      <c r="L222" s="357"/>
      <c r="M222" s="359"/>
      <c r="N222" s="641"/>
      <c r="O222" s="642"/>
      <c r="P222" s="360"/>
      <c r="Q222" s="638">
        <f>SUM(Q214:Q221)</f>
        <v>62352</v>
      </c>
      <c r="R222" s="377">
        <f>SUM(R214:R221)</f>
        <v>75445.919999999998</v>
      </c>
      <c r="S222" s="599"/>
      <c r="T222" s="378">
        <f>SUM(T214:T221)</f>
        <v>147732</v>
      </c>
      <c r="U222" s="600">
        <f>SUM(U214:U221)</f>
        <v>178755.72000000003</v>
      </c>
      <c r="V222" s="137"/>
      <c r="W222" s="137"/>
    </row>
    <row r="223" spans="2:23" ht="13.8" thickBot="1">
      <c r="B223" s="150" t="s">
        <v>5932</v>
      </c>
      <c r="C223" s="331" t="s">
        <v>6330</v>
      </c>
      <c r="D223" s="352">
        <v>24766356</v>
      </c>
      <c r="E223" s="331" t="s">
        <v>5096</v>
      </c>
      <c r="F223" s="369">
        <v>350000</v>
      </c>
      <c r="G223" s="369">
        <v>392000</v>
      </c>
      <c r="H223" s="119">
        <v>46231</v>
      </c>
      <c r="I223" s="120"/>
      <c r="J223" s="618"/>
      <c r="K223" s="142"/>
      <c r="L223" s="143"/>
      <c r="M223" s="619"/>
      <c r="N223" s="620"/>
      <c r="O223" s="621"/>
      <c r="P223" s="125"/>
      <c r="Q223" s="622"/>
      <c r="R223" s="160"/>
      <c r="S223" s="596">
        <v>46001</v>
      </c>
      <c r="T223" s="151">
        <f>U223*100/112</f>
        <v>18999.107142857141</v>
      </c>
      <c r="U223" s="607">
        <v>21279</v>
      </c>
      <c r="V223" s="158">
        <f>SUM(F223-Q231-T231)</f>
        <v>331000.89285714284</v>
      </c>
      <c r="W223" s="159">
        <f>SUM(G223-R231-U231)</f>
        <v>370721</v>
      </c>
    </row>
    <row r="224" spans="2:23">
      <c r="B224" s="135"/>
      <c r="C224" s="328"/>
      <c r="D224" s="326"/>
      <c r="E224" s="328"/>
      <c r="F224" s="127"/>
      <c r="G224" s="127"/>
      <c r="H224" s="128"/>
      <c r="I224" s="146"/>
      <c r="J224" s="623"/>
      <c r="K224" s="122"/>
      <c r="L224" s="131"/>
      <c r="M224" s="624"/>
      <c r="N224" s="625"/>
      <c r="O224" s="626"/>
      <c r="P224" s="132"/>
      <c r="Q224" s="627"/>
      <c r="R224" s="161"/>
      <c r="S224" s="597"/>
      <c r="T224" s="152"/>
      <c r="U224" s="131"/>
      <c r="V224" s="133"/>
      <c r="W224" s="134"/>
    </row>
    <row r="225" spans="2:23">
      <c r="B225" s="135"/>
      <c r="C225" s="328"/>
      <c r="D225" s="326"/>
      <c r="E225" s="328"/>
      <c r="F225" s="127"/>
      <c r="G225" s="127"/>
      <c r="H225" s="128"/>
      <c r="I225" s="146"/>
      <c r="J225" s="628"/>
      <c r="K225" s="139"/>
      <c r="L225" s="140"/>
      <c r="M225" s="634"/>
      <c r="N225" s="629"/>
      <c r="O225" s="630"/>
      <c r="P225" s="156"/>
      <c r="Q225" s="633"/>
      <c r="R225" s="162"/>
      <c r="S225" s="598"/>
      <c r="T225" s="152"/>
      <c r="U225" s="131"/>
      <c r="V225" s="136"/>
      <c r="W225" s="137"/>
    </row>
    <row r="226" spans="2:23">
      <c r="B226" s="135"/>
      <c r="C226" s="328"/>
      <c r="D226" s="326"/>
      <c r="E226" s="328"/>
      <c r="F226" s="127"/>
      <c r="G226" s="127"/>
      <c r="H226" s="128"/>
      <c r="I226" s="146"/>
      <c r="J226" s="628"/>
      <c r="K226" s="139"/>
      <c r="L226" s="140"/>
      <c r="M226" s="634"/>
      <c r="N226" s="629"/>
      <c r="O226" s="630"/>
      <c r="P226" s="651"/>
      <c r="Q226" s="633"/>
      <c r="R226" s="162"/>
      <c r="S226" s="598"/>
      <c r="T226" s="152"/>
      <c r="U226" s="131"/>
      <c r="V226" s="136"/>
      <c r="W226" s="137"/>
    </row>
    <row r="227" spans="2:23">
      <c r="B227" s="135"/>
      <c r="C227" s="328"/>
      <c r="D227" s="326"/>
      <c r="E227" s="328"/>
      <c r="F227" s="127"/>
      <c r="G227" s="127"/>
      <c r="H227" s="128"/>
      <c r="I227" s="146"/>
      <c r="J227" s="628"/>
      <c r="K227" s="139"/>
      <c r="L227" s="140"/>
      <c r="M227" s="634"/>
      <c r="N227" s="629"/>
      <c r="O227" s="630"/>
      <c r="P227" s="651"/>
      <c r="Q227" s="631"/>
      <c r="R227" s="632"/>
      <c r="S227" s="598"/>
      <c r="T227" s="152"/>
      <c r="U227" s="140"/>
      <c r="V227" s="363"/>
      <c r="W227" s="137"/>
    </row>
    <row r="228" spans="2:23">
      <c r="B228" s="135"/>
      <c r="C228" s="328"/>
      <c r="D228" s="326"/>
      <c r="E228" s="328"/>
      <c r="F228" s="127"/>
      <c r="G228" s="127"/>
      <c r="H228" s="128"/>
      <c r="I228" s="146"/>
      <c r="J228" s="628"/>
      <c r="K228" s="139"/>
      <c r="L228" s="140"/>
      <c r="M228" s="634"/>
      <c r="N228" s="629"/>
      <c r="O228" s="630"/>
      <c r="P228" s="156"/>
      <c r="Q228" s="633"/>
      <c r="R228" s="162"/>
      <c r="S228" s="598"/>
      <c r="T228" s="139"/>
      <c r="U228" s="140"/>
      <c r="V228" s="136"/>
      <c r="W228" s="137"/>
    </row>
    <row r="229" spans="2:23">
      <c r="B229" s="135"/>
      <c r="C229" s="328"/>
      <c r="D229" s="326"/>
      <c r="E229" s="328"/>
      <c r="F229" s="127"/>
      <c r="G229" s="127"/>
      <c r="H229" s="128"/>
      <c r="I229" s="129"/>
      <c r="J229" s="628"/>
      <c r="K229" s="139"/>
      <c r="L229" s="140"/>
      <c r="M229" s="634"/>
      <c r="N229" s="629"/>
      <c r="O229" s="630"/>
      <c r="P229" s="156"/>
      <c r="Q229" s="633"/>
      <c r="R229" s="162"/>
      <c r="S229" s="598"/>
      <c r="T229" s="139"/>
      <c r="U229" s="140"/>
      <c r="V229" s="136"/>
      <c r="W229" s="137"/>
    </row>
    <row r="230" spans="2:23">
      <c r="B230" s="135"/>
      <c r="C230" s="328"/>
      <c r="D230" s="326"/>
      <c r="E230" s="328"/>
      <c r="F230" s="127"/>
      <c r="G230" s="127"/>
      <c r="H230" s="128"/>
      <c r="I230" s="129"/>
      <c r="J230" s="628"/>
      <c r="K230" s="139"/>
      <c r="L230" s="140"/>
      <c r="M230" s="634"/>
      <c r="N230" s="629"/>
      <c r="O230" s="630"/>
      <c r="P230" s="156"/>
      <c r="Q230" s="633"/>
      <c r="R230" s="162"/>
      <c r="S230" s="598"/>
      <c r="T230" s="139"/>
      <c r="U230" s="140"/>
      <c r="V230" s="136"/>
      <c r="W230" s="137"/>
    </row>
    <row r="231" spans="2:23" ht="13.8" thickBot="1">
      <c r="B231" s="135"/>
      <c r="C231" s="328"/>
      <c r="D231" s="326"/>
      <c r="E231" s="328"/>
      <c r="F231" s="127"/>
      <c r="G231" s="127"/>
      <c r="H231" s="128"/>
      <c r="I231" s="157" t="s">
        <v>4865</v>
      </c>
      <c r="J231" s="635"/>
      <c r="K231" s="355"/>
      <c r="L231" s="357"/>
      <c r="M231" s="359"/>
      <c r="N231" s="641"/>
      <c r="O231" s="642"/>
      <c r="P231" s="360"/>
      <c r="Q231" s="638">
        <f>SUM(Q223:Q230)</f>
        <v>0</v>
      </c>
      <c r="R231" s="377">
        <f>SUM(R223:R230)</f>
        <v>0</v>
      </c>
      <c r="S231" s="599"/>
      <c r="T231" s="378">
        <f>SUM(T223:T230)</f>
        <v>18999.107142857141</v>
      </c>
      <c r="U231" s="600">
        <f>SUM(U223:U230)</f>
        <v>21279</v>
      </c>
      <c r="V231" s="137"/>
      <c r="W231" s="137"/>
    </row>
    <row r="232" spans="2:23" ht="13.8" thickBot="1">
      <c r="B232" s="150" t="s">
        <v>5934</v>
      </c>
      <c r="C232" s="331" t="s">
        <v>6331</v>
      </c>
      <c r="D232" s="352">
        <v>26698293</v>
      </c>
      <c r="E232" s="331" t="s">
        <v>3509</v>
      </c>
      <c r="F232" s="369">
        <v>250000</v>
      </c>
      <c r="G232" s="369">
        <v>280000</v>
      </c>
      <c r="H232" s="119">
        <v>46237</v>
      </c>
      <c r="I232" s="120"/>
      <c r="J232" s="618"/>
      <c r="K232" s="142"/>
      <c r="L232" s="143"/>
      <c r="M232" s="619"/>
      <c r="N232" s="620"/>
      <c r="O232" s="621"/>
      <c r="P232" s="125"/>
      <c r="Q232" s="622"/>
      <c r="R232" s="160"/>
      <c r="S232" s="596">
        <v>45937</v>
      </c>
      <c r="T232" s="151">
        <f>U232*100/112</f>
        <v>15600</v>
      </c>
      <c r="U232" s="607">
        <v>17472</v>
      </c>
      <c r="V232" s="158">
        <f>SUM(F232-Q240-T240)</f>
        <v>224000</v>
      </c>
      <c r="W232" s="159">
        <f>SUM(G232-R240-U240)</f>
        <v>250880</v>
      </c>
    </row>
    <row r="233" spans="2:23">
      <c r="B233" s="135"/>
      <c r="C233" s="328"/>
      <c r="D233" s="326"/>
      <c r="E233" s="328"/>
      <c r="F233" s="127"/>
      <c r="G233" s="127"/>
      <c r="H233" s="128"/>
      <c r="I233" s="146"/>
      <c r="J233" s="623"/>
      <c r="K233" s="122"/>
      <c r="L233" s="131"/>
      <c r="M233" s="624"/>
      <c r="N233" s="625"/>
      <c r="O233" s="626"/>
      <c r="P233" s="132"/>
      <c r="Q233" s="627"/>
      <c r="R233" s="161"/>
      <c r="S233" s="597">
        <v>45972</v>
      </c>
      <c r="T233" s="152">
        <f>U233*100/112</f>
        <v>10400</v>
      </c>
      <c r="U233" s="131">
        <v>11648</v>
      </c>
      <c r="V233" s="133"/>
      <c r="W233" s="134"/>
    </row>
    <row r="234" spans="2:23">
      <c r="B234" s="135"/>
      <c r="C234" s="328"/>
      <c r="D234" s="326"/>
      <c r="E234" s="328"/>
      <c r="F234" s="127"/>
      <c r="G234" s="127"/>
      <c r="H234" s="128"/>
      <c r="I234" s="146"/>
      <c r="J234" s="628"/>
      <c r="K234" s="139"/>
      <c r="L234" s="140"/>
      <c r="M234" s="634"/>
      <c r="N234" s="629"/>
      <c r="O234" s="630"/>
      <c r="P234" s="156"/>
      <c r="Q234" s="633"/>
      <c r="R234" s="162"/>
      <c r="S234" s="598"/>
      <c r="T234" s="152"/>
      <c r="U234" s="131"/>
      <c r="V234" s="136"/>
      <c r="W234" s="137"/>
    </row>
    <row r="235" spans="2:23">
      <c r="B235" s="135"/>
      <c r="C235" s="328"/>
      <c r="D235" s="326"/>
      <c r="E235" s="328"/>
      <c r="F235" s="127"/>
      <c r="G235" s="127"/>
      <c r="H235" s="128"/>
      <c r="I235" s="146"/>
      <c r="J235" s="628"/>
      <c r="K235" s="139"/>
      <c r="L235" s="140"/>
      <c r="M235" s="634"/>
      <c r="N235" s="629"/>
      <c r="O235" s="630"/>
      <c r="P235" s="651"/>
      <c r="Q235" s="633"/>
      <c r="R235" s="162"/>
      <c r="S235" s="598"/>
      <c r="T235" s="152"/>
      <c r="U235" s="131"/>
      <c r="V235" s="136"/>
      <c r="W235" s="137"/>
    </row>
    <row r="236" spans="2:23">
      <c r="B236" s="135"/>
      <c r="C236" s="328"/>
      <c r="D236" s="326"/>
      <c r="E236" s="328"/>
      <c r="F236" s="127"/>
      <c r="G236" s="127"/>
      <c r="H236" s="128"/>
      <c r="I236" s="146"/>
      <c r="J236" s="628"/>
      <c r="K236" s="139"/>
      <c r="L236" s="140"/>
      <c r="M236" s="634"/>
      <c r="N236" s="629"/>
      <c r="O236" s="630"/>
      <c r="P236" s="651"/>
      <c r="Q236" s="631"/>
      <c r="R236" s="632"/>
      <c r="S236" s="598"/>
      <c r="T236" s="152"/>
      <c r="U236" s="140"/>
      <c r="V236" s="363"/>
      <c r="W236" s="137"/>
    </row>
    <row r="237" spans="2:23">
      <c r="B237" s="135"/>
      <c r="C237" s="328"/>
      <c r="D237" s="326"/>
      <c r="E237" s="328"/>
      <c r="F237" s="127"/>
      <c r="G237" s="127"/>
      <c r="H237" s="128"/>
      <c r="I237" s="146"/>
      <c r="J237" s="628"/>
      <c r="K237" s="139"/>
      <c r="L237" s="140"/>
      <c r="M237" s="634"/>
      <c r="N237" s="629"/>
      <c r="O237" s="630"/>
      <c r="P237" s="156"/>
      <c r="Q237" s="633"/>
      <c r="R237" s="162"/>
      <c r="S237" s="598"/>
      <c r="T237" s="139"/>
      <c r="U237" s="140"/>
      <c r="V237" s="136"/>
      <c r="W237" s="137"/>
    </row>
    <row r="238" spans="2:23">
      <c r="B238" s="135"/>
      <c r="C238" s="328"/>
      <c r="D238" s="326"/>
      <c r="E238" s="328"/>
      <c r="F238" s="127"/>
      <c r="G238" s="127"/>
      <c r="H238" s="128"/>
      <c r="I238" s="129"/>
      <c r="J238" s="628"/>
      <c r="K238" s="139"/>
      <c r="L238" s="140"/>
      <c r="M238" s="634"/>
      <c r="N238" s="629"/>
      <c r="O238" s="630"/>
      <c r="P238" s="156"/>
      <c r="Q238" s="633"/>
      <c r="R238" s="162"/>
      <c r="S238" s="598"/>
      <c r="T238" s="139"/>
      <c r="U238" s="140"/>
      <c r="V238" s="136"/>
      <c r="W238" s="137"/>
    </row>
    <row r="239" spans="2:23">
      <c r="B239" s="135"/>
      <c r="C239" s="328"/>
      <c r="D239" s="326"/>
      <c r="E239" s="328"/>
      <c r="F239" s="127"/>
      <c r="G239" s="127"/>
      <c r="H239" s="128"/>
      <c r="I239" s="129"/>
      <c r="J239" s="628"/>
      <c r="K239" s="139"/>
      <c r="L239" s="140"/>
      <c r="M239" s="634"/>
      <c r="N239" s="629"/>
      <c r="O239" s="630"/>
      <c r="P239" s="156"/>
      <c r="Q239" s="633"/>
      <c r="R239" s="162"/>
      <c r="S239" s="598"/>
      <c r="T239" s="139"/>
      <c r="U239" s="140"/>
      <c r="V239" s="136"/>
      <c r="W239" s="137"/>
    </row>
    <row r="240" spans="2:23" ht="13.8" thickBot="1">
      <c r="B240" s="135"/>
      <c r="C240" s="328"/>
      <c r="D240" s="326"/>
      <c r="E240" s="328"/>
      <c r="F240" s="127"/>
      <c r="G240" s="127"/>
      <c r="H240" s="128"/>
      <c r="I240" s="157" t="s">
        <v>4865</v>
      </c>
      <c r="J240" s="635"/>
      <c r="K240" s="355"/>
      <c r="L240" s="357"/>
      <c r="M240" s="359"/>
      <c r="N240" s="641"/>
      <c r="O240" s="642"/>
      <c r="P240" s="360"/>
      <c r="Q240" s="638">
        <f>SUM(Q232:Q239)</f>
        <v>0</v>
      </c>
      <c r="R240" s="377">
        <f>SUM(R232:R239)</f>
        <v>0</v>
      </c>
      <c r="S240" s="599"/>
      <c r="T240" s="378">
        <f>SUM(T232:T239)</f>
        <v>26000</v>
      </c>
      <c r="U240" s="600">
        <f>SUM(U232:U239)</f>
        <v>29120</v>
      </c>
      <c r="V240" s="137"/>
      <c r="W240" s="137"/>
    </row>
    <row r="241" spans="2:23" ht="13.8" thickBot="1">
      <c r="B241" s="150" t="s">
        <v>5936</v>
      </c>
      <c r="C241" s="331" t="s">
        <v>6332</v>
      </c>
      <c r="D241" s="352">
        <v>24766356</v>
      </c>
      <c r="E241" s="331" t="s">
        <v>5096</v>
      </c>
      <c r="F241" s="369">
        <v>134000</v>
      </c>
      <c r="G241" s="369">
        <v>150080</v>
      </c>
      <c r="H241" s="119">
        <v>46267</v>
      </c>
      <c r="I241" s="120"/>
      <c r="J241" s="618"/>
      <c r="K241" s="142"/>
      <c r="L241" s="143"/>
      <c r="M241" s="619"/>
      <c r="N241" s="620"/>
      <c r="O241" s="621"/>
      <c r="P241" s="125"/>
      <c r="Q241" s="622"/>
      <c r="R241" s="160"/>
      <c r="S241" s="596"/>
      <c r="T241" s="151"/>
      <c r="U241" s="607"/>
      <c r="V241" s="158">
        <f>SUM(F241-Q249-T249)</f>
        <v>134000</v>
      </c>
      <c r="W241" s="159">
        <f>SUM(G241-R249-U249)</f>
        <v>150080</v>
      </c>
    </row>
    <row r="242" spans="2:23">
      <c r="B242" s="135"/>
      <c r="C242" s="328"/>
      <c r="D242" s="326"/>
      <c r="E242" s="328"/>
      <c r="F242" s="127"/>
      <c r="G242" s="127"/>
      <c r="H242" s="128"/>
      <c r="I242" s="146"/>
      <c r="J242" s="623"/>
      <c r="K242" s="122"/>
      <c r="L242" s="131"/>
      <c r="M242" s="624"/>
      <c r="N242" s="625"/>
      <c r="O242" s="626"/>
      <c r="P242" s="132"/>
      <c r="Q242" s="627"/>
      <c r="R242" s="161"/>
      <c r="S242" s="597"/>
      <c r="T242" s="152"/>
      <c r="U242" s="131"/>
      <c r="V242" s="133"/>
      <c r="W242" s="134"/>
    </row>
    <row r="243" spans="2:23">
      <c r="B243" s="135"/>
      <c r="C243" s="328"/>
      <c r="D243" s="326"/>
      <c r="E243" s="328"/>
      <c r="F243" s="127"/>
      <c r="G243" s="127"/>
      <c r="H243" s="128"/>
      <c r="I243" s="146"/>
      <c r="J243" s="628"/>
      <c r="K243" s="139"/>
      <c r="L243" s="140"/>
      <c r="M243" s="634"/>
      <c r="N243" s="629"/>
      <c r="O243" s="630"/>
      <c r="P243" s="156"/>
      <c r="Q243" s="633"/>
      <c r="R243" s="162"/>
      <c r="S243" s="598"/>
      <c r="T243" s="152"/>
      <c r="U243" s="131"/>
      <c r="V243" s="136"/>
      <c r="W243" s="137"/>
    </row>
    <row r="244" spans="2:23">
      <c r="B244" s="135"/>
      <c r="C244" s="328"/>
      <c r="D244" s="326"/>
      <c r="E244" s="328"/>
      <c r="F244" s="127"/>
      <c r="G244" s="127"/>
      <c r="H244" s="128"/>
      <c r="I244" s="146"/>
      <c r="J244" s="628"/>
      <c r="K244" s="139"/>
      <c r="L244" s="140"/>
      <c r="M244" s="634"/>
      <c r="N244" s="629"/>
      <c r="O244" s="630"/>
      <c r="P244" s="651"/>
      <c r="Q244" s="633"/>
      <c r="R244" s="162"/>
      <c r="S244" s="598"/>
      <c r="T244" s="152"/>
      <c r="U244" s="131"/>
      <c r="V244" s="136"/>
      <c r="W244" s="137"/>
    </row>
    <row r="245" spans="2:23">
      <c r="B245" s="135"/>
      <c r="C245" s="328"/>
      <c r="D245" s="326"/>
      <c r="E245" s="328"/>
      <c r="F245" s="127"/>
      <c r="G245" s="127"/>
      <c r="H245" s="128"/>
      <c r="I245" s="146"/>
      <c r="J245" s="628"/>
      <c r="K245" s="139"/>
      <c r="L245" s="140"/>
      <c r="M245" s="634"/>
      <c r="N245" s="629"/>
      <c r="O245" s="630"/>
      <c r="P245" s="651"/>
      <c r="Q245" s="631"/>
      <c r="R245" s="632"/>
      <c r="S245" s="598"/>
      <c r="T245" s="152"/>
      <c r="U245" s="140"/>
      <c r="V245" s="363"/>
      <c r="W245" s="137"/>
    </row>
    <row r="246" spans="2:23">
      <c r="B246" s="135"/>
      <c r="C246" s="328"/>
      <c r="D246" s="326"/>
      <c r="E246" s="328"/>
      <c r="F246" s="127"/>
      <c r="G246" s="127"/>
      <c r="H246" s="128"/>
      <c r="I246" s="146"/>
      <c r="J246" s="628"/>
      <c r="K246" s="139"/>
      <c r="L246" s="140"/>
      <c r="M246" s="634"/>
      <c r="N246" s="629"/>
      <c r="O246" s="630"/>
      <c r="P246" s="156"/>
      <c r="Q246" s="633"/>
      <c r="R246" s="162"/>
      <c r="S246" s="598"/>
      <c r="T246" s="139"/>
      <c r="U246" s="140"/>
      <c r="V246" s="136"/>
      <c r="W246" s="137"/>
    </row>
    <row r="247" spans="2:23">
      <c r="B247" s="135"/>
      <c r="C247" s="328"/>
      <c r="D247" s="326"/>
      <c r="E247" s="328"/>
      <c r="F247" s="127"/>
      <c r="G247" s="127"/>
      <c r="H247" s="128"/>
      <c r="I247" s="129"/>
      <c r="J247" s="628"/>
      <c r="K247" s="139"/>
      <c r="L247" s="140"/>
      <c r="M247" s="634"/>
      <c r="N247" s="629"/>
      <c r="O247" s="630"/>
      <c r="P247" s="156"/>
      <c r="Q247" s="633"/>
      <c r="R247" s="162"/>
      <c r="S247" s="598"/>
      <c r="T247" s="139"/>
      <c r="U247" s="140"/>
      <c r="V247" s="136"/>
      <c r="W247" s="137"/>
    </row>
    <row r="248" spans="2:23">
      <c r="B248" s="135"/>
      <c r="C248" s="328"/>
      <c r="D248" s="326"/>
      <c r="E248" s="328"/>
      <c r="F248" s="127"/>
      <c r="G248" s="127"/>
      <c r="H248" s="128"/>
      <c r="I248" s="129"/>
      <c r="J248" s="628"/>
      <c r="K248" s="139"/>
      <c r="L248" s="140"/>
      <c r="M248" s="634"/>
      <c r="N248" s="629"/>
      <c r="O248" s="630"/>
      <c r="P248" s="156"/>
      <c r="Q248" s="633"/>
      <c r="R248" s="162"/>
      <c r="S248" s="598"/>
      <c r="T248" s="139"/>
      <c r="U248" s="140"/>
      <c r="V248" s="136"/>
      <c r="W248" s="137"/>
    </row>
    <row r="249" spans="2:23" ht="13.8" thickBot="1">
      <c r="B249" s="135"/>
      <c r="C249" s="328"/>
      <c r="D249" s="326"/>
      <c r="E249" s="328"/>
      <c r="F249" s="127"/>
      <c r="G249" s="127"/>
      <c r="H249" s="128"/>
      <c r="I249" s="157" t="s">
        <v>4865</v>
      </c>
      <c r="J249" s="635"/>
      <c r="K249" s="355"/>
      <c r="L249" s="357"/>
      <c r="M249" s="359"/>
      <c r="N249" s="641"/>
      <c r="O249" s="642"/>
      <c r="P249" s="360"/>
      <c r="Q249" s="638">
        <f>SUM(Q241:Q248)</f>
        <v>0</v>
      </c>
      <c r="R249" s="377">
        <f>SUM(R241:R248)</f>
        <v>0</v>
      </c>
      <c r="S249" s="599"/>
      <c r="T249" s="378">
        <f>SUM(T241:T248)</f>
        <v>0</v>
      </c>
      <c r="U249" s="600">
        <f>SUM(U241:U248)</f>
        <v>0</v>
      </c>
      <c r="V249" s="137"/>
      <c r="W249" s="137"/>
    </row>
    <row r="250" spans="2:23" ht="13.8" thickBot="1">
      <c r="B250" s="150" t="s">
        <v>5603</v>
      </c>
      <c r="C250" s="331" t="s">
        <v>5693</v>
      </c>
      <c r="D250" s="352">
        <v>27226158</v>
      </c>
      <c r="E250" s="331" t="s">
        <v>5694</v>
      </c>
      <c r="F250" s="369">
        <v>900000</v>
      </c>
      <c r="G250" s="369">
        <v>1089000</v>
      </c>
      <c r="H250" s="119">
        <v>46139</v>
      </c>
      <c r="I250" s="120"/>
      <c r="J250" s="618"/>
      <c r="K250" s="142"/>
      <c r="L250" s="143"/>
      <c r="M250" s="619"/>
      <c r="N250" s="620"/>
      <c r="O250" s="621"/>
      <c r="P250" s="125" t="s">
        <v>5445</v>
      </c>
      <c r="Q250" s="622" t="s">
        <v>5445</v>
      </c>
      <c r="R250" s="160" t="s">
        <v>5445</v>
      </c>
      <c r="S250" s="596">
        <v>45883</v>
      </c>
      <c r="T250" s="151">
        <f>U250*100/112</f>
        <v>145600</v>
      </c>
      <c r="U250" s="603">
        <v>163072</v>
      </c>
      <c r="V250" s="158">
        <f>SUM(F250-Q258-T258)</f>
        <v>608800</v>
      </c>
      <c r="W250" s="159">
        <f>SUM(G250-R258-U258)</f>
        <v>762856</v>
      </c>
    </row>
    <row r="251" spans="2:23">
      <c r="B251" s="135"/>
      <c r="C251" s="328"/>
      <c r="D251" s="326"/>
      <c r="E251" s="328"/>
      <c r="F251" s="127"/>
      <c r="G251" s="127"/>
      <c r="H251" s="128"/>
      <c r="I251" s="146"/>
      <c r="J251" s="623"/>
      <c r="K251" s="122"/>
      <c r="L251" s="131"/>
      <c r="M251" s="624"/>
      <c r="N251" s="625"/>
      <c r="O251" s="626"/>
      <c r="P251" s="132" t="s">
        <v>5445</v>
      </c>
      <c r="Q251" s="627" t="s">
        <v>5445</v>
      </c>
      <c r="R251" s="161" t="s">
        <v>5445</v>
      </c>
      <c r="S251" s="597">
        <v>45993</v>
      </c>
      <c r="T251" s="152">
        <f>U251*100/112</f>
        <v>93600</v>
      </c>
      <c r="U251" s="153">
        <v>104832</v>
      </c>
      <c r="V251" s="366"/>
      <c r="W251" s="134"/>
    </row>
    <row r="252" spans="2:23">
      <c r="B252" s="135"/>
      <c r="C252" s="328"/>
      <c r="D252" s="326"/>
      <c r="E252" s="328"/>
      <c r="F252" s="127"/>
      <c r="G252" s="127"/>
      <c r="H252" s="128"/>
      <c r="I252" s="146"/>
      <c r="J252" s="628"/>
      <c r="K252" s="139"/>
      <c r="L252" s="140"/>
      <c r="M252" s="634"/>
      <c r="N252" s="629"/>
      <c r="O252" s="630"/>
      <c r="P252" s="156" t="s">
        <v>5445</v>
      </c>
      <c r="Q252" s="633" t="s">
        <v>5445</v>
      </c>
      <c r="R252" s="162" t="s">
        <v>5445</v>
      </c>
      <c r="S252" s="598">
        <v>45993</v>
      </c>
      <c r="T252" s="152">
        <f>U252*100/112</f>
        <v>52000</v>
      </c>
      <c r="U252" s="140">
        <v>58240</v>
      </c>
      <c r="V252" s="136"/>
      <c r="W252" s="137"/>
    </row>
    <row r="253" spans="2:23">
      <c r="B253" s="135"/>
      <c r="C253" s="328"/>
      <c r="D253" s="326"/>
      <c r="E253" s="328"/>
      <c r="F253" s="127"/>
      <c r="G253" s="127"/>
      <c r="H253" s="128"/>
      <c r="I253" s="146"/>
      <c r="J253" s="628"/>
      <c r="K253" s="139"/>
      <c r="L253" s="140"/>
      <c r="M253" s="634"/>
      <c r="N253" s="629"/>
      <c r="O253" s="630"/>
      <c r="P253" s="156"/>
      <c r="Q253" s="633"/>
      <c r="R253" s="162"/>
      <c r="S253" s="598"/>
      <c r="T253" s="154"/>
      <c r="U253" s="140"/>
      <c r="V253" s="136"/>
      <c r="W253" s="137"/>
    </row>
    <row r="254" spans="2:23">
      <c r="B254" s="135"/>
      <c r="C254" s="328"/>
      <c r="D254" s="326"/>
      <c r="E254" s="328"/>
      <c r="F254" s="127"/>
      <c r="G254" s="127"/>
      <c r="H254" s="128"/>
      <c r="I254" s="146"/>
      <c r="J254" s="628"/>
      <c r="K254" s="139"/>
      <c r="L254" s="140"/>
      <c r="M254" s="634"/>
      <c r="N254" s="629"/>
      <c r="O254" s="630"/>
      <c r="P254" s="156"/>
      <c r="Q254" s="633"/>
      <c r="R254" s="162"/>
      <c r="S254" s="598"/>
      <c r="T254" s="154"/>
      <c r="U254" s="140"/>
      <c r="V254" s="136"/>
      <c r="W254" s="137"/>
    </row>
    <row r="255" spans="2:23">
      <c r="B255" s="135"/>
      <c r="C255" s="328"/>
      <c r="D255" s="326"/>
      <c r="E255" s="328"/>
      <c r="F255" s="127"/>
      <c r="G255" s="127"/>
      <c r="H255" s="128"/>
      <c r="I255" s="146"/>
      <c r="J255" s="628"/>
      <c r="K255" s="139"/>
      <c r="L255" s="140"/>
      <c r="M255" s="634"/>
      <c r="N255" s="629"/>
      <c r="O255" s="630"/>
      <c r="P255" s="156"/>
      <c r="Q255" s="633"/>
      <c r="R255" s="162"/>
      <c r="S255" s="598"/>
      <c r="T255" s="154"/>
      <c r="U255" s="140"/>
      <c r="V255" s="136"/>
      <c r="W255" s="137"/>
    </row>
    <row r="256" spans="2:23">
      <c r="B256" s="135"/>
      <c r="C256" s="328"/>
      <c r="D256" s="326"/>
      <c r="E256" s="328"/>
      <c r="F256" s="127"/>
      <c r="G256" s="127"/>
      <c r="H256" s="128"/>
      <c r="I256" s="129"/>
      <c r="J256" s="628"/>
      <c r="K256" s="139"/>
      <c r="L256" s="140"/>
      <c r="M256" s="634"/>
      <c r="N256" s="629"/>
      <c r="O256" s="630"/>
      <c r="P256" s="156"/>
      <c r="Q256" s="633"/>
      <c r="R256" s="162"/>
      <c r="S256" s="598"/>
      <c r="T256" s="154"/>
      <c r="U256" s="140"/>
      <c r="V256" s="136"/>
      <c r="W256" s="137"/>
    </row>
    <row r="257" spans="2:23">
      <c r="B257" s="135"/>
      <c r="C257" s="328"/>
      <c r="D257" s="326"/>
      <c r="E257" s="328"/>
      <c r="F257" s="127"/>
      <c r="G257" s="127"/>
      <c r="H257" s="128"/>
      <c r="I257" s="129"/>
      <c r="J257" s="628"/>
      <c r="K257" s="139"/>
      <c r="L257" s="140"/>
      <c r="M257" s="634"/>
      <c r="N257" s="629"/>
      <c r="O257" s="630"/>
      <c r="P257" s="156"/>
      <c r="Q257" s="633"/>
      <c r="R257" s="162"/>
      <c r="S257" s="598"/>
      <c r="T257" s="154"/>
      <c r="U257" s="140"/>
      <c r="V257" s="136"/>
      <c r="W257" s="137"/>
    </row>
    <row r="258" spans="2:23" ht="13.8" thickBot="1">
      <c r="B258" s="135"/>
      <c r="C258" s="328"/>
      <c r="D258" s="326"/>
      <c r="E258" s="328"/>
      <c r="F258" s="127"/>
      <c r="G258" s="127"/>
      <c r="H258" s="128"/>
      <c r="I258" s="157" t="s">
        <v>4865</v>
      </c>
      <c r="J258" s="635"/>
      <c r="K258" s="355"/>
      <c r="L258" s="357"/>
      <c r="M258" s="359"/>
      <c r="N258" s="641"/>
      <c r="O258" s="642"/>
      <c r="P258" s="652"/>
      <c r="Q258" s="638">
        <f>SUM(Q250:Q257)</f>
        <v>0</v>
      </c>
      <c r="R258" s="377">
        <f>SUM(R250:R257)</f>
        <v>0</v>
      </c>
      <c r="S258" s="609"/>
      <c r="T258" s="378">
        <f>SUM(T250:T257)</f>
        <v>291200</v>
      </c>
      <c r="U258" s="375">
        <f>SUM(U250:U257)</f>
        <v>326144</v>
      </c>
      <c r="V258" s="137"/>
      <c r="W258" s="137"/>
    </row>
    <row r="259" spans="2:23" ht="13.8" thickBot="1">
      <c r="B259" s="150" t="s">
        <v>833</v>
      </c>
      <c r="C259" s="331" t="s">
        <v>4887</v>
      </c>
      <c r="D259" s="352">
        <v>6288740</v>
      </c>
      <c r="E259" s="331" t="s">
        <v>3696</v>
      </c>
      <c r="F259" s="369">
        <v>750000</v>
      </c>
      <c r="G259" s="369">
        <v>907500</v>
      </c>
      <c r="H259" s="1089">
        <v>46008</v>
      </c>
      <c r="I259" s="120"/>
      <c r="J259" s="618"/>
      <c r="K259" s="142"/>
      <c r="L259" s="143"/>
      <c r="M259" s="619"/>
      <c r="N259" s="620"/>
      <c r="O259" s="621"/>
      <c r="P259" s="125">
        <v>45440</v>
      </c>
      <c r="Q259" s="622">
        <f>64960*100/121</f>
        <v>53685.950413223138</v>
      </c>
      <c r="R259" s="160">
        <v>64960</v>
      </c>
      <c r="S259" s="596">
        <v>45757</v>
      </c>
      <c r="T259" s="151">
        <v>58000</v>
      </c>
      <c r="U259" s="603">
        <v>64960</v>
      </c>
      <c r="V259" s="158">
        <f>SUM(F259-Q267-T267)</f>
        <v>62628.099586776923</v>
      </c>
      <c r="W259" s="159">
        <f>SUM(G259-R267-U267)</f>
        <v>127980</v>
      </c>
    </row>
    <row r="260" spans="2:23">
      <c r="B260" s="135"/>
      <c r="C260" s="328"/>
      <c r="D260" s="326"/>
      <c r="E260" s="328"/>
      <c r="F260" s="127"/>
      <c r="G260" s="127"/>
      <c r="H260" s="128"/>
      <c r="I260" s="146"/>
      <c r="J260" s="623"/>
      <c r="K260" s="122"/>
      <c r="L260" s="131"/>
      <c r="M260" s="624"/>
      <c r="N260" s="625"/>
      <c r="O260" s="626"/>
      <c r="P260" s="132">
        <v>45541</v>
      </c>
      <c r="Q260" s="627">
        <v>53685.95</v>
      </c>
      <c r="R260" s="161">
        <v>64960</v>
      </c>
      <c r="S260" s="597">
        <v>45828</v>
      </c>
      <c r="T260" s="152">
        <v>58000</v>
      </c>
      <c r="U260" s="153">
        <v>64960</v>
      </c>
      <c r="V260" s="366" t="s">
        <v>4984</v>
      </c>
      <c r="W260" s="134"/>
    </row>
    <row r="261" spans="2:23">
      <c r="B261" s="135"/>
      <c r="C261" s="328"/>
      <c r="D261" s="326"/>
      <c r="E261" s="328"/>
      <c r="F261" s="127"/>
      <c r="G261" s="127"/>
      <c r="H261" s="128"/>
      <c r="I261" s="146"/>
      <c r="J261" s="628"/>
      <c r="K261" s="139"/>
      <c r="L261" s="140"/>
      <c r="M261" s="634"/>
      <c r="N261" s="629"/>
      <c r="O261" s="630"/>
      <c r="P261" s="156">
        <v>45611</v>
      </c>
      <c r="Q261" s="633">
        <v>58000</v>
      </c>
      <c r="R261" s="162">
        <v>64960</v>
      </c>
      <c r="S261" s="598">
        <v>45932</v>
      </c>
      <c r="T261" s="152">
        <v>58000</v>
      </c>
      <c r="U261" s="153">
        <v>64960</v>
      </c>
      <c r="V261" s="136"/>
      <c r="W261" s="137"/>
    </row>
    <row r="262" spans="2:23">
      <c r="B262" s="135"/>
      <c r="C262" s="328"/>
      <c r="D262" s="326"/>
      <c r="E262" s="328"/>
      <c r="F262" s="127"/>
      <c r="G262" s="127"/>
      <c r="H262" s="128"/>
      <c r="I262" s="146"/>
      <c r="J262" s="628"/>
      <c r="K262" s="139"/>
      <c r="L262" s="140"/>
      <c r="M262" s="634"/>
      <c r="N262" s="629"/>
      <c r="O262" s="630"/>
      <c r="P262" s="156"/>
      <c r="Q262" s="633"/>
      <c r="R262" s="162"/>
      <c r="S262" s="598">
        <v>45986</v>
      </c>
      <c r="T262" s="154">
        <f>U262/112*100</f>
        <v>116000</v>
      </c>
      <c r="U262" s="140">
        <v>129920</v>
      </c>
      <c r="V262" s="136"/>
      <c r="W262" s="137"/>
    </row>
    <row r="263" spans="2:23">
      <c r="B263" s="135"/>
      <c r="C263" s="328"/>
      <c r="D263" s="326"/>
      <c r="E263" s="328"/>
      <c r="F263" s="127"/>
      <c r="G263" s="127"/>
      <c r="H263" s="128"/>
      <c r="I263" s="146"/>
      <c r="J263" s="628"/>
      <c r="K263" s="139"/>
      <c r="L263" s="140"/>
      <c r="M263" s="634"/>
      <c r="N263" s="629"/>
      <c r="O263" s="630"/>
      <c r="P263" s="156"/>
      <c r="Q263" s="633"/>
      <c r="R263" s="162"/>
      <c r="S263" s="598">
        <v>46031</v>
      </c>
      <c r="T263" s="154">
        <f>U263/112*100</f>
        <v>232000</v>
      </c>
      <c r="U263" s="140">
        <v>259840</v>
      </c>
      <c r="V263" s="136"/>
      <c r="W263" s="137"/>
    </row>
    <row r="264" spans="2:23">
      <c r="B264" s="135"/>
      <c r="C264" s="328"/>
      <c r="D264" s="326"/>
      <c r="E264" s="328"/>
      <c r="F264" s="127"/>
      <c r="G264" s="127"/>
      <c r="H264" s="128"/>
      <c r="I264" s="146"/>
      <c r="J264" s="628"/>
      <c r="K264" s="139"/>
      <c r="L264" s="140"/>
      <c r="M264" s="634"/>
      <c r="N264" s="629"/>
      <c r="O264" s="630"/>
      <c r="P264" s="156"/>
      <c r="Q264" s="633"/>
      <c r="R264" s="162"/>
      <c r="S264" s="598"/>
      <c r="T264" s="154"/>
      <c r="U264" s="140"/>
      <c r="V264" s="136"/>
      <c r="W264" s="137"/>
    </row>
    <row r="265" spans="2:23">
      <c r="B265" s="135"/>
      <c r="C265" s="328"/>
      <c r="D265" s="326"/>
      <c r="E265" s="328"/>
      <c r="F265" s="127"/>
      <c r="G265" s="127"/>
      <c r="H265" s="128"/>
      <c r="I265" s="129"/>
      <c r="J265" s="628"/>
      <c r="K265" s="139"/>
      <c r="L265" s="140"/>
      <c r="M265" s="634"/>
      <c r="N265" s="629"/>
      <c r="O265" s="630"/>
      <c r="P265" s="156"/>
      <c r="Q265" s="633"/>
      <c r="R265" s="162"/>
      <c r="S265" s="598"/>
      <c r="T265" s="154"/>
      <c r="U265" s="140"/>
      <c r="V265" s="136"/>
      <c r="W265" s="137"/>
    </row>
    <row r="266" spans="2:23">
      <c r="B266" s="135"/>
      <c r="C266" s="328"/>
      <c r="D266" s="326"/>
      <c r="E266" s="328"/>
      <c r="F266" s="127"/>
      <c r="G266" s="127"/>
      <c r="H266" s="128"/>
      <c r="I266" s="129"/>
      <c r="J266" s="628"/>
      <c r="K266" s="139"/>
      <c r="L266" s="140"/>
      <c r="M266" s="634"/>
      <c r="N266" s="629"/>
      <c r="O266" s="630"/>
      <c r="P266" s="156"/>
      <c r="Q266" s="633"/>
      <c r="R266" s="162"/>
      <c r="S266" s="598"/>
      <c r="T266" s="154"/>
      <c r="U266" s="140"/>
      <c r="V266" s="136"/>
      <c r="W266" s="137"/>
    </row>
    <row r="267" spans="2:23" ht="13.8" thickBot="1">
      <c r="B267" s="135"/>
      <c r="C267" s="328"/>
      <c r="D267" s="326"/>
      <c r="E267" s="328"/>
      <c r="F267" s="127"/>
      <c r="G267" s="127"/>
      <c r="H267" s="128"/>
      <c r="I267" s="157" t="s">
        <v>4865</v>
      </c>
      <c r="J267" s="635"/>
      <c r="K267" s="355"/>
      <c r="L267" s="357"/>
      <c r="M267" s="359"/>
      <c r="N267" s="641"/>
      <c r="O267" s="642"/>
      <c r="P267" s="652"/>
      <c r="Q267" s="638">
        <f>SUM(Q259:Q266)</f>
        <v>165371.90041322313</v>
      </c>
      <c r="R267" s="377">
        <f>SUM(R259:R266)</f>
        <v>194880</v>
      </c>
      <c r="S267" s="609"/>
      <c r="T267" s="378">
        <f>SUM(T259:T266)</f>
        <v>522000</v>
      </c>
      <c r="U267" s="375">
        <f>SUM(U259:U266)</f>
        <v>584640</v>
      </c>
      <c r="V267" s="137"/>
      <c r="W267" s="137"/>
    </row>
    <row r="268" spans="2:23" ht="13.8" thickBot="1">
      <c r="B268" s="150" t="s">
        <v>819</v>
      </c>
      <c r="C268" s="331" t="s">
        <v>4873</v>
      </c>
      <c r="D268" s="352">
        <v>27777260</v>
      </c>
      <c r="E268" s="331" t="s">
        <v>4874</v>
      </c>
      <c r="F268" s="369">
        <v>750000</v>
      </c>
      <c r="G268" s="369">
        <v>907500</v>
      </c>
      <c r="H268" s="1089">
        <v>45974</v>
      </c>
      <c r="I268" s="120"/>
      <c r="J268" s="618"/>
      <c r="K268" s="142"/>
      <c r="L268" s="143"/>
      <c r="M268" s="619"/>
      <c r="N268" s="620"/>
      <c r="O268" s="621"/>
      <c r="P268" s="125">
        <v>45429</v>
      </c>
      <c r="Q268" s="622">
        <v>32000</v>
      </c>
      <c r="R268" s="160">
        <v>38720</v>
      </c>
      <c r="S268" s="596">
        <v>45716</v>
      </c>
      <c r="T268" s="151">
        <f>26880/112*100</f>
        <v>24000</v>
      </c>
      <c r="U268" s="603">
        <v>26880</v>
      </c>
      <c r="V268" s="486">
        <f>SUM(F268-Q276-T276)</f>
        <v>494000</v>
      </c>
      <c r="W268" s="159">
        <f>SUM(G268-R276-U276)</f>
        <v>617900</v>
      </c>
    </row>
    <row r="269" spans="2:23">
      <c r="B269" s="135"/>
      <c r="C269" s="328"/>
      <c r="D269" s="326"/>
      <c r="E269" s="328"/>
      <c r="F269" s="127"/>
      <c r="G269" s="127"/>
      <c r="H269" s="128"/>
      <c r="I269" s="146"/>
      <c r="J269" s="623"/>
      <c r="K269" s="122"/>
      <c r="L269" s="131"/>
      <c r="M269" s="624"/>
      <c r="N269" s="625"/>
      <c r="O269" s="626"/>
      <c r="P269" s="132">
        <v>45525</v>
      </c>
      <c r="Q269" s="627">
        <v>32000</v>
      </c>
      <c r="R269" s="161">
        <v>35840</v>
      </c>
      <c r="S269" s="597">
        <v>45743</v>
      </c>
      <c r="T269" s="152">
        <f>8960/112*100</f>
        <v>8000</v>
      </c>
      <c r="U269" s="131">
        <v>8960</v>
      </c>
      <c r="V269" s="133" t="s">
        <v>4984</v>
      </c>
      <c r="W269" s="134"/>
    </row>
    <row r="270" spans="2:23">
      <c r="B270" s="135"/>
      <c r="C270" s="328"/>
      <c r="D270" s="326"/>
      <c r="E270" s="328"/>
      <c r="F270" s="127"/>
      <c r="G270" s="127"/>
      <c r="H270" s="128"/>
      <c r="I270" s="146"/>
      <c r="J270" s="628"/>
      <c r="K270" s="139"/>
      <c r="L270" s="140"/>
      <c r="M270" s="634"/>
      <c r="N270" s="629"/>
      <c r="O270" s="630"/>
      <c r="P270" s="156">
        <v>45643</v>
      </c>
      <c r="Q270" s="633">
        <v>32000</v>
      </c>
      <c r="R270" s="162">
        <v>35840</v>
      </c>
      <c r="S270" s="598">
        <v>45832</v>
      </c>
      <c r="T270" s="152">
        <f>35840/112*100</f>
        <v>32000</v>
      </c>
      <c r="U270" s="140">
        <v>35840</v>
      </c>
      <c r="V270" s="136"/>
      <c r="W270" s="137"/>
    </row>
    <row r="271" spans="2:23">
      <c r="B271" s="135"/>
      <c r="C271" s="328"/>
      <c r="D271" s="326"/>
      <c r="E271" s="328"/>
      <c r="F271" s="127"/>
      <c r="G271" s="127"/>
      <c r="H271" s="128"/>
      <c r="I271" s="146"/>
      <c r="J271" s="628"/>
      <c r="K271" s="139"/>
      <c r="L271" s="140"/>
      <c r="M271" s="634"/>
      <c r="N271" s="629"/>
      <c r="O271" s="630"/>
      <c r="P271" s="156"/>
      <c r="Q271" s="633"/>
      <c r="R271" s="162"/>
      <c r="S271" s="598">
        <v>45945</v>
      </c>
      <c r="T271" s="152">
        <f>U271/112*100</f>
        <v>13600</v>
      </c>
      <c r="U271" s="140">
        <v>15232</v>
      </c>
      <c r="V271" s="136"/>
      <c r="W271" s="137"/>
    </row>
    <row r="272" spans="2:23">
      <c r="B272" s="135"/>
      <c r="C272" s="328"/>
      <c r="D272" s="326"/>
      <c r="E272" s="328"/>
      <c r="F272" s="127"/>
      <c r="G272" s="127"/>
      <c r="H272" s="128"/>
      <c r="I272" s="146"/>
      <c r="J272" s="628"/>
      <c r="K272" s="139"/>
      <c r="L272" s="140"/>
      <c r="M272" s="634"/>
      <c r="N272" s="629"/>
      <c r="O272" s="630"/>
      <c r="P272" s="156"/>
      <c r="Q272" s="633"/>
      <c r="R272" s="162"/>
      <c r="S272" s="598">
        <v>45954</v>
      </c>
      <c r="T272" s="152">
        <f>U272/112*100</f>
        <v>18400</v>
      </c>
      <c r="U272" s="140">
        <v>20608</v>
      </c>
      <c r="V272" s="136"/>
      <c r="W272" s="137"/>
    </row>
    <row r="273" spans="2:23">
      <c r="B273" s="135"/>
      <c r="C273" s="328"/>
      <c r="D273" s="326"/>
      <c r="E273" s="328"/>
      <c r="F273" s="127"/>
      <c r="G273" s="127"/>
      <c r="H273" s="128"/>
      <c r="I273" s="146"/>
      <c r="J273" s="628"/>
      <c r="K273" s="139"/>
      <c r="L273" s="140"/>
      <c r="M273" s="634"/>
      <c r="N273" s="629"/>
      <c r="O273" s="630"/>
      <c r="P273" s="156"/>
      <c r="Q273" s="633"/>
      <c r="R273" s="162"/>
      <c r="S273" s="598">
        <v>46022</v>
      </c>
      <c r="T273" s="152">
        <f>U273/112*100</f>
        <v>64000</v>
      </c>
      <c r="U273" s="140">
        <v>71680</v>
      </c>
      <c r="V273" s="136"/>
      <c r="W273" s="137"/>
    </row>
    <row r="274" spans="2:23">
      <c r="B274" s="135"/>
      <c r="C274" s="328"/>
      <c r="D274" s="326"/>
      <c r="E274" s="328"/>
      <c r="F274" s="127"/>
      <c r="G274" s="127"/>
      <c r="H274" s="128"/>
      <c r="I274" s="129"/>
      <c r="J274" s="628"/>
      <c r="K274" s="139"/>
      <c r="L274" s="140"/>
      <c r="M274" s="634"/>
      <c r="N274" s="629"/>
      <c r="O274" s="630"/>
      <c r="P274" s="156"/>
      <c r="Q274" s="633"/>
      <c r="R274" s="162"/>
      <c r="S274" s="598"/>
      <c r="T274" s="154"/>
      <c r="U274" s="140"/>
      <c r="V274" s="136"/>
      <c r="W274" s="137"/>
    </row>
    <row r="275" spans="2:23">
      <c r="B275" s="135"/>
      <c r="C275" s="328"/>
      <c r="D275" s="326"/>
      <c r="E275" s="328"/>
      <c r="F275" s="127"/>
      <c r="G275" s="127"/>
      <c r="H275" s="128"/>
      <c r="I275" s="129"/>
      <c r="J275" s="628"/>
      <c r="K275" s="139"/>
      <c r="L275" s="140"/>
      <c r="M275" s="634"/>
      <c r="N275" s="629"/>
      <c r="O275" s="630"/>
      <c r="P275" s="651"/>
      <c r="Q275" s="633"/>
      <c r="R275" s="162"/>
      <c r="S275" s="608"/>
      <c r="T275" s="154"/>
      <c r="U275" s="155"/>
      <c r="V275" s="136"/>
      <c r="W275" s="137"/>
    </row>
    <row r="276" spans="2:23" ht="13.8" thickBot="1">
      <c r="B276" s="135"/>
      <c r="C276" s="328"/>
      <c r="D276" s="326"/>
      <c r="E276" s="328"/>
      <c r="F276" s="127"/>
      <c r="G276" s="127"/>
      <c r="H276" s="128"/>
      <c r="I276" s="157" t="s">
        <v>4865</v>
      </c>
      <c r="J276" s="635"/>
      <c r="K276" s="355"/>
      <c r="L276" s="357"/>
      <c r="M276" s="359"/>
      <c r="N276" s="641"/>
      <c r="O276" s="642"/>
      <c r="P276" s="652"/>
      <c r="Q276" s="638">
        <f>SUM(Q268:Q275)</f>
        <v>96000</v>
      </c>
      <c r="R276" s="377">
        <f>SUM(R268:R275)</f>
        <v>110400</v>
      </c>
      <c r="S276" s="609"/>
      <c r="T276" s="378">
        <f>SUM(T268:T275)</f>
        <v>160000</v>
      </c>
      <c r="U276" s="375">
        <f>SUM(U268:U275)</f>
        <v>179200</v>
      </c>
      <c r="V276" s="163"/>
      <c r="W276" s="137"/>
    </row>
    <row r="277" spans="2:23" ht="13.8" thickBot="1">
      <c r="B277" s="150"/>
      <c r="C277" s="331"/>
      <c r="D277" s="330"/>
      <c r="E277" s="329"/>
      <c r="F277" s="117"/>
      <c r="G277" s="118"/>
      <c r="H277" s="119"/>
      <c r="I277" s="120"/>
      <c r="J277" s="618"/>
      <c r="K277" s="142"/>
      <c r="L277" s="143"/>
      <c r="M277" s="619"/>
      <c r="N277" s="620"/>
      <c r="O277" s="621"/>
      <c r="P277" s="125"/>
      <c r="Q277" s="622"/>
      <c r="R277" s="160"/>
      <c r="S277" s="596"/>
      <c r="T277" s="151"/>
      <c r="U277" s="607"/>
      <c r="V277" s="158"/>
      <c r="W277" s="159"/>
    </row>
    <row r="278" spans="2:23">
      <c r="B278" s="126"/>
      <c r="C278" s="328"/>
      <c r="D278" s="326"/>
      <c r="E278" s="328"/>
      <c r="F278" s="127"/>
      <c r="G278" s="127"/>
      <c r="H278" s="128"/>
      <c r="I278" s="146"/>
      <c r="J278" s="623"/>
      <c r="K278" s="122"/>
      <c r="L278" s="131"/>
      <c r="M278" s="624"/>
      <c r="N278" s="625"/>
      <c r="O278" s="626"/>
      <c r="P278" s="132"/>
      <c r="Q278" s="627"/>
      <c r="R278" s="161"/>
      <c r="S278" s="597"/>
      <c r="T278" s="152"/>
      <c r="U278" s="131"/>
      <c r="V278" s="133"/>
      <c r="W278" s="134"/>
    </row>
    <row r="279" spans="2:23">
      <c r="B279" s="135"/>
      <c r="C279" s="328"/>
      <c r="D279" s="326"/>
      <c r="E279" s="328"/>
      <c r="F279" s="127"/>
      <c r="G279" s="127"/>
      <c r="H279" s="128"/>
      <c r="I279" s="146"/>
      <c r="J279" s="628"/>
      <c r="K279" s="139"/>
      <c r="L279" s="140"/>
      <c r="M279" s="634"/>
      <c r="N279" s="629"/>
      <c r="O279" s="630"/>
      <c r="P279" s="156"/>
      <c r="Q279" s="633"/>
      <c r="R279" s="162"/>
      <c r="S279" s="598"/>
      <c r="T279" s="154"/>
      <c r="U279" s="140"/>
      <c r="V279" s="136"/>
      <c r="W279" s="137"/>
    </row>
    <row r="280" spans="2:23">
      <c r="B280" s="135"/>
      <c r="C280" s="328"/>
      <c r="D280" s="326"/>
      <c r="E280" s="328"/>
      <c r="F280" s="127"/>
      <c r="G280" s="127"/>
      <c r="H280" s="128"/>
      <c r="I280" s="146"/>
      <c r="J280" s="628"/>
      <c r="K280" s="139"/>
      <c r="L280" s="140"/>
      <c r="M280" s="634"/>
      <c r="N280" s="629"/>
      <c r="O280" s="630"/>
      <c r="P280" s="156"/>
      <c r="Q280" s="633"/>
      <c r="R280" s="162"/>
      <c r="S280" s="598"/>
      <c r="T280" s="154"/>
      <c r="U280" s="140"/>
      <c r="V280" s="136"/>
      <c r="W280" s="137"/>
    </row>
    <row r="281" spans="2:23">
      <c r="B281" s="135"/>
      <c r="C281" s="328"/>
      <c r="D281" s="326"/>
      <c r="E281" s="328"/>
      <c r="F281" s="127"/>
      <c r="G281" s="127"/>
      <c r="H281" s="128"/>
      <c r="I281" s="146"/>
      <c r="J281" s="628"/>
      <c r="K281" s="139"/>
      <c r="L281" s="140"/>
      <c r="M281" s="634"/>
      <c r="N281" s="629"/>
      <c r="O281" s="630"/>
      <c r="P281" s="156"/>
      <c r="Q281" s="633"/>
      <c r="R281" s="162"/>
      <c r="S281" s="598"/>
      <c r="T281" s="154"/>
      <c r="U281" s="140"/>
      <c r="V281" s="136"/>
      <c r="W281" s="137"/>
    </row>
    <row r="282" spans="2:23">
      <c r="B282" s="135"/>
      <c r="C282" s="328"/>
      <c r="D282" s="326"/>
      <c r="E282" s="328"/>
      <c r="F282" s="127"/>
      <c r="G282" s="127"/>
      <c r="H282" s="128"/>
      <c r="I282" s="146"/>
      <c r="J282" s="628"/>
      <c r="K282" s="139"/>
      <c r="L282" s="140"/>
      <c r="M282" s="634"/>
      <c r="N282" s="629"/>
      <c r="O282" s="630"/>
      <c r="P282" s="156"/>
      <c r="Q282" s="633"/>
      <c r="R282" s="162"/>
      <c r="S282" s="598"/>
      <c r="T282" s="154"/>
      <c r="U282" s="140"/>
      <c r="V282" s="136"/>
      <c r="W282" s="137"/>
    </row>
    <row r="283" spans="2:23">
      <c r="B283" s="135"/>
      <c r="C283" s="328"/>
      <c r="D283" s="326"/>
      <c r="E283" s="328"/>
      <c r="F283" s="127"/>
      <c r="G283" s="127"/>
      <c r="H283" s="128"/>
      <c r="I283" s="129"/>
      <c r="J283" s="628"/>
      <c r="K283" s="139"/>
      <c r="L283" s="140"/>
      <c r="M283" s="634"/>
      <c r="N283" s="629"/>
      <c r="O283" s="630"/>
      <c r="P283" s="156"/>
      <c r="Q283" s="633"/>
      <c r="R283" s="162"/>
      <c r="S283" s="598"/>
      <c r="T283" s="154"/>
      <c r="U283" s="140"/>
      <c r="V283" s="136"/>
      <c r="W283" s="137"/>
    </row>
    <row r="284" spans="2:23">
      <c r="B284" s="135"/>
      <c r="C284" s="328"/>
      <c r="D284" s="326"/>
      <c r="E284" s="328"/>
      <c r="F284" s="127"/>
      <c r="G284" s="127"/>
      <c r="H284" s="128"/>
      <c r="I284" s="129"/>
      <c r="J284" s="628"/>
      <c r="K284" s="139"/>
      <c r="L284" s="140"/>
      <c r="M284" s="634"/>
      <c r="N284" s="629"/>
      <c r="O284" s="630"/>
      <c r="P284" s="651"/>
      <c r="Q284" s="633"/>
      <c r="R284" s="162"/>
      <c r="S284" s="608"/>
      <c r="T284" s="154"/>
      <c r="U284" s="155"/>
      <c r="V284" s="136"/>
      <c r="W284" s="137"/>
    </row>
    <row r="285" spans="2:23" ht="13.8" thickBot="1">
      <c r="B285" s="135"/>
      <c r="C285" s="328"/>
      <c r="D285" s="326"/>
      <c r="E285" s="328"/>
      <c r="F285" s="127"/>
      <c r="G285" s="127"/>
      <c r="H285" s="128"/>
      <c r="I285" s="157" t="s">
        <v>4865</v>
      </c>
      <c r="J285" s="635"/>
      <c r="K285" s="355"/>
      <c r="L285" s="357"/>
      <c r="M285" s="359"/>
      <c r="N285" s="641"/>
      <c r="O285" s="642"/>
      <c r="P285" s="652"/>
      <c r="Q285" s="638"/>
      <c r="R285" s="377"/>
      <c r="S285" s="609"/>
      <c r="T285" s="378"/>
      <c r="U285" s="375"/>
      <c r="V285" s="163"/>
      <c r="W285" s="137"/>
    </row>
    <row r="286" spans="2:23" ht="13.8" thickBot="1">
      <c r="B286" s="150"/>
      <c r="C286" s="331"/>
      <c r="D286" s="330"/>
      <c r="E286" s="329"/>
      <c r="F286" s="117"/>
      <c r="G286" s="118"/>
      <c r="H286" s="119"/>
      <c r="I286" s="120"/>
      <c r="J286" s="618"/>
      <c r="K286" s="142"/>
      <c r="L286" s="143"/>
      <c r="M286" s="619"/>
      <c r="N286" s="620"/>
      <c r="O286" s="621"/>
      <c r="P286" s="125"/>
      <c r="Q286" s="622"/>
      <c r="R286" s="160"/>
      <c r="S286" s="596"/>
      <c r="T286" s="151"/>
      <c r="U286" s="607"/>
      <c r="V286" s="158"/>
      <c r="W286" s="159"/>
    </row>
    <row r="287" spans="2:23">
      <c r="B287" s="126"/>
      <c r="C287" s="328"/>
      <c r="D287" s="326"/>
      <c r="E287" s="328"/>
      <c r="F287" s="127"/>
      <c r="G287" s="127"/>
      <c r="H287" s="128"/>
      <c r="I287" s="146"/>
      <c r="J287" s="623"/>
      <c r="K287" s="122"/>
      <c r="L287" s="131"/>
      <c r="M287" s="624"/>
      <c r="N287" s="625"/>
      <c r="O287" s="626"/>
      <c r="P287" s="132"/>
      <c r="Q287" s="627"/>
      <c r="R287" s="161"/>
      <c r="S287" s="597"/>
      <c r="T287" s="152"/>
      <c r="U287" s="131"/>
      <c r="V287" s="133"/>
      <c r="W287" s="134"/>
    </row>
    <row r="288" spans="2:23">
      <c r="B288" s="135"/>
      <c r="C288" s="328"/>
      <c r="D288" s="326"/>
      <c r="E288" s="328"/>
      <c r="F288" s="127"/>
      <c r="G288" s="127"/>
      <c r="H288" s="128"/>
      <c r="I288" s="146"/>
      <c r="J288" s="628"/>
      <c r="K288" s="139"/>
      <c r="L288" s="140"/>
      <c r="M288" s="634"/>
      <c r="N288" s="629"/>
      <c r="O288" s="630"/>
      <c r="P288" s="156"/>
      <c r="Q288" s="633"/>
      <c r="R288" s="162"/>
      <c r="S288" s="598"/>
      <c r="T288" s="154"/>
      <c r="U288" s="140"/>
      <c r="V288" s="136"/>
      <c r="W288" s="137"/>
    </row>
    <row r="289" spans="1:23">
      <c r="B289" s="135"/>
      <c r="C289" s="328"/>
      <c r="D289" s="326"/>
      <c r="E289" s="328"/>
      <c r="F289" s="127"/>
      <c r="G289" s="127"/>
      <c r="H289" s="128"/>
      <c r="I289" s="146"/>
      <c r="J289" s="628"/>
      <c r="K289" s="139"/>
      <c r="L289" s="140"/>
      <c r="M289" s="634"/>
      <c r="N289" s="629"/>
      <c r="O289" s="630"/>
      <c r="P289" s="156"/>
      <c r="Q289" s="633"/>
      <c r="R289" s="162"/>
      <c r="S289" s="598"/>
      <c r="T289" s="154"/>
      <c r="U289" s="140"/>
      <c r="V289" s="136"/>
      <c r="W289" s="137"/>
    </row>
    <row r="290" spans="1:23">
      <c r="B290" s="135"/>
      <c r="C290" s="328"/>
      <c r="D290" s="326"/>
      <c r="E290" s="328"/>
      <c r="F290" s="127"/>
      <c r="G290" s="127"/>
      <c r="H290" s="128"/>
      <c r="I290" s="146"/>
      <c r="J290" s="628"/>
      <c r="K290" s="139"/>
      <c r="L290" s="140"/>
      <c r="M290" s="634"/>
      <c r="N290" s="629"/>
      <c r="O290" s="630"/>
      <c r="P290" s="156"/>
      <c r="Q290" s="633"/>
      <c r="R290" s="162"/>
      <c r="S290" s="598"/>
      <c r="T290" s="154"/>
      <c r="U290" s="140"/>
      <c r="V290" s="136"/>
      <c r="W290" s="137"/>
    </row>
    <row r="291" spans="1:23">
      <c r="B291" s="135"/>
      <c r="C291" s="328"/>
      <c r="D291" s="326"/>
      <c r="E291" s="328"/>
      <c r="F291" s="127"/>
      <c r="G291" s="127"/>
      <c r="H291" s="128"/>
      <c r="I291" s="146"/>
      <c r="J291" s="628"/>
      <c r="K291" s="139"/>
      <c r="L291" s="140"/>
      <c r="M291" s="634"/>
      <c r="N291" s="629"/>
      <c r="O291" s="630"/>
      <c r="P291" s="156"/>
      <c r="Q291" s="633"/>
      <c r="R291" s="162"/>
      <c r="S291" s="598"/>
      <c r="T291" s="154"/>
      <c r="U291" s="140"/>
      <c r="V291" s="136"/>
      <c r="W291" s="137"/>
    </row>
    <row r="292" spans="1:23">
      <c r="B292" s="135"/>
      <c r="C292" s="328"/>
      <c r="D292" s="326"/>
      <c r="E292" s="328"/>
      <c r="F292" s="127"/>
      <c r="G292" s="127"/>
      <c r="H292" s="128"/>
      <c r="I292" s="129"/>
      <c r="J292" s="628"/>
      <c r="K292" s="139"/>
      <c r="L292" s="140"/>
      <c r="M292" s="634"/>
      <c r="N292" s="629"/>
      <c r="O292" s="630"/>
      <c r="P292" s="156"/>
      <c r="Q292" s="633"/>
      <c r="R292" s="162"/>
      <c r="S292" s="598"/>
      <c r="T292" s="154"/>
      <c r="U292" s="140"/>
      <c r="V292" s="136"/>
      <c r="W292" s="137"/>
    </row>
    <row r="293" spans="1:23">
      <c r="B293" s="135"/>
      <c r="C293" s="328"/>
      <c r="D293" s="326"/>
      <c r="E293" s="328"/>
      <c r="F293" s="127"/>
      <c r="G293" s="127"/>
      <c r="H293" s="128"/>
      <c r="I293" s="129"/>
      <c r="J293" s="628"/>
      <c r="K293" s="139"/>
      <c r="L293" s="140"/>
      <c r="M293" s="634"/>
      <c r="N293" s="629"/>
      <c r="O293" s="630"/>
      <c r="P293" s="651"/>
      <c r="Q293" s="633"/>
      <c r="R293" s="162"/>
      <c r="S293" s="608"/>
      <c r="T293" s="154"/>
      <c r="U293" s="155"/>
    </row>
    <row r="294" spans="1:23" ht="13.8" thickBot="1">
      <c r="A294" s="163"/>
      <c r="B294" s="135"/>
      <c r="C294" s="328"/>
      <c r="D294" s="326"/>
      <c r="E294" s="328"/>
      <c r="F294" s="127"/>
      <c r="G294" s="127"/>
      <c r="H294" s="128"/>
      <c r="I294" s="157" t="s">
        <v>4865</v>
      </c>
      <c r="J294" s="635"/>
      <c r="K294" s="355"/>
      <c r="L294" s="357"/>
      <c r="M294" s="359"/>
      <c r="N294" s="641"/>
      <c r="O294" s="642"/>
      <c r="P294" s="652"/>
      <c r="Q294" s="638"/>
      <c r="R294" s="377"/>
      <c r="S294" s="609"/>
      <c r="T294" s="378"/>
      <c r="U294" s="375"/>
    </row>
    <row r="295" spans="1:23">
      <c r="A295" s="163"/>
      <c r="B295" s="135"/>
      <c r="C295" s="328"/>
      <c r="D295" s="326"/>
      <c r="E295" s="328"/>
      <c r="F295" s="127"/>
      <c r="G295" s="127"/>
      <c r="H295" s="128"/>
      <c r="I295" s="167"/>
      <c r="J295" s="137"/>
      <c r="K295" s="168"/>
      <c r="L295" s="168"/>
      <c r="M295" s="137"/>
      <c r="N295" s="168"/>
      <c r="O295" s="168"/>
      <c r="P295" s="137"/>
      <c r="Q295" s="171"/>
      <c r="R295" s="171"/>
      <c r="S295" s="163"/>
      <c r="T295" s="137"/>
    </row>
    <row r="296" spans="1:23">
      <c r="A296" s="163"/>
      <c r="B296" s="135"/>
      <c r="C296" s="328"/>
      <c r="D296" s="326"/>
      <c r="E296" s="328"/>
      <c r="F296" s="127"/>
      <c r="G296" s="127"/>
      <c r="H296" s="128"/>
      <c r="I296" s="167"/>
      <c r="J296" s="137"/>
      <c r="K296" s="168"/>
      <c r="L296" s="168"/>
      <c r="M296" s="137"/>
      <c r="N296" s="168"/>
      <c r="O296" s="168"/>
      <c r="P296" s="169"/>
      <c r="Q296" s="168"/>
      <c r="R296" s="170"/>
      <c r="S296" s="171"/>
      <c r="T296" s="171"/>
    </row>
    <row r="297" spans="1:23">
      <c r="A297" s="163"/>
      <c r="B297" s="135"/>
      <c r="C297" s="328"/>
      <c r="D297" s="326"/>
      <c r="E297" s="328"/>
      <c r="F297" s="127"/>
      <c r="G297" s="127"/>
      <c r="H297" s="128"/>
      <c r="I297" s="167"/>
      <c r="J297" s="137"/>
      <c r="K297" s="168"/>
      <c r="L297" s="168"/>
      <c r="M297" s="137"/>
      <c r="N297" s="168"/>
      <c r="O297" s="168"/>
      <c r="P297" s="169"/>
      <c r="Q297" s="168"/>
      <c r="R297" s="170"/>
      <c r="S297" s="137"/>
      <c r="T297" s="137"/>
    </row>
    <row r="298" spans="1:23">
      <c r="A298" s="163"/>
      <c r="B298" s="135"/>
      <c r="C298" s="328"/>
      <c r="D298" s="326"/>
      <c r="E298" s="328"/>
      <c r="F298" s="127"/>
      <c r="G298" s="127"/>
      <c r="H298" s="128"/>
      <c r="I298" s="167"/>
      <c r="J298" s="137"/>
      <c r="K298" s="168"/>
      <c r="L298" s="168"/>
      <c r="M298" s="137"/>
      <c r="N298" s="168"/>
      <c r="O298" s="168"/>
      <c r="P298" s="169"/>
      <c r="Q298" s="168"/>
      <c r="R298" s="170"/>
      <c r="S298" s="137"/>
      <c r="T298" s="137"/>
    </row>
    <row r="299" spans="1:23" ht="13.8" thickBot="1">
      <c r="A299" s="163"/>
      <c r="B299" s="135"/>
      <c r="C299" s="328"/>
      <c r="D299" s="326"/>
      <c r="E299" s="328"/>
      <c r="F299" s="127"/>
      <c r="G299" s="127"/>
      <c r="H299" s="128"/>
      <c r="I299" s="167"/>
      <c r="J299" s="137"/>
      <c r="K299" s="168"/>
      <c r="L299" s="168"/>
      <c r="M299" s="137"/>
      <c r="N299" s="168"/>
      <c r="O299" s="168"/>
      <c r="P299" s="169"/>
      <c r="Q299" s="168"/>
      <c r="R299" s="170"/>
      <c r="S299" s="137"/>
      <c r="T299" s="137"/>
    </row>
    <row r="300" spans="1:23" ht="14.4" thickBot="1">
      <c r="B300" s="1730" t="s">
        <v>5976</v>
      </c>
      <c r="C300" s="1731"/>
      <c r="D300" s="1731"/>
      <c r="E300" s="1731"/>
      <c r="F300" s="1732"/>
      <c r="G300" s="127"/>
      <c r="H300" s="128"/>
      <c r="I300" s="167"/>
      <c r="J300" s="137"/>
      <c r="K300" s="168"/>
      <c r="L300" s="168"/>
      <c r="M300" s="137"/>
      <c r="N300" s="168"/>
      <c r="O300" s="168"/>
      <c r="P300" s="169"/>
      <c r="Q300" s="168"/>
      <c r="R300" s="170"/>
      <c r="S300" s="137"/>
      <c r="T300" s="137"/>
    </row>
    <row r="301" spans="1:23">
      <c r="A301" s="163"/>
      <c r="B301" s="135"/>
      <c r="C301" s="328"/>
      <c r="D301" s="326"/>
      <c r="E301" s="328"/>
      <c r="F301" s="127"/>
      <c r="G301" s="127"/>
      <c r="H301" s="128"/>
      <c r="I301" s="167"/>
      <c r="J301" s="137"/>
      <c r="K301" s="168"/>
      <c r="L301" s="168"/>
      <c r="M301" s="137"/>
      <c r="N301" s="168"/>
      <c r="O301" s="168"/>
      <c r="P301" s="169"/>
      <c r="Q301" s="168"/>
      <c r="R301" s="170"/>
      <c r="S301" s="137"/>
      <c r="T301" s="137"/>
    </row>
    <row r="302" spans="1:23" ht="13.8" thickBot="1">
      <c r="A302" s="163"/>
      <c r="B302" s="135"/>
      <c r="C302" s="328"/>
      <c r="D302" s="326"/>
      <c r="E302" s="328"/>
      <c r="F302" s="127"/>
      <c r="G302" s="127"/>
      <c r="H302" s="128"/>
      <c r="I302" s="167"/>
      <c r="J302" s="137"/>
      <c r="K302" s="168"/>
      <c r="L302" s="168"/>
      <c r="M302" s="137"/>
      <c r="N302" s="168"/>
      <c r="O302" s="168"/>
      <c r="P302" s="169"/>
      <c r="Q302" s="168"/>
      <c r="R302" s="170"/>
      <c r="S302" s="137"/>
      <c r="T302" s="137"/>
    </row>
    <row r="303" spans="1:23" ht="13.8" thickBot="1">
      <c r="A303" s="112">
        <v>6</v>
      </c>
      <c r="B303" s="847" t="s">
        <v>654</v>
      </c>
      <c r="C303" s="845" t="s">
        <v>4875</v>
      </c>
      <c r="D303" s="846">
        <v>27529053</v>
      </c>
      <c r="E303" s="845" t="s">
        <v>3424</v>
      </c>
      <c r="F303" s="848">
        <v>490000</v>
      </c>
      <c r="G303" s="848">
        <v>592900</v>
      </c>
      <c r="H303" s="849">
        <v>45715</v>
      </c>
      <c r="I303" s="860"/>
      <c r="J303" s="861"/>
      <c r="K303" s="862"/>
      <c r="L303" s="863"/>
      <c r="M303" s="864">
        <v>45001</v>
      </c>
      <c r="N303" s="862">
        <v>24000</v>
      </c>
      <c r="O303" s="863">
        <v>29040</v>
      </c>
      <c r="P303" s="864">
        <v>45293</v>
      </c>
      <c r="Q303" s="862">
        <v>30000</v>
      </c>
      <c r="R303" s="865">
        <v>33600</v>
      </c>
      <c r="S303" s="866">
        <v>45699</v>
      </c>
      <c r="T303" s="867">
        <v>30000</v>
      </c>
      <c r="U303" s="868">
        <v>33600</v>
      </c>
      <c r="V303" s="869">
        <f>SUM(F303-N311-Q311-T311)</f>
        <v>142000</v>
      </c>
      <c r="W303" s="870">
        <f>SUM(G303-O311-R311-U311)</f>
        <v>193420</v>
      </c>
    </row>
    <row r="304" spans="1:23">
      <c r="B304" s="916"/>
      <c r="C304" s="917"/>
      <c r="D304" s="918"/>
      <c r="E304" s="917"/>
      <c r="F304" s="919"/>
      <c r="G304" s="919"/>
      <c r="H304" s="920"/>
      <c r="I304" s="871"/>
      <c r="J304" s="872"/>
      <c r="K304" s="873"/>
      <c r="L304" s="874"/>
      <c r="M304" s="875">
        <v>45100</v>
      </c>
      <c r="N304" s="873">
        <v>12000</v>
      </c>
      <c r="O304" s="874">
        <v>14520</v>
      </c>
      <c r="P304" s="875">
        <v>45341</v>
      </c>
      <c r="Q304" s="873">
        <v>30000</v>
      </c>
      <c r="R304" s="874">
        <v>33600</v>
      </c>
      <c r="S304" s="876"/>
      <c r="T304" s="877"/>
      <c r="U304" s="878"/>
      <c r="V304" s="879"/>
      <c r="W304" s="880"/>
    </row>
    <row r="305" spans="1:24">
      <c r="B305" s="916"/>
      <c r="C305" s="917"/>
      <c r="D305" s="918"/>
      <c r="E305" s="917"/>
      <c r="F305" s="919"/>
      <c r="G305" s="919"/>
      <c r="H305" s="920"/>
      <c r="I305" s="871"/>
      <c r="J305" s="881"/>
      <c r="K305" s="882"/>
      <c r="L305" s="883"/>
      <c r="M305" s="884">
        <v>45131</v>
      </c>
      <c r="N305" s="882">
        <v>18000</v>
      </c>
      <c r="O305" s="883">
        <v>21780</v>
      </c>
      <c r="P305" s="884">
        <v>45415</v>
      </c>
      <c r="Q305" s="882">
        <v>30000</v>
      </c>
      <c r="R305" s="883">
        <v>33600</v>
      </c>
      <c r="S305" s="885"/>
      <c r="T305" s="886"/>
      <c r="U305" s="887"/>
      <c r="V305" s="888"/>
      <c r="W305" s="889"/>
    </row>
    <row r="306" spans="1:24">
      <c r="B306" s="916"/>
      <c r="C306" s="917"/>
      <c r="D306" s="918"/>
      <c r="E306" s="917"/>
      <c r="F306" s="919"/>
      <c r="G306" s="919"/>
      <c r="H306" s="920"/>
      <c r="I306" s="871"/>
      <c r="J306" s="890"/>
      <c r="K306" s="891"/>
      <c r="L306" s="892"/>
      <c r="M306" s="884">
        <v>45176</v>
      </c>
      <c r="N306" s="882">
        <v>24000</v>
      </c>
      <c r="O306" s="883">
        <v>29040</v>
      </c>
      <c r="P306" s="884">
        <v>45455</v>
      </c>
      <c r="Q306" s="882">
        <v>30000</v>
      </c>
      <c r="R306" s="883">
        <v>33600</v>
      </c>
      <c r="S306" s="885"/>
      <c r="T306" s="886"/>
      <c r="U306" s="887"/>
      <c r="V306" s="888"/>
      <c r="W306" s="889"/>
    </row>
    <row r="307" spans="1:24">
      <c r="B307" s="916"/>
      <c r="C307" s="917"/>
      <c r="D307" s="918"/>
      <c r="E307" s="917"/>
      <c r="F307" s="919"/>
      <c r="G307" s="919"/>
      <c r="H307" s="920"/>
      <c r="I307" s="871"/>
      <c r="J307" s="890"/>
      <c r="K307" s="893"/>
      <c r="L307" s="894"/>
      <c r="M307" s="884">
        <v>45238</v>
      </c>
      <c r="N307" s="882">
        <v>1560</v>
      </c>
      <c r="O307" s="883">
        <v>1887.6</v>
      </c>
      <c r="P307" s="884">
        <v>45506</v>
      </c>
      <c r="Q307" s="882">
        <v>30000</v>
      </c>
      <c r="R307" s="883">
        <v>33600</v>
      </c>
      <c r="S307" s="885"/>
      <c r="T307" s="886"/>
      <c r="U307" s="887"/>
      <c r="V307" s="888"/>
      <c r="W307" s="889"/>
    </row>
    <row r="308" spans="1:24">
      <c r="B308" s="916"/>
      <c r="C308" s="917"/>
      <c r="D308" s="918"/>
      <c r="E308" s="917"/>
      <c r="F308" s="919"/>
      <c r="G308" s="919"/>
      <c r="H308" s="920"/>
      <c r="I308" s="871"/>
      <c r="J308" s="890"/>
      <c r="K308" s="893"/>
      <c r="L308" s="894"/>
      <c r="M308" s="884">
        <v>45250</v>
      </c>
      <c r="N308" s="882">
        <v>28440</v>
      </c>
      <c r="O308" s="883">
        <v>34412.400000000001</v>
      </c>
      <c r="P308" s="884">
        <v>45554</v>
      </c>
      <c r="Q308" s="882">
        <v>30000</v>
      </c>
      <c r="R308" s="883">
        <v>33600</v>
      </c>
      <c r="S308" s="895"/>
      <c r="T308" s="886"/>
      <c r="U308" s="887"/>
      <c r="V308" s="888"/>
      <c r="W308" s="889"/>
    </row>
    <row r="309" spans="1:24">
      <c r="B309" s="916"/>
      <c r="C309" s="917"/>
      <c r="D309" s="918"/>
      <c r="E309" s="917"/>
      <c r="F309" s="919"/>
      <c r="G309" s="919"/>
      <c r="H309" s="920"/>
      <c r="I309" s="896"/>
      <c r="J309" s="890"/>
      <c r="K309" s="893"/>
      <c r="L309" s="894"/>
      <c r="M309" s="884"/>
      <c r="N309" s="882"/>
      <c r="O309" s="883"/>
      <c r="P309" s="884">
        <v>45625</v>
      </c>
      <c r="Q309" s="882">
        <v>30000</v>
      </c>
      <c r="R309" s="883">
        <v>33600</v>
      </c>
      <c r="S309" s="897"/>
      <c r="T309" s="886"/>
      <c r="U309" s="887"/>
      <c r="V309" s="888"/>
      <c r="W309" s="889"/>
    </row>
    <row r="310" spans="1:24">
      <c r="B310" s="916"/>
      <c r="C310" s="917"/>
      <c r="D310" s="918"/>
      <c r="E310" s="917"/>
      <c r="F310" s="919"/>
      <c r="G310" s="919"/>
      <c r="H310" s="920"/>
      <c r="I310" s="896"/>
      <c r="J310" s="890"/>
      <c r="K310" s="891"/>
      <c r="L310" s="892"/>
      <c r="M310" s="898"/>
      <c r="N310" s="899"/>
      <c r="O310" s="900"/>
      <c r="P310" s="898"/>
      <c r="Q310" s="882"/>
      <c r="R310" s="883"/>
      <c r="S310" s="897"/>
      <c r="T310" s="886"/>
      <c r="U310" s="887"/>
      <c r="V310" s="888"/>
      <c r="W310" s="889"/>
    </row>
    <row r="311" spans="1:24" ht="13.8" thickBot="1">
      <c r="B311" s="916"/>
      <c r="C311" s="917"/>
      <c r="D311" s="918"/>
      <c r="E311" s="917"/>
      <c r="F311" s="919"/>
      <c r="G311" s="919"/>
      <c r="H311" s="920"/>
      <c r="I311" s="901" t="s">
        <v>4865</v>
      </c>
      <c r="J311" s="902"/>
      <c r="K311" s="903"/>
      <c r="L311" s="904"/>
      <c r="M311" s="905"/>
      <c r="N311" s="906">
        <f>SUM(N303:N310)</f>
        <v>108000</v>
      </c>
      <c r="O311" s="907">
        <f>SUM(O303:O310)</f>
        <v>130680</v>
      </c>
      <c r="P311" s="905"/>
      <c r="Q311" s="906">
        <f>SUM(Q303:Q310)</f>
        <v>210000</v>
      </c>
      <c r="R311" s="907">
        <f>SUM(R303:R310)</f>
        <v>235200</v>
      </c>
      <c r="S311" s="905"/>
      <c r="T311" s="908">
        <v>30000</v>
      </c>
      <c r="U311" s="909">
        <v>33600</v>
      </c>
      <c r="V311" s="889"/>
      <c r="W311" s="889"/>
    </row>
    <row r="312" spans="1:24" ht="13.8" thickBot="1">
      <c r="A312" s="112">
        <v>7</v>
      </c>
      <c r="B312" s="844" t="s">
        <v>657</v>
      </c>
      <c r="C312" s="845" t="s">
        <v>4869</v>
      </c>
      <c r="D312" s="846">
        <v>28849809</v>
      </c>
      <c r="E312" s="847" t="s">
        <v>3381</v>
      </c>
      <c r="F312" s="848">
        <v>1990000</v>
      </c>
      <c r="G312" s="848">
        <v>2407900</v>
      </c>
      <c r="H312" s="849">
        <v>45725</v>
      </c>
      <c r="I312" s="860"/>
      <c r="J312" s="910"/>
      <c r="K312" s="862"/>
      <c r="L312" s="863"/>
      <c r="M312" s="864">
        <v>45051</v>
      </c>
      <c r="N312" s="862">
        <v>464859.5</v>
      </c>
      <c r="O312" s="863">
        <v>562480</v>
      </c>
      <c r="P312" s="864">
        <v>45379</v>
      </c>
      <c r="Q312" s="862">
        <v>304422.09999999998</v>
      </c>
      <c r="R312" s="865">
        <v>340952.75</v>
      </c>
      <c r="S312" s="864"/>
      <c r="T312" s="867"/>
      <c r="U312" s="868"/>
      <c r="V312" s="869">
        <f>SUM(F312-N320-Q320)</f>
        <v>4421.6900000000605</v>
      </c>
      <c r="W312" s="870">
        <f>SUM(G312-O320-R320)</f>
        <v>76160.70999999973</v>
      </c>
      <c r="X312" s="112" t="s">
        <v>4984</v>
      </c>
    </row>
    <row r="313" spans="1:24">
      <c r="B313" s="916"/>
      <c r="C313" s="917"/>
      <c r="D313" s="918"/>
      <c r="E313" s="917"/>
      <c r="F313" s="919"/>
      <c r="G313" s="919"/>
      <c r="H313" s="920"/>
      <c r="I313" s="871"/>
      <c r="J313" s="911"/>
      <c r="K313" s="873"/>
      <c r="L313" s="874"/>
      <c r="M313" s="875">
        <v>45183</v>
      </c>
      <c r="N313" s="873">
        <v>259619.7</v>
      </c>
      <c r="O313" s="874">
        <v>314139.84000000003</v>
      </c>
      <c r="P313" s="875">
        <v>45419</v>
      </c>
      <c r="Q313" s="873">
        <v>23388.9</v>
      </c>
      <c r="R313" s="874">
        <v>28300.57</v>
      </c>
      <c r="S313" s="875"/>
      <c r="T313" s="877"/>
      <c r="U313" s="878"/>
      <c r="V313" s="879"/>
      <c r="W313" s="880"/>
    </row>
    <row r="314" spans="1:24">
      <c r="B314" s="916"/>
      <c r="C314" s="917"/>
      <c r="D314" s="918"/>
      <c r="E314" s="917"/>
      <c r="F314" s="919"/>
      <c r="G314" s="919"/>
      <c r="H314" s="920"/>
      <c r="I314" s="871"/>
      <c r="J314" s="890"/>
      <c r="K314" s="882"/>
      <c r="L314" s="883"/>
      <c r="M314" s="884">
        <v>45287</v>
      </c>
      <c r="N314" s="882">
        <v>443130.91</v>
      </c>
      <c r="O314" s="883">
        <v>536188.4</v>
      </c>
      <c r="P314" s="884">
        <v>45464</v>
      </c>
      <c r="Q314" s="882">
        <v>150255</v>
      </c>
      <c r="R314" s="883">
        <v>168285.6</v>
      </c>
      <c r="S314" s="884"/>
      <c r="T314" s="886"/>
      <c r="U314" s="887"/>
      <c r="V314" s="888"/>
      <c r="W314" s="889"/>
    </row>
    <row r="315" spans="1:24">
      <c r="B315" s="916"/>
      <c r="C315" s="917"/>
      <c r="D315" s="918"/>
      <c r="E315" s="917"/>
      <c r="F315" s="919"/>
      <c r="G315" s="919"/>
      <c r="H315" s="920"/>
      <c r="I315" s="871"/>
      <c r="J315" s="890"/>
      <c r="K315" s="882"/>
      <c r="L315" s="883"/>
      <c r="M315" s="898"/>
      <c r="N315" s="882"/>
      <c r="O315" s="883"/>
      <c r="P315" s="884">
        <v>45538</v>
      </c>
      <c r="Q315" s="882">
        <v>307063.40000000002</v>
      </c>
      <c r="R315" s="883">
        <v>343911.01</v>
      </c>
      <c r="S315" s="884"/>
      <c r="T315" s="886"/>
      <c r="U315" s="887"/>
      <c r="V315" s="888"/>
      <c r="W315" s="889"/>
    </row>
    <row r="316" spans="1:24">
      <c r="B316" s="916"/>
      <c r="C316" s="917"/>
      <c r="D316" s="918"/>
      <c r="E316" s="917"/>
      <c r="F316" s="919"/>
      <c r="G316" s="919"/>
      <c r="H316" s="920"/>
      <c r="I316" s="871"/>
      <c r="J316" s="890"/>
      <c r="K316" s="882"/>
      <c r="L316" s="883"/>
      <c r="M316" s="898"/>
      <c r="N316" s="882"/>
      <c r="O316" s="883"/>
      <c r="P316" s="884">
        <v>45643</v>
      </c>
      <c r="Q316" s="882">
        <v>32838.800000000003</v>
      </c>
      <c r="R316" s="883">
        <v>37481.120000000003</v>
      </c>
      <c r="S316" s="897"/>
      <c r="T316" s="912"/>
      <c r="U316" s="913"/>
      <c r="V316" s="888"/>
      <c r="W316" s="889"/>
    </row>
    <row r="317" spans="1:24">
      <c r="B317" s="916"/>
      <c r="C317" s="917"/>
      <c r="D317" s="918"/>
      <c r="E317" s="917"/>
      <c r="F317" s="919"/>
      <c r="G317" s="919"/>
      <c r="H317" s="920"/>
      <c r="I317" s="871"/>
      <c r="J317" s="890"/>
      <c r="K317" s="882"/>
      <c r="L317" s="883"/>
      <c r="M317" s="898"/>
      <c r="N317" s="882"/>
      <c r="O317" s="883"/>
      <c r="P317" s="884"/>
      <c r="Q317" s="882"/>
      <c r="R317" s="883"/>
      <c r="S317" s="884"/>
      <c r="T317" s="886"/>
      <c r="U317" s="883"/>
      <c r="V317" s="888"/>
      <c r="W317" s="889"/>
    </row>
    <row r="318" spans="1:24">
      <c r="B318" s="916"/>
      <c r="C318" s="917"/>
      <c r="D318" s="918"/>
      <c r="E318" s="917"/>
      <c r="F318" s="919"/>
      <c r="G318" s="919"/>
      <c r="H318" s="920"/>
      <c r="I318" s="896"/>
      <c r="J318" s="890"/>
      <c r="K318" s="882"/>
      <c r="L318" s="883"/>
      <c r="M318" s="898"/>
      <c r="N318" s="882"/>
      <c r="O318" s="883"/>
      <c r="P318" s="884"/>
      <c r="Q318" s="882"/>
      <c r="R318" s="883"/>
      <c r="S318" s="884"/>
      <c r="T318" s="886"/>
      <c r="U318" s="883"/>
      <c r="V318" s="888"/>
      <c r="W318" s="889"/>
    </row>
    <row r="319" spans="1:24">
      <c r="B319" s="916"/>
      <c r="C319" s="917"/>
      <c r="D319" s="918"/>
      <c r="E319" s="917"/>
      <c r="F319" s="919"/>
      <c r="G319" s="919"/>
      <c r="H319" s="920"/>
      <c r="I319" s="896"/>
      <c r="J319" s="890"/>
      <c r="K319" s="882"/>
      <c r="L319" s="883"/>
      <c r="M319" s="898"/>
      <c r="N319" s="882"/>
      <c r="O319" s="883"/>
      <c r="P319" s="884"/>
      <c r="Q319" s="882"/>
      <c r="R319" s="883"/>
      <c r="S319" s="884"/>
      <c r="T319" s="886"/>
      <c r="U319" s="883"/>
      <c r="V319" s="888"/>
      <c r="W319" s="889"/>
    </row>
    <row r="320" spans="1:24" ht="13.8" thickBot="1">
      <c r="B320" s="916"/>
      <c r="C320" s="917"/>
      <c r="D320" s="918"/>
      <c r="E320" s="917"/>
      <c r="F320" s="919"/>
      <c r="G320" s="919"/>
      <c r="H320" s="920"/>
      <c r="I320" s="901" t="s">
        <v>4865</v>
      </c>
      <c r="J320" s="902"/>
      <c r="K320" s="903"/>
      <c r="L320" s="904"/>
      <c r="M320" s="914"/>
      <c r="N320" s="906">
        <f>SUM(N312:N319)</f>
        <v>1167610.1099999999</v>
      </c>
      <c r="O320" s="907">
        <f>SUM(O312:O319)</f>
        <v>1412808.2400000002</v>
      </c>
      <c r="P320" s="905"/>
      <c r="Q320" s="906">
        <f>SUM(Q312:Q319)</f>
        <v>817968.20000000007</v>
      </c>
      <c r="R320" s="907">
        <f>SUM(R312:R319)</f>
        <v>918931.05</v>
      </c>
      <c r="S320" s="905"/>
      <c r="T320" s="908"/>
      <c r="U320" s="907"/>
      <c r="V320" s="889"/>
      <c r="W320" s="889"/>
    </row>
    <row r="321" spans="1:23" ht="13.8" thickBot="1">
      <c r="A321" s="112">
        <v>8</v>
      </c>
      <c r="B321" s="1036" t="s">
        <v>824</v>
      </c>
      <c r="C321" s="1037" t="s">
        <v>4886</v>
      </c>
      <c r="D321" s="1038">
        <v>25099019</v>
      </c>
      <c r="E321" s="1039" t="s">
        <v>3588</v>
      </c>
      <c r="F321" s="1040">
        <v>1839540</v>
      </c>
      <c r="G321" s="1041">
        <v>2225843.4</v>
      </c>
      <c r="H321" s="1042">
        <v>45969</v>
      </c>
      <c r="I321" s="1043"/>
      <c r="J321" s="1044"/>
      <c r="K321" s="1045"/>
      <c r="L321" s="1046"/>
      <c r="M321" s="1047">
        <v>45268</v>
      </c>
      <c r="N321" s="1045">
        <v>154700</v>
      </c>
      <c r="O321" s="1046">
        <v>187187</v>
      </c>
      <c r="P321" s="1047">
        <v>45327</v>
      </c>
      <c r="Q321" s="1045">
        <v>165750</v>
      </c>
      <c r="R321" s="1048">
        <v>200557.5</v>
      </c>
      <c r="S321" s="1047">
        <v>45698</v>
      </c>
      <c r="T321" s="1049">
        <f>136164/112*100</f>
        <v>121575</v>
      </c>
      <c r="U321" s="1048">
        <v>136164</v>
      </c>
      <c r="V321" s="1050">
        <f>SUM(F321-N329-Q329-T329)</f>
        <v>3340</v>
      </c>
      <c r="W321" s="1051">
        <f>SUM(G321-O329-R329-U329)</f>
        <v>140458.89999999991</v>
      </c>
    </row>
    <row r="322" spans="1:23">
      <c r="B322" s="1087" t="s">
        <v>5907</v>
      </c>
      <c r="C322" s="1052"/>
      <c r="D322" s="1053"/>
      <c r="E322" s="1052"/>
      <c r="F322" s="1054"/>
      <c r="G322" s="1054"/>
      <c r="H322" s="1055"/>
      <c r="I322" s="1056"/>
      <c r="J322" s="1057"/>
      <c r="K322" s="1058"/>
      <c r="L322" s="1059"/>
      <c r="M322" s="1060"/>
      <c r="N322" s="1058"/>
      <c r="O322" s="1059"/>
      <c r="P322" s="1061">
        <v>45408</v>
      </c>
      <c r="Q322" s="1062">
        <v>267795</v>
      </c>
      <c r="R322" s="1063">
        <v>299930.40000000002</v>
      </c>
      <c r="S322" s="1061">
        <v>45771</v>
      </c>
      <c r="T322" s="1064">
        <f>272272/112*100</f>
        <v>243100</v>
      </c>
      <c r="U322" s="1065">
        <v>272272</v>
      </c>
      <c r="V322" s="1066" t="s">
        <v>5822</v>
      </c>
      <c r="W322" s="1067"/>
    </row>
    <row r="323" spans="1:23">
      <c r="B323" s="1068"/>
      <c r="C323" s="1052"/>
      <c r="D323" s="1053"/>
      <c r="E323" s="1052"/>
      <c r="F323" s="1054"/>
      <c r="G323" s="1054"/>
      <c r="H323" s="1055"/>
      <c r="I323" s="1056"/>
      <c r="J323" s="1069"/>
      <c r="K323" s="1062"/>
      <c r="L323" s="1063"/>
      <c r="M323" s="1070"/>
      <c r="N323" s="1062"/>
      <c r="O323" s="1063"/>
      <c r="P323" s="1061">
        <v>45464</v>
      </c>
      <c r="Q323" s="1062">
        <v>1105</v>
      </c>
      <c r="R323" s="1063">
        <v>1237.5999999999999</v>
      </c>
      <c r="S323" s="1061">
        <v>45833</v>
      </c>
      <c r="T323" s="1064">
        <f>346528/112*100</f>
        <v>309400</v>
      </c>
      <c r="U323" s="1065">
        <v>346528</v>
      </c>
      <c r="V323" s="1071"/>
      <c r="W323" s="1072"/>
    </row>
    <row r="324" spans="1:23">
      <c r="B324" s="1068"/>
      <c r="C324" s="1052"/>
      <c r="D324" s="1053"/>
      <c r="E324" s="1052"/>
      <c r="F324" s="1054"/>
      <c r="G324" s="1073"/>
      <c r="H324" s="1055"/>
      <c r="I324" s="1056"/>
      <c r="J324" s="1069"/>
      <c r="K324" s="1062"/>
      <c r="L324" s="1063"/>
      <c r="M324" s="1070"/>
      <c r="N324" s="1062"/>
      <c r="O324" s="1063"/>
      <c r="P324" s="1074">
        <v>45477</v>
      </c>
      <c r="Q324" s="1058">
        <v>143650</v>
      </c>
      <c r="R324" s="1059">
        <v>160888</v>
      </c>
      <c r="S324" s="1074"/>
      <c r="T324" s="1075"/>
      <c r="U324" s="1059"/>
      <c r="V324" s="1076"/>
      <c r="W324" s="1073"/>
    </row>
    <row r="325" spans="1:23">
      <c r="B325" s="1068"/>
      <c r="C325" s="1052"/>
      <c r="D325" s="1053"/>
      <c r="E325" s="1052"/>
      <c r="F325" s="1054"/>
      <c r="G325" s="1054"/>
      <c r="H325" s="1055"/>
      <c r="I325" s="1056"/>
      <c r="J325" s="1069"/>
      <c r="K325" s="1062"/>
      <c r="L325" s="1063"/>
      <c r="M325" s="1070"/>
      <c r="N325" s="1062"/>
      <c r="O325" s="1063"/>
      <c r="P325" s="1061">
        <v>45560</v>
      </c>
      <c r="Q325" s="1062">
        <v>265200</v>
      </c>
      <c r="R325" s="1063">
        <v>297024</v>
      </c>
      <c r="S325" s="1061"/>
      <c r="T325" s="1064"/>
      <c r="U325" s="1063"/>
      <c r="V325" s="1071"/>
      <c r="W325" s="1072"/>
    </row>
    <row r="326" spans="1:23">
      <c r="B326" s="1068"/>
      <c r="C326" s="1052"/>
      <c r="D326" s="1053"/>
      <c r="E326" s="1052"/>
      <c r="F326" s="1054"/>
      <c r="G326" s="1054"/>
      <c r="H326" s="1055"/>
      <c r="I326" s="1056"/>
      <c r="J326" s="1069"/>
      <c r="K326" s="1062"/>
      <c r="L326" s="1063"/>
      <c r="M326" s="1070"/>
      <c r="N326" s="1062"/>
      <c r="O326" s="1063"/>
      <c r="P326" s="1061">
        <v>45631</v>
      </c>
      <c r="Q326" s="1062">
        <v>163925</v>
      </c>
      <c r="R326" s="1063">
        <v>183596</v>
      </c>
      <c r="S326" s="1061"/>
      <c r="T326" s="1064"/>
      <c r="U326" s="1063"/>
      <c r="V326" s="1071"/>
      <c r="W326" s="1072"/>
    </row>
    <row r="327" spans="1:23">
      <c r="B327" s="1068"/>
      <c r="C327" s="1052"/>
      <c r="D327" s="1053"/>
      <c r="E327" s="1052"/>
      <c r="F327" s="1054"/>
      <c r="G327" s="1054"/>
      <c r="H327" s="1055"/>
      <c r="I327" s="1077"/>
      <c r="J327" s="1069"/>
      <c r="K327" s="1062"/>
      <c r="L327" s="1063"/>
      <c r="M327" s="1070"/>
      <c r="N327" s="1062"/>
      <c r="O327" s="1063"/>
      <c r="P327" s="1061"/>
      <c r="Q327" s="1062"/>
      <c r="R327" s="1063"/>
      <c r="S327" s="1061"/>
      <c r="T327" s="1064"/>
      <c r="U327" s="1063"/>
      <c r="V327" s="1071"/>
      <c r="W327" s="1072"/>
    </row>
    <row r="328" spans="1:23">
      <c r="B328" s="1068"/>
      <c r="C328" s="1052"/>
      <c r="D328" s="1053"/>
      <c r="E328" s="1052"/>
      <c r="F328" s="1054"/>
      <c r="G328" s="1054"/>
      <c r="H328" s="1055"/>
      <c r="I328" s="1077"/>
      <c r="J328" s="1069"/>
      <c r="K328" s="1062"/>
      <c r="L328" s="1063"/>
      <c r="M328" s="1070"/>
      <c r="N328" s="1062"/>
      <c r="O328" s="1063"/>
      <c r="P328" s="1061"/>
      <c r="Q328" s="1062"/>
      <c r="R328" s="1063"/>
      <c r="S328" s="1061"/>
      <c r="T328" s="1064"/>
      <c r="U328" s="1063"/>
      <c r="V328" s="1071"/>
      <c r="W328" s="1072"/>
    </row>
    <row r="329" spans="1:23" ht="13.8" thickBot="1">
      <c r="B329" s="1068"/>
      <c r="C329" s="1052"/>
      <c r="D329" s="1053"/>
      <c r="E329" s="1052"/>
      <c r="F329" s="1054"/>
      <c r="G329" s="1054"/>
      <c r="H329" s="1055"/>
      <c r="I329" s="1078" t="s">
        <v>4865</v>
      </c>
      <c r="J329" s="1079"/>
      <c r="K329" s="1080"/>
      <c r="L329" s="1081"/>
      <c r="M329" s="1082"/>
      <c r="N329" s="1083">
        <v>154700</v>
      </c>
      <c r="O329" s="1084">
        <v>187187</v>
      </c>
      <c r="P329" s="1085"/>
      <c r="Q329" s="1083">
        <f>SUM(Q321:Q328)</f>
        <v>1007425</v>
      </c>
      <c r="R329" s="1084">
        <f>SUM(R321:R328)</f>
        <v>1143233.5</v>
      </c>
      <c r="S329" s="1085"/>
      <c r="T329" s="1086">
        <f>SUM(T321:T328)</f>
        <v>674075</v>
      </c>
      <c r="U329" s="1084">
        <f>SUM(U321:U328)</f>
        <v>754964</v>
      </c>
      <c r="V329" s="1072"/>
      <c r="W329" s="1072"/>
    </row>
    <row r="330" spans="1:23" ht="13.8" thickBot="1">
      <c r="A330" s="112">
        <v>12</v>
      </c>
      <c r="B330" s="915" t="s">
        <v>709</v>
      </c>
      <c r="C330" s="845" t="s">
        <v>4872</v>
      </c>
      <c r="D330" s="846">
        <v>28467299</v>
      </c>
      <c r="E330" s="845" t="s">
        <v>4871</v>
      </c>
      <c r="F330" s="848">
        <v>490000</v>
      </c>
      <c r="G330" s="848">
        <v>592900</v>
      </c>
      <c r="H330" s="849">
        <v>45792</v>
      </c>
      <c r="I330" s="860"/>
      <c r="J330" s="910"/>
      <c r="K330" s="862"/>
      <c r="L330" s="863"/>
      <c r="M330" s="864">
        <v>45156</v>
      </c>
      <c r="N330" s="862">
        <v>87500</v>
      </c>
      <c r="O330" s="863">
        <v>105875</v>
      </c>
      <c r="P330" s="864">
        <v>45331</v>
      </c>
      <c r="Q330" s="862">
        <v>87500</v>
      </c>
      <c r="R330" s="865">
        <v>105875</v>
      </c>
      <c r="S330" s="864">
        <v>45715</v>
      </c>
      <c r="T330" s="867">
        <f>105875/121*100</f>
        <v>87500</v>
      </c>
      <c r="U330" s="865">
        <v>105875</v>
      </c>
      <c r="V330" s="869">
        <f>SUM(F330-N338-Q338-T338)</f>
        <v>7000</v>
      </c>
      <c r="W330" s="870">
        <f>SUM(G330-O338-R338-U338)</f>
        <v>8470</v>
      </c>
    </row>
    <row r="331" spans="1:23">
      <c r="B331" s="1088" t="s">
        <v>5312</v>
      </c>
      <c r="C331" s="917"/>
      <c r="D331" s="918"/>
      <c r="E331" s="917"/>
      <c r="F331" s="919"/>
      <c r="G331" s="919"/>
      <c r="H331" s="920"/>
      <c r="I331" s="871"/>
      <c r="J331" s="911"/>
      <c r="K331" s="873"/>
      <c r="L331" s="874"/>
      <c r="M331" s="921"/>
      <c r="N331" s="873"/>
      <c r="O331" s="874"/>
      <c r="P331" s="875">
        <v>45492</v>
      </c>
      <c r="Q331" s="873">
        <v>87500</v>
      </c>
      <c r="R331" s="874">
        <v>105875</v>
      </c>
      <c r="S331" s="875">
        <v>45821</v>
      </c>
      <c r="T331" s="877">
        <f>118580/121*100</f>
        <v>98000</v>
      </c>
      <c r="U331" s="874">
        <v>118580</v>
      </c>
      <c r="V331" s="879"/>
      <c r="W331" s="880"/>
    </row>
    <row r="332" spans="1:23">
      <c r="B332" s="916"/>
      <c r="C332" s="917"/>
      <c r="D332" s="918"/>
      <c r="E332" s="917"/>
      <c r="F332" s="919"/>
      <c r="G332" s="919"/>
      <c r="H332" s="920"/>
      <c r="I332" s="871"/>
      <c r="J332" s="890"/>
      <c r="K332" s="882"/>
      <c r="L332" s="883"/>
      <c r="M332" s="898"/>
      <c r="N332" s="882"/>
      <c r="O332" s="883"/>
      <c r="P332" s="884">
        <v>45637</v>
      </c>
      <c r="Q332" s="882">
        <v>35000</v>
      </c>
      <c r="R332" s="883">
        <v>42350</v>
      </c>
      <c r="S332" s="884"/>
      <c r="T332" s="886"/>
      <c r="U332" s="883"/>
      <c r="V332" s="888"/>
      <c r="W332" s="889"/>
    </row>
    <row r="333" spans="1:23">
      <c r="B333" s="916"/>
      <c r="C333" s="917"/>
      <c r="D333" s="918"/>
      <c r="E333" s="917"/>
      <c r="F333" s="919"/>
      <c r="G333" s="919"/>
      <c r="H333" s="920"/>
      <c r="I333" s="871"/>
      <c r="J333" s="890"/>
      <c r="K333" s="882"/>
      <c r="L333" s="883"/>
      <c r="M333" s="898"/>
      <c r="N333" s="882"/>
      <c r="O333" s="883"/>
      <c r="P333" s="884"/>
      <c r="Q333" s="882"/>
      <c r="R333" s="883"/>
      <c r="S333" s="884"/>
      <c r="T333" s="886"/>
      <c r="U333" s="883"/>
      <c r="V333" s="888"/>
      <c r="W333" s="889"/>
    </row>
    <row r="334" spans="1:23">
      <c r="B334" s="916"/>
      <c r="C334" s="917"/>
      <c r="D334" s="918"/>
      <c r="E334" s="917"/>
      <c r="F334" s="919"/>
      <c r="G334" s="919"/>
      <c r="H334" s="920"/>
      <c r="I334" s="871"/>
      <c r="J334" s="890"/>
      <c r="K334" s="882"/>
      <c r="L334" s="883"/>
      <c r="M334" s="898"/>
      <c r="N334" s="882"/>
      <c r="O334" s="883"/>
      <c r="P334" s="884"/>
      <c r="Q334" s="882"/>
      <c r="R334" s="883"/>
      <c r="S334" s="884"/>
      <c r="T334" s="886"/>
      <c r="U334" s="883"/>
      <c r="V334" s="888"/>
      <c r="W334" s="889"/>
    </row>
    <row r="335" spans="1:23">
      <c r="B335" s="916"/>
      <c r="C335" s="917"/>
      <c r="D335" s="918"/>
      <c r="E335" s="917"/>
      <c r="F335" s="919"/>
      <c r="G335" s="919"/>
      <c r="H335" s="920"/>
      <c r="I335" s="871"/>
      <c r="J335" s="890"/>
      <c r="K335" s="882"/>
      <c r="L335" s="883"/>
      <c r="M335" s="898"/>
      <c r="N335" s="882"/>
      <c r="O335" s="883"/>
      <c r="P335" s="884"/>
      <c r="Q335" s="882"/>
      <c r="R335" s="883"/>
      <c r="S335" s="884"/>
      <c r="T335" s="886"/>
      <c r="U335" s="883"/>
      <c r="V335" s="888"/>
      <c r="W335" s="889"/>
    </row>
    <row r="336" spans="1:23">
      <c r="B336" s="916"/>
      <c r="C336" s="917"/>
      <c r="D336" s="918"/>
      <c r="E336" s="917"/>
      <c r="F336" s="919"/>
      <c r="G336" s="919"/>
      <c r="H336" s="920"/>
      <c r="I336" s="896"/>
      <c r="J336" s="890"/>
      <c r="K336" s="882"/>
      <c r="L336" s="883"/>
      <c r="M336" s="898"/>
      <c r="N336" s="882"/>
      <c r="O336" s="883"/>
      <c r="P336" s="898"/>
      <c r="Q336" s="882"/>
      <c r="R336" s="883"/>
      <c r="S336" s="897"/>
      <c r="T336" s="886"/>
      <c r="U336" s="887"/>
      <c r="V336" s="888"/>
      <c r="W336" s="889"/>
    </row>
    <row r="337" spans="1:23">
      <c r="B337" s="916"/>
      <c r="C337" s="917"/>
      <c r="D337" s="918"/>
      <c r="E337" s="917"/>
      <c r="F337" s="919"/>
      <c r="G337" s="919"/>
      <c r="H337" s="920"/>
      <c r="I337" s="896"/>
      <c r="J337" s="890"/>
      <c r="K337" s="882"/>
      <c r="L337" s="883"/>
      <c r="M337" s="898"/>
      <c r="N337" s="882"/>
      <c r="O337" s="883"/>
      <c r="P337" s="898"/>
      <c r="Q337" s="891"/>
      <c r="R337" s="892"/>
      <c r="S337" s="897"/>
      <c r="T337" s="912"/>
      <c r="U337" s="913"/>
      <c r="V337" s="922"/>
      <c r="W337" s="889"/>
    </row>
    <row r="338" spans="1:23" ht="13.8" thickBot="1">
      <c r="B338" s="916"/>
      <c r="C338" s="917"/>
      <c r="D338" s="918"/>
      <c r="E338" s="917"/>
      <c r="F338" s="919"/>
      <c r="G338" s="919"/>
      <c r="H338" s="920"/>
      <c r="I338" s="901" t="s">
        <v>4865</v>
      </c>
      <c r="J338" s="902"/>
      <c r="K338" s="903"/>
      <c r="L338" s="904"/>
      <c r="M338" s="914"/>
      <c r="N338" s="906">
        <v>87500</v>
      </c>
      <c r="O338" s="907">
        <v>105875</v>
      </c>
      <c r="P338" s="905"/>
      <c r="Q338" s="906">
        <f>SUM(Q330:Q337)</f>
        <v>210000</v>
      </c>
      <c r="R338" s="907">
        <f>SUM(R330:R337)</f>
        <v>254100</v>
      </c>
      <c r="S338" s="905"/>
      <c r="T338" s="908">
        <f>SUM(T330:T337)</f>
        <v>185500</v>
      </c>
      <c r="U338" s="907">
        <f>SUM(U330:U337)</f>
        <v>224455</v>
      </c>
      <c r="V338" s="889"/>
      <c r="W338" s="889"/>
    </row>
    <row r="339" spans="1:23" ht="13.8" thickBot="1">
      <c r="A339" s="112" t="s">
        <v>5445</v>
      </c>
      <c r="B339" s="1036" t="s">
        <v>459</v>
      </c>
      <c r="C339" s="1037" t="s">
        <v>458</v>
      </c>
      <c r="D339" s="1109">
        <v>28849809</v>
      </c>
      <c r="E339" s="1036" t="s">
        <v>3381</v>
      </c>
      <c r="F339" s="1041">
        <v>1350000</v>
      </c>
      <c r="G339" s="1041">
        <f>1350000*1.21</f>
        <v>1633500</v>
      </c>
      <c r="H339" s="1042">
        <v>46193</v>
      </c>
      <c r="I339" s="1043"/>
      <c r="J339" s="1110">
        <v>44797</v>
      </c>
      <c r="K339" s="1045">
        <v>124200</v>
      </c>
      <c r="L339" s="1046">
        <v>150282</v>
      </c>
      <c r="M339" s="1047">
        <v>45008</v>
      </c>
      <c r="N339" s="1045">
        <v>124200</v>
      </c>
      <c r="O339" s="1046">
        <v>150282</v>
      </c>
      <c r="P339" s="1047">
        <v>45302</v>
      </c>
      <c r="Q339" s="1045">
        <v>165600</v>
      </c>
      <c r="R339" s="1048">
        <v>200376</v>
      </c>
      <c r="S339" s="1047">
        <v>45840</v>
      </c>
      <c r="T339" s="1049">
        <v>82800</v>
      </c>
      <c r="U339" s="1048">
        <v>92736</v>
      </c>
      <c r="V339" s="1050">
        <f>SUM(F339-K347-N347-Q347-T347)</f>
        <v>4500</v>
      </c>
      <c r="W339" s="1051">
        <f>SUM(G339-L347-O347-R347-U347)</f>
        <v>48294</v>
      </c>
    </row>
    <row r="340" spans="1:23">
      <c r="B340" s="1117" t="s">
        <v>5907</v>
      </c>
      <c r="C340" s="1052"/>
      <c r="D340" s="1053"/>
      <c r="E340" s="1052"/>
      <c r="F340" s="1054"/>
      <c r="G340" s="1054"/>
      <c r="H340" s="1055"/>
      <c r="I340" s="1056"/>
      <c r="J340" s="1111">
        <v>44875</v>
      </c>
      <c r="K340" s="1058">
        <v>82800</v>
      </c>
      <c r="L340" s="1059">
        <v>100188</v>
      </c>
      <c r="M340" s="1074">
        <v>45204</v>
      </c>
      <c r="N340" s="1058">
        <v>248400</v>
      </c>
      <c r="O340" s="1059">
        <v>300564</v>
      </c>
      <c r="P340" s="1074">
        <v>45538</v>
      </c>
      <c r="Q340" s="1058">
        <v>82800</v>
      </c>
      <c r="R340" s="1059">
        <v>92736</v>
      </c>
      <c r="S340" s="1074">
        <v>45889</v>
      </c>
      <c r="T340" s="1075">
        <v>186300</v>
      </c>
      <c r="U340" s="1112">
        <v>208656</v>
      </c>
      <c r="V340" s="1066"/>
      <c r="W340" s="1067"/>
    </row>
    <row r="341" spans="1:23">
      <c r="B341" s="1068"/>
      <c r="C341" s="1052"/>
      <c r="D341" s="1053"/>
      <c r="E341" s="1052"/>
      <c r="F341" s="1054"/>
      <c r="G341" s="1054"/>
      <c r="H341" s="1055"/>
      <c r="I341" s="1056"/>
      <c r="J341" s="1113">
        <v>44916</v>
      </c>
      <c r="K341" s="1062">
        <v>124200</v>
      </c>
      <c r="L341" s="1063">
        <v>150282</v>
      </c>
      <c r="M341" s="1070"/>
      <c r="N341" s="1062"/>
      <c r="O341" s="1063"/>
      <c r="P341" s="1061">
        <v>45637</v>
      </c>
      <c r="Q341" s="1062">
        <v>124200</v>
      </c>
      <c r="R341" s="1063">
        <v>139104</v>
      </c>
      <c r="S341" s="1114"/>
      <c r="T341" s="1115"/>
      <c r="U341" s="1116"/>
      <c r="V341" s="1076"/>
      <c r="W341" s="1072"/>
    </row>
    <row r="342" spans="1:23">
      <c r="B342" s="1068"/>
      <c r="C342" s="1052"/>
      <c r="D342" s="1053"/>
      <c r="E342" s="1052"/>
      <c r="F342" s="1054"/>
      <c r="G342" s="1054"/>
      <c r="H342" s="1055"/>
      <c r="I342" s="1056"/>
      <c r="J342" s="1069"/>
      <c r="K342" s="1062"/>
      <c r="L342" s="1063"/>
      <c r="M342" s="1070"/>
      <c r="N342" s="1062"/>
      <c r="O342" s="1063"/>
      <c r="P342" s="1061"/>
      <c r="Q342" s="1062"/>
      <c r="R342" s="1063"/>
      <c r="S342" s="1061"/>
      <c r="T342" s="1064"/>
      <c r="U342" s="1063"/>
      <c r="V342" s="1071"/>
      <c r="W342" s="1072"/>
    </row>
    <row r="343" spans="1:23">
      <c r="B343" s="1068"/>
      <c r="C343" s="1052"/>
      <c r="D343" s="1053"/>
      <c r="E343" s="1052"/>
      <c r="F343" s="1054"/>
      <c r="G343" s="1054"/>
      <c r="H343" s="1055"/>
      <c r="I343" s="1056"/>
      <c r="J343" s="1069"/>
      <c r="K343" s="1062"/>
      <c r="L343" s="1063"/>
      <c r="M343" s="1070"/>
      <c r="N343" s="1062"/>
      <c r="O343" s="1063"/>
      <c r="P343" s="1061"/>
      <c r="Q343" s="1062"/>
      <c r="R343" s="1063"/>
      <c r="S343" s="1061"/>
      <c r="T343" s="1064"/>
      <c r="U343" s="1063"/>
      <c r="V343" s="1071"/>
      <c r="W343" s="1072"/>
    </row>
    <row r="344" spans="1:23">
      <c r="B344" s="1068"/>
      <c r="C344" s="1052"/>
      <c r="D344" s="1053"/>
      <c r="E344" s="1052"/>
      <c r="F344" s="1054"/>
      <c r="G344" s="1054"/>
      <c r="H344" s="1055"/>
      <c r="I344" s="1056"/>
      <c r="J344" s="1069"/>
      <c r="K344" s="1062"/>
      <c r="L344" s="1063"/>
      <c r="M344" s="1070"/>
      <c r="N344" s="1062"/>
      <c r="O344" s="1063"/>
      <c r="P344" s="1061"/>
      <c r="Q344" s="1062"/>
      <c r="R344" s="1063"/>
      <c r="S344" s="1061"/>
      <c r="T344" s="1064"/>
      <c r="U344" s="1063"/>
      <c r="V344" s="1071"/>
      <c r="W344" s="1072"/>
    </row>
    <row r="345" spans="1:23">
      <c r="B345" s="1068"/>
      <c r="C345" s="1052"/>
      <c r="D345" s="1053"/>
      <c r="E345" s="1052"/>
      <c r="F345" s="1054"/>
      <c r="G345" s="1054"/>
      <c r="H345" s="1055"/>
      <c r="I345" s="1077"/>
      <c r="J345" s="1069"/>
      <c r="K345" s="1062"/>
      <c r="L345" s="1063"/>
      <c r="M345" s="1070"/>
      <c r="N345" s="1062"/>
      <c r="O345" s="1063"/>
      <c r="P345" s="1061"/>
      <c r="Q345" s="1062"/>
      <c r="R345" s="1063"/>
      <c r="S345" s="1061"/>
      <c r="T345" s="1064"/>
      <c r="U345" s="1063"/>
      <c r="V345" s="1071"/>
      <c r="W345" s="1072"/>
    </row>
    <row r="346" spans="1:23">
      <c r="B346" s="1068"/>
      <c r="C346" s="1052"/>
      <c r="D346" s="1053"/>
      <c r="E346" s="1052"/>
      <c r="F346" s="1054"/>
      <c r="G346" s="1054"/>
      <c r="H346" s="1055"/>
      <c r="I346" s="1077"/>
      <c r="J346" s="1069"/>
      <c r="K346" s="1062"/>
      <c r="L346" s="1063"/>
      <c r="M346" s="1070"/>
      <c r="N346" s="1062"/>
      <c r="O346" s="1063"/>
      <c r="P346" s="1061"/>
      <c r="Q346" s="1062"/>
      <c r="R346" s="1063"/>
      <c r="S346" s="1061"/>
      <c r="T346" s="1064"/>
      <c r="U346" s="1063"/>
      <c r="V346" s="1071"/>
      <c r="W346" s="1072"/>
    </row>
    <row r="347" spans="1:23" ht="13.8" thickBot="1">
      <c r="B347" s="1068"/>
      <c r="C347" s="1052"/>
      <c r="D347" s="1053"/>
      <c r="E347" s="1052"/>
      <c r="F347" s="1054"/>
      <c r="G347" s="1054"/>
      <c r="H347" s="1055"/>
      <c r="I347" s="1078" t="s">
        <v>4865</v>
      </c>
      <c r="J347" s="1079"/>
      <c r="K347" s="1083">
        <f>SUM(K339:K346)</f>
        <v>331200</v>
      </c>
      <c r="L347" s="1084">
        <f>SUM(L339:L346)</f>
        <v>400752</v>
      </c>
      <c r="M347" s="1082"/>
      <c r="N347" s="1083">
        <f>SUM(N339:N346)</f>
        <v>372600</v>
      </c>
      <c r="O347" s="1084">
        <f>SUM(O339:O346)</f>
        <v>450846</v>
      </c>
      <c r="P347" s="1085"/>
      <c r="Q347" s="1083">
        <f>SUM(Q339:Q346)</f>
        <v>372600</v>
      </c>
      <c r="R347" s="1084">
        <f>SUM(R339:R346)</f>
        <v>432216</v>
      </c>
      <c r="S347" s="1085"/>
      <c r="T347" s="1086">
        <f>SUM(T339:T346)</f>
        <v>269100</v>
      </c>
      <c r="U347" s="1084">
        <f>SUM(U339:U346)</f>
        <v>301392</v>
      </c>
      <c r="V347" s="1072"/>
      <c r="W347" s="1072"/>
    </row>
    <row r="348" spans="1:23" ht="13.8" thickBot="1">
      <c r="A348" s="112">
        <v>20</v>
      </c>
      <c r="B348" s="847" t="s">
        <v>351</v>
      </c>
      <c r="C348" s="845" t="s">
        <v>352</v>
      </c>
      <c r="D348" s="846">
        <v>26869551</v>
      </c>
      <c r="E348" s="845" t="s">
        <v>4881</v>
      </c>
      <c r="F348" s="848">
        <v>4891779</v>
      </c>
      <c r="G348" s="848">
        <v>5919052.5899999999</v>
      </c>
      <c r="H348" s="849">
        <v>45992</v>
      </c>
      <c r="I348" s="860"/>
      <c r="J348" s="861">
        <v>44697</v>
      </c>
      <c r="K348" s="862">
        <f>843331.28*100/121</f>
        <v>696968</v>
      </c>
      <c r="L348" s="863">
        <v>843331.28</v>
      </c>
      <c r="M348" s="864">
        <v>45280</v>
      </c>
      <c r="N348" s="862">
        <v>68376</v>
      </c>
      <c r="O348" s="863">
        <v>82734.960000000006</v>
      </c>
      <c r="P348" s="864"/>
      <c r="Q348" s="862"/>
      <c r="R348" s="865"/>
      <c r="S348" s="864">
        <v>45726</v>
      </c>
      <c r="T348" s="867">
        <f>127230.29/121*100</f>
        <v>105149</v>
      </c>
      <c r="U348" s="865">
        <v>127230.29</v>
      </c>
      <c r="V348" s="869">
        <f>SUM(F348-K356-N356-Q356-T356)</f>
        <v>121.98347107437439</v>
      </c>
      <c r="W348" s="870">
        <f>SUM(G348-L356-O356-R356-U356)</f>
        <v>147.60000000032596</v>
      </c>
    </row>
    <row r="349" spans="1:23">
      <c r="B349" s="1088" t="s">
        <v>5312</v>
      </c>
      <c r="C349" s="917"/>
      <c r="D349" s="918"/>
      <c r="E349" s="917"/>
      <c r="F349" s="919"/>
      <c r="G349" s="919"/>
      <c r="H349" s="920"/>
      <c r="I349" s="871"/>
      <c r="J349" s="872">
        <v>44697</v>
      </c>
      <c r="K349" s="873">
        <f>866556.02*100/121</f>
        <v>716162</v>
      </c>
      <c r="L349" s="874">
        <v>866556.02</v>
      </c>
      <c r="M349" s="921"/>
      <c r="N349" s="873"/>
      <c r="O349" s="874"/>
      <c r="P349" s="875"/>
      <c r="Q349" s="873"/>
      <c r="R349" s="874"/>
      <c r="S349" s="875">
        <v>45730</v>
      </c>
      <c r="T349" s="877">
        <f>1477676.22/121*100</f>
        <v>1221220.0165289256</v>
      </c>
      <c r="U349" s="874">
        <v>1477676.22</v>
      </c>
      <c r="V349" s="879"/>
      <c r="W349" s="880"/>
    </row>
    <row r="350" spans="1:23">
      <c r="B350" s="916"/>
      <c r="C350" s="917"/>
      <c r="D350" s="918"/>
      <c r="E350" s="917"/>
      <c r="F350" s="919"/>
      <c r="G350" s="919"/>
      <c r="H350" s="920"/>
      <c r="I350" s="871"/>
      <c r="J350" s="881">
        <v>44697</v>
      </c>
      <c r="K350" s="882">
        <f>880042.68*100/121</f>
        <v>727308</v>
      </c>
      <c r="L350" s="883">
        <v>880042.68</v>
      </c>
      <c r="M350" s="898"/>
      <c r="N350" s="882"/>
      <c r="O350" s="883"/>
      <c r="P350" s="884"/>
      <c r="Q350" s="882"/>
      <c r="R350" s="883"/>
      <c r="S350" s="884"/>
      <c r="T350" s="886"/>
      <c r="U350" s="883"/>
      <c r="V350" s="888"/>
      <c r="W350" s="889"/>
    </row>
    <row r="351" spans="1:23">
      <c r="B351" s="916"/>
      <c r="C351" s="917"/>
      <c r="D351" s="918"/>
      <c r="E351" s="917"/>
      <c r="F351" s="919"/>
      <c r="G351" s="919"/>
      <c r="H351" s="920"/>
      <c r="I351" s="871"/>
      <c r="J351" s="881">
        <v>44712</v>
      </c>
      <c r="K351" s="882">
        <f>496538.02*100/121</f>
        <v>410362</v>
      </c>
      <c r="L351" s="883">
        <v>496538.02</v>
      </c>
      <c r="M351" s="898"/>
      <c r="N351" s="882"/>
      <c r="O351" s="883"/>
      <c r="P351" s="884"/>
      <c r="Q351" s="882"/>
      <c r="R351" s="883"/>
      <c r="S351" s="884"/>
      <c r="T351" s="886"/>
      <c r="U351" s="883"/>
      <c r="V351" s="888"/>
      <c r="W351" s="889"/>
    </row>
    <row r="352" spans="1:23">
      <c r="B352" s="916"/>
      <c r="C352" s="917"/>
      <c r="D352" s="918"/>
      <c r="E352" s="917"/>
      <c r="F352" s="919"/>
      <c r="G352" s="919"/>
      <c r="H352" s="920"/>
      <c r="I352" s="871"/>
      <c r="J352" s="881">
        <v>44735</v>
      </c>
      <c r="K352" s="882">
        <f>268385.26*100/121</f>
        <v>221806</v>
      </c>
      <c r="L352" s="883">
        <v>268385.26</v>
      </c>
      <c r="M352" s="898"/>
      <c r="N352" s="882"/>
      <c r="O352" s="883"/>
      <c r="P352" s="884"/>
      <c r="Q352" s="882"/>
      <c r="R352" s="883"/>
      <c r="S352" s="884"/>
      <c r="T352" s="886"/>
      <c r="U352" s="883"/>
      <c r="V352" s="888"/>
      <c r="W352" s="889"/>
    </row>
    <row r="353" spans="1:23">
      <c r="B353" s="916"/>
      <c r="C353" s="917"/>
      <c r="D353" s="918"/>
      <c r="E353" s="917"/>
      <c r="F353" s="919"/>
      <c r="G353" s="919"/>
      <c r="H353" s="920"/>
      <c r="I353" s="871"/>
      <c r="J353" s="881">
        <v>44742</v>
      </c>
      <c r="K353" s="882">
        <f>299634.72*100/121</f>
        <v>247631.99999999997</v>
      </c>
      <c r="L353" s="883">
        <v>299634.71999999997</v>
      </c>
      <c r="M353" s="898"/>
      <c r="N353" s="882"/>
      <c r="O353" s="883"/>
      <c r="P353" s="884"/>
      <c r="Q353" s="882"/>
      <c r="R353" s="883"/>
      <c r="S353" s="884"/>
      <c r="T353" s="886"/>
      <c r="U353" s="883"/>
      <c r="V353" s="888"/>
      <c r="W353" s="889"/>
    </row>
    <row r="354" spans="1:23">
      <c r="B354" s="916"/>
      <c r="C354" s="917"/>
      <c r="D354" s="918"/>
      <c r="E354" s="917"/>
      <c r="F354" s="919"/>
      <c r="G354" s="919"/>
      <c r="H354" s="920"/>
      <c r="I354" s="896"/>
      <c r="J354" s="881">
        <v>44749</v>
      </c>
      <c r="K354" s="882">
        <f>534290.02*100/121</f>
        <v>441562</v>
      </c>
      <c r="L354" s="883">
        <v>534290.02</v>
      </c>
      <c r="M354" s="898"/>
      <c r="N354" s="882"/>
      <c r="O354" s="883"/>
      <c r="P354" s="898"/>
      <c r="Q354" s="882"/>
      <c r="R354" s="883"/>
      <c r="S354" s="897"/>
      <c r="T354" s="886"/>
      <c r="U354" s="887"/>
      <c r="V354" s="888"/>
      <c r="W354" s="889"/>
    </row>
    <row r="355" spans="1:23">
      <c r="B355" s="916"/>
      <c r="C355" s="917"/>
      <c r="D355" s="918"/>
      <c r="E355" s="917"/>
      <c r="F355" s="919"/>
      <c r="G355" s="919"/>
      <c r="H355" s="920"/>
      <c r="I355" s="896"/>
      <c r="J355" s="881">
        <v>44888</v>
      </c>
      <c r="K355" s="882">
        <f>42485.52*100/121</f>
        <v>35112</v>
      </c>
      <c r="L355" s="883">
        <v>42485.52</v>
      </c>
      <c r="M355" s="898"/>
      <c r="N355" s="882"/>
      <c r="O355" s="883"/>
      <c r="P355" s="898"/>
      <c r="Q355" s="891"/>
      <c r="R355" s="892"/>
      <c r="S355" s="897"/>
      <c r="T355" s="912"/>
      <c r="U355" s="913"/>
      <c r="V355" s="922"/>
      <c r="W355" s="889"/>
    </row>
    <row r="356" spans="1:23" ht="13.8" thickBot="1">
      <c r="B356" s="916"/>
      <c r="C356" s="917"/>
      <c r="D356" s="918"/>
      <c r="E356" s="917"/>
      <c r="F356" s="919"/>
      <c r="G356" s="919"/>
      <c r="H356" s="920"/>
      <c r="I356" s="901" t="s">
        <v>4865</v>
      </c>
      <c r="J356" s="902"/>
      <c r="K356" s="906">
        <f>SUM(K348:K355)</f>
        <v>3496912</v>
      </c>
      <c r="L356" s="907">
        <f>SUM(L348:L355)</f>
        <v>4231263.5199999996</v>
      </c>
      <c r="M356" s="914"/>
      <c r="N356" s="906">
        <v>68376</v>
      </c>
      <c r="O356" s="907">
        <v>82734.960000000006</v>
      </c>
      <c r="P356" s="905"/>
      <c r="Q356" s="906"/>
      <c r="R356" s="907"/>
      <c r="S356" s="905"/>
      <c r="T356" s="908">
        <f>SUM(T348:T355)</f>
        <v>1326369.0165289256</v>
      </c>
      <c r="U356" s="907">
        <f>SUM(U348:U355)</f>
        <v>1604906.51</v>
      </c>
      <c r="V356" s="889"/>
      <c r="W356" s="889"/>
    </row>
    <row r="357" spans="1:23" ht="13.8" thickBot="1">
      <c r="A357" s="112">
        <v>21</v>
      </c>
      <c r="B357" s="1036" t="s">
        <v>386</v>
      </c>
      <c r="C357" s="1037" t="s">
        <v>4882</v>
      </c>
      <c r="D357" s="1038">
        <v>26272857</v>
      </c>
      <c r="E357" s="1039" t="s">
        <v>3530</v>
      </c>
      <c r="F357" s="1118">
        <v>2413200</v>
      </c>
      <c r="G357" s="1119">
        <v>2919972</v>
      </c>
      <c r="H357" s="1042">
        <v>46062</v>
      </c>
      <c r="I357" s="1043"/>
      <c r="J357" s="1110">
        <v>44650</v>
      </c>
      <c r="K357" s="1045">
        <f>770906.73*100/121</f>
        <v>637113</v>
      </c>
      <c r="L357" s="1046">
        <v>770906.73</v>
      </c>
      <c r="M357" s="1047">
        <v>45111</v>
      </c>
      <c r="N357" s="1045">
        <v>89680</v>
      </c>
      <c r="O357" s="1046">
        <v>108512.8</v>
      </c>
      <c r="P357" s="1074">
        <v>45296</v>
      </c>
      <c r="Q357" s="1058">
        <v>18527</v>
      </c>
      <c r="R357" s="1059">
        <v>22417.67</v>
      </c>
      <c r="S357" s="1074">
        <v>45730</v>
      </c>
      <c r="T357" s="1075">
        <f>458875.56/121*100</f>
        <v>379236</v>
      </c>
      <c r="U357" s="1059">
        <v>458875.56</v>
      </c>
      <c r="V357" s="1050">
        <f>SUM(F357-K365-N365-Q365-T365)</f>
        <v>1454</v>
      </c>
      <c r="W357" s="1051">
        <f>SUM(G357-L365-O365-R365-U365)</f>
        <v>1759.3400000000838</v>
      </c>
    </row>
    <row r="358" spans="1:23">
      <c r="B358" s="1122" t="s">
        <v>5312</v>
      </c>
      <c r="C358" s="1052"/>
      <c r="D358" s="1053"/>
      <c r="E358" s="1052"/>
      <c r="F358" s="1054"/>
      <c r="G358" s="1054"/>
      <c r="H358" s="1055"/>
      <c r="I358" s="1056"/>
      <c r="J358" s="1111">
        <v>44659</v>
      </c>
      <c r="K358" s="1058">
        <f t="shared" ref="K358" si="4">32553.84*100/121</f>
        <v>26904</v>
      </c>
      <c r="L358" s="1059">
        <v>32553.84</v>
      </c>
      <c r="M358" s="1074">
        <v>45135</v>
      </c>
      <c r="N358" s="1058">
        <v>92635</v>
      </c>
      <c r="O358" s="1059">
        <v>112088.35</v>
      </c>
      <c r="P358" s="1074">
        <v>45352</v>
      </c>
      <c r="Q358" s="1058">
        <v>8968</v>
      </c>
      <c r="R358" s="1059">
        <v>10851.28</v>
      </c>
      <c r="S358" s="1074">
        <v>45737</v>
      </c>
      <c r="T358" s="1075">
        <f>35414.28/121*100</f>
        <v>29268</v>
      </c>
      <c r="U358" s="1059">
        <v>35414.28</v>
      </c>
      <c r="V358" s="1066"/>
      <c r="W358" s="1067"/>
    </row>
    <row r="359" spans="1:23">
      <c r="B359" s="1068"/>
      <c r="C359" s="1052"/>
      <c r="D359" s="1053"/>
      <c r="E359" s="1052"/>
      <c r="F359" s="1054"/>
      <c r="G359" s="1054"/>
      <c r="H359" s="1055"/>
      <c r="I359" s="1056"/>
      <c r="J359" s="1113">
        <v>44791</v>
      </c>
      <c r="K359" s="1062">
        <f>62394.86*100/121</f>
        <v>51566</v>
      </c>
      <c r="L359" s="1063">
        <v>62394.86</v>
      </c>
      <c r="M359" s="1061">
        <v>45135</v>
      </c>
      <c r="N359" s="1062">
        <v>11210</v>
      </c>
      <c r="O359" s="1063">
        <v>13564.1</v>
      </c>
      <c r="P359" s="1061">
        <v>45429</v>
      </c>
      <c r="Q359" s="1062">
        <v>407622</v>
      </c>
      <c r="R359" s="1063">
        <v>493222.62</v>
      </c>
      <c r="S359" s="1061">
        <v>45910</v>
      </c>
      <c r="T359" s="1064">
        <v>156124</v>
      </c>
      <c r="U359" s="1063">
        <v>188910.04</v>
      </c>
      <c r="V359" s="1071"/>
      <c r="W359" s="1072"/>
    </row>
    <row r="360" spans="1:23">
      <c r="B360" s="1068"/>
      <c r="C360" s="1052"/>
      <c r="D360" s="1053"/>
      <c r="E360" s="1052"/>
      <c r="F360" s="1054"/>
      <c r="G360" s="1054"/>
      <c r="H360" s="1055"/>
      <c r="I360" s="1056"/>
      <c r="J360" s="1113">
        <v>44792</v>
      </c>
      <c r="K360" s="1062">
        <f>53212.17*100/121</f>
        <v>43977</v>
      </c>
      <c r="L360" s="1063">
        <v>53212.17</v>
      </c>
      <c r="M360" s="1061">
        <v>45274</v>
      </c>
      <c r="N360" s="1062">
        <v>226020</v>
      </c>
      <c r="O360" s="1063">
        <v>273484.2</v>
      </c>
      <c r="P360" s="1061">
        <v>45450</v>
      </c>
      <c r="Q360" s="1062">
        <v>6726</v>
      </c>
      <c r="R360" s="1063">
        <v>8138.46</v>
      </c>
      <c r="S360" s="1061"/>
      <c r="T360" s="1064"/>
      <c r="U360" s="1063"/>
      <c r="V360" s="1071"/>
      <c r="W360" s="1072"/>
    </row>
    <row r="361" spans="1:23">
      <c r="B361" s="1068"/>
      <c r="C361" s="1052"/>
      <c r="D361" s="1053"/>
      <c r="E361" s="1052"/>
      <c r="F361" s="1054"/>
      <c r="G361" s="1054"/>
      <c r="H361" s="1055"/>
      <c r="I361" s="1056"/>
      <c r="J361" s="1113">
        <v>44897</v>
      </c>
      <c r="K361" s="1062">
        <f>273665.7*100/121</f>
        <v>226170</v>
      </c>
      <c r="L361" s="1063">
        <v>273665.7</v>
      </c>
      <c r="M361" s="1070"/>
      <c r="N361" s="1062"/>
      <c r="O361" s="1063"/>
      <c r="P361" s="1061"/>
      <c r="Q361" s="1062"/>
      <c r="R361" s="1063"/>
      <c r="S361" s="1061"/>
      <c r="T361" s="1064"/>
      <c r="U361" s="1063"/>
      <c r="V361" s="1071"/>
      <c r="W361" s="1072"/>
    </row>
    <row r="362" spans="1:23">
      <c r="B362" s="1068"/>
      <c r="C362" s="1052"/>
      <c r="D362" s="1053"/>
      <c r="E362" s="1052"/>
      <c r="F362" s="1054"/>
      <c r="G362" s="1054"/>
      <c r="H362" s="1055"/>
      <c r="I362" s="1056"/>
      <c r="J362" s="1069"/>
      <c r="K362" s="1062"/>
      <c r="L362" s="1063"/>
      <c r="M362" s="1070"/>
      <c r="N362" s="1062"/>
      <c r="O362" s="1063"/>
      <c r="P362" s="1070"/>
      <c r="Q362" s="1062"/>
      <c r="R362" s="1063"/>
      <c r="S362" s="1114"/>
      <c r="T362" s="1064"/>
      <c r="U362" s="1065"/>
      <c r="V362" s="1071"/>
      <c r="W362" s="1072"/>
    </row>
    <row r="363" spans="1:23">
      <c r="B363" s="1068"/>
      <c r="C363" s="1052"/>
      <c r="D363" s="1053"/>
      <c r="E363" s="1052"/>
      <c r="F363" s="1054"/>
      <c r="G363" s="1054"/>
      <c r="H363" s="1055"/>
      <c r="I363" s="1077"/>
      <c r="J363" s="1069"/>
      <c r="K363" s="1062"/>
      <c r="L363" s="1063"/>
      <c r="M363" s="1070"/>
      <c r="N363" s="1062"/>
      <c r="O363" s="1063"/>
      <c r="P363" s="1070"/>
      <c r="Q363" s="1120"/>
      <c r="R363" s="1121"/>
      <c r="S363" s="1114"/>
      <c r="T363" s="1115"/>
      <c r="U363" s="1116"/>
      <c r="V363" s="1076"/>
      <c r="W363" s="1072"/>
    </row>
    <row r="364" spans="1:23">
      <c r="B364" s="1068"/>
      <c r="C364" s="1052"/>
      <c r="D364" s="1053"/>
      <c r="E364" s="1052"/>
      <c r="F364" s="1054"/>
      <c r="G364" s="1054"/>
      <c r="H364" s="1055"/>
      <c r="I364" s="1077"/>
      <c r="J364" s="1069"/>
      <c r="K364" s="1062"/>
      <c r="L364" s="1063"/>
      <c r="M364" s="1070"/>
      <c r="N364" s="1062"/>
      <c r="O364" s="1063"/>
      <c r="P364" s="1061"/>
      <c r="Q364" s="1062"/>
      <c r="R364" s="1063"/>
      <c r="S364" s="1061"/>
      <c r="T364" s="1064"/>
      <c r="U364" s="1063"/>
      <c r="V364" s="1071"/>
      <c r="W364" s="1072"/>
    </row>
    <row r="365" spans="1:23" ht="13.8" thickBot="1">
      <c r="B365" s="1068"/>
      <c r="C365" s="1052"/>
      <c r="D365" s="1053"/>
      <c r="E365" s="1052"/>
      <c r="F365" s="1054"/>
      <c r="G365" s="1054"/>
      <c r="H365" s="1055"/>
      <c r="I365" s="1078" t="s">
        <v>4865</v>
      </c>
      <c r="J365" s="1079"/>
      <c r="K365" s="1083">
        <f>SUM(K357:K364)</f>
        <v>985730</v>
      </c>
      <c r="L365" s="1084">
        <f>SUM(L357:L364)</f>
        <v>1192733.3</v>
      </c>
      <c r="M365" s="1082"/>
      <c r="N365" s="1083">
        <f>SUM(N357:N364)</f>
        <v>419545</v>
      </c>
      <c r="O365" s="1084">
        <f>SUM(O357:O364)</f>
        <v>507649.45000000007</v>
      </c>
      <c r="P365" s="1085"/>
      <c r="Q365" s="1083">
        <f>SUM(Q357:Q364)</f>
        <v>441843</v>
      </c>
      <c r="R365" s="1084">
        <f>SUM(R357:R364)</f>
        <v>534630.02999999991</v>
      </c>
      <c r="S365" s="1085"/>
      <c r="T365" s="1086">
        <f>SUM(T357:T364)</f>
        <v>564628</v>
      </c>
      <c r="U365" s="1084">
        <f>SUM(U357:U364)</f>
        <v>683199.88</v>
      </c>
      <c r="V365" s="1072"/>
      <c r="W365" s="1072"/>
    </row>
    <row r="366" spans="1:23" ht="13.8" thickBot="1">
      <c r="A366" s="112">
        <v>24</v>
      </c>
      <c r="B366" s="847" t="s">
        <v>681</v>
      </c>
      <c r="C366" s="845" t="s">
        <v>4883</v>
      </c>
      <c r="D366" s="850">
        <v>26698293</v>
      </c>
      <c r="E366" s="851" t="s">
        <v>3509</v>
      </c>
      <c r="F366" s="848">
        <v>490000</v>
      </c>
      <c r="G366" s="848">
        <v>563500</v>
      </c>
      <c r="H366" s="849">
        <v>45763</v>
      </c>
      <c r="I366" s="860"/>
      <c r="J366" s="910"/>
      <c r="K366" s="862"/>
      <c r="L366" s="863"/>
      <c r="M366" s="864">
        <v>45070</v>
      </c>
      <c r="N366" s="862">
        <v>127500</v>
      </c>
      <c r="O366" s="863">
        <v>146625</v>
      </c>
      <c r="P366" s="864">
        <v>45429</v>
      </c>
      <c r="Q366" s="862">
        <v>105500</v>
      </c>
      <c r="R366" s="865">
        <v>118160</v>
      </c>
      <c r="S366" s="864">
        <v>45664</v>
      </c>
      <c r="T366" s="867">
        <f>14336/112*100</f>
        <v>12800</v>
      </c>
      <c r="U366" s="865">
        <v>14336</v>
      </c>
      <c r="V366" s="869">
        <f>SUM(F366-N374-Q374-T374)</f>
        <v>9800</v>
      </c>
      <c r="W366" s="870">
        <f>SUM(G366-O374-R374-U374)</f>
        <v>18686</v>
      </c>
    </row>
    <row r="367" spans="1:23">
      <c r="B367" s="916"/>
      <c r="C367" s="917"/>
      <c r="D367" s="918"/>
      <c r="E367" s="917"/>
      <c r="F367" s="919"/>
      <c r="G367" s="919"/>
      <c r="H367" s="920"/>
      <c r="I367" s="871"/>
      <c r="J367" s="911"/>
      <c r="K367" s="873"/>
      <c r="L367" s="874"/>
      <c r="M367" s="875">
        <v>45190</v>
      </c>
      <c r="N367" s="873">
        <v>105500</v>
      </c>
      <c r="O367" s="874">
        <v>121325</v>
      </c>
      <c r="P367" s="875">
        <v>45646</v>
      </c>
      <c r="Q367" s="873">
        <f>19488/112*100</f>
        <v>17400</v>
      </c>
      <c r="R367" s="874">
        <v>19488</v>
      </c>
      <c r="S367" s="875">
        <v>45771</v>
      </c>
      <c r="T367" s="877">
        <f>106960*100/112</f>
        <v>95500</v>
      </c>
      <c r="U367" s="874">
        <v>106960</v>
      </c>
      <c r="V367" s="879"/>
      <c r="W367" s="880"/>
    </row>
    <row r="368" spans="1:23">
      <c r="B368" s="916"/>
      <c r="C368" s="917"/>
      <c r="D368" s="918"/>
      <c r="E368" s="917"/>
      <c r="F368" s="919"/>
      <c r="G368" s="919"/>
      <c r="H368" s="920"/>
      <c r="I368" s="871"/>
      <c r="J368" s="890"/>
      <c r="K368" s="882"/>
      <c r="L368" s="883"/>
      <c r="M368" s="898"/>
      <c r="N368" s="882"/>
      <c r="O368" s="883"/>
      <c r="P368" s="898"/>
      <c r="Q368" s="882"/>
      <c r="R368" s="883"/>
      <c r="S368" s="884">
        <v>45790</v>
      </c>
      <c r="T368" s="877">
        <f>17920*100/112</f>
        <v>16000</v>
      </c>
      <c r="U368" s="887">
        <v>17920</v>
      </c>
      <c r="V368" s="888"/>
      <c r="W368" s="889"/>
    </row>
    <row r="369" spans="1:23">
      <c r="B369" s="916"/>
      <c r="C369" s="917"/>
      <c r="D369" s="918"/>
      <c r="E369" s="917"/>
      <c r="F369" s="919"/>
      <c r="G369" s="919"/>
      <c r="H369" s="920"/>
      <c r="I369" s="871"/>
      <c r="J369" s="890"/>
      <c r="K369" s="882"/>
      <c r="L369" s="883"/>
      <c r="M369" s="898"/>
      <c r="N369" s="882"/>
      <c r="O369" s="883"/>
      <c r="P369" s="898"/>
      <c r="Q369" s="891"/>
      <c r="R369" s="892"/>
      <c r="S369" s="897"/>
      <c r="T369" s="912"/>
      <c r="U369" s="913"/>
      <c r="V369" s="922"/>
      <c r="W369" s="889"/>
    </row>
    <row r="370" spans="1:23">
      <c r="B370" s="916"/>
      <c r="C370" s="917"/>
      <c r="D370" s="918"/>
      <c r="E370" s="917"/>
      <c r="F370" s="919"/>
      <c r="G370" s="919"/>
      <c r="H370" s="920"/>
      <c r="I370" s="871"/>
      <c r="J370" s="890"/>
      <c r="K370" s="882"/>
      <c r="L370" s="883"/>
      <c r="M370" s="898"/>
      <c r="N370" s="882"/>
      <c r="O370" s="883"/>
      <c r="P370" s="884"/>
      <c r="Q370" s="882"/>
      <c r="R370" s="883"/>
      <c r="S370" s="884"/>
      <c r="T370" s="886"/>
      <c r="U370" s="883"/>
      <c r="V370" s="888"/>
      <c r="W370" s="889"/>
    </row>
    <row r="371" spans="1:23">
      <c r="B371" s="916"/>
      <c r="C371" s="917"/>
      <c r="D371" s="918"/>
      <c r="E371" s="917"/>
      <c r="F371" s="919"/>
      <c r="G371" s="919"/>
      <c r="H371" s="920"/>
      <c r="I371" s="871"/>
      <c r="J371" s="890"/>
      <c r="K371" s="882"/>
      <c r="L371" s="883"/>
      <c r="M371" s="898"/>
      <c r="N371" s="882"/>
      <c r="O371" s="883"/>
      <c r="P371" s="884"/>
      <c r="Q371" s="882"/>
      <c r="R371" s="883"/>
      <c r="S371" s="884"/>
      <c r="T371" s="886"/>
      <c r="U371" s="883"/>
      <c r="V371" s="888"/>
      <c r="W371" s="889"/>
    </row>
    <row r="372" spans="1:23">
      <c r="B372" s="916"/>
      <c r="C372" s="917"/>
      <c r="D372" s="918"/>
      <c r="E372" s="917"/>
      <c r="F372" s="919"/>
      <c r="G372" s="919"/>
      <c r="H372" s="920"/>
      <c r="I372" s="896"/>
      <c r="J372" s="890"/>
      <c r="K372" s="882"/>
      <c r="L372" s="883"/>
      <c r="M372" s="898"/>
      <c r="N372" s="882"/>
      <c r="O372" s="883"/>
      <c r="P372" s="884"/>
      <c r="Q372" s="882"/>
      <c r="R372" s="883"/>
      <c r="S372" s="884"/>
      <c r="T372" s="886"/>
      <c r="U372" s="883"/>
      <c r="V372" s="888"/>
      <c r="W372" s="889"/>
    </row>
    <row r="373" spans="1:23">
      <c r="B373" s="916"/>
      <c r="C373" s="917"/>
      <c r="D373" s="918"/>
      <c r="E373" s="917"/>
      <c r="F373" s="919"/>
      <c r="G373" s="919"/>
      <c r="H373" s="920"/>
      <c r="I373" s="896"/>
      <c r="J373" s="890"/>
      <c r="K373" s="882"/>
      <c r="L373" s="883"/>
      <c r="M373" s="898"/>
      <c r="N373" s="882"/>
      <c r="O373" s="883"/>
      <c r="P373" s="884"/>
      <c r="Q373" s="882"/>
      <c r="R373" s="883"/>
      <c r="S373" s="884"/>
      <c r="T373" s="886"/>
      <c r="U373" s="883"/>
      <c r="V373" s="888"/>
      <c r="W373" s="889"/>
    </row>
    <row r="374" spans="1:23" ht="13.8" thickBot="1">
      <c r="B374" s="916"/>
      <c r="C374" s="917"/>
      <c r="D374" s="918"/>
      <c r="E374" s="917"/>
      <c r="F374" s="919"/>
      <c r="G374" s="919"/>
      <c r="H374" s="920"/>
      <c r="I374" s="901" t="s">
        <v>4865</v>
      </c>
      <c r="J374" s="902"/>
      <c r="K374" s="903"/>
      <c r="L374" s="904"/>
      <c r="M374" s="914"/>
      <c r="N374" s="906">
        <f>SUM(N366:N373)</f>
        <v>233000</v>
      </c>
      <c r="O374" s="907">
        <f>SUM(O366:O373)</f>
        <v>267950</v>
      </c>
      <c r="P374" s="905"/>
      <c r="Q374" s="906">
        <f>SUM(Q366:Q373)</f>
        <v>122900</v>
      </c>
      <c r="R374" s="907">
        <f>SUM(R366:R373)</f>
        <v>137648</v>
      </c>
      <c r="S374" s="905"/>
      <c r="T374" s="908">
        <f>SUM(T366:T373)</f>
        <v>124300</v>
      </c>
      <c r="U374" s="907">
        <f>SUM(U366:U373)</f>
        <v>139216</v>
      </c>
      <c r="V374" s="889"/>
      <c r="W374" s="889"/>
    </row>
    <row r="375" spans="1:23" ht="13.8" thickBot="1">
      <c r="A375" s="112">
        <v>25</v>
      </c>
      <c r="B375" s="847" t="s">
        <v>678</v>
      </c>
      <c r="C375" s="845" t="s">
        <v>4885</v>
      </c>
      <c r="D375" s="846">
        <v>25099019</v>
      </c>
      <c r="E375" s="845" t="s">
        <v>3588</v>
      </c>
      <c r="F375" s="848">
        <v>1990000</v>
      </c>
      <c r="G375" s="848">
        <v>2407900</v>
      </c>
      <c r="H375" s="849">
        <v>45743</v>
      </c>
      <c r="I375" s="860"/>
      <c r="J375" s="910"/>
      <c r="K375" s="862"/>
      <c r="L375" s="863"/>
      <c r="M375" s="864">
        <v>45093</v>
      </c>
      <c r="N375" s="862">
        <v>258400</v>
      </c>
      <c r="O375" s="863">
        <v>312664</v>
      </c>
      <c r="P375" s="864">
        <v>45310</v>
      </c>
      <c r="Q375" s="862">
        <v>257720</v>
      </c>
      <c r="R375" s="865">
        <v>311841.2</v>
      </c>
      <c r="S375" s="864">
        <v>45771</v>
      </c>
      <c r="T375" s="867">
        <v>271320</v>
      </c>
      <c r="U375" s="865">
        <v>303878.40000000002</v>
      </c>
      <c r="V375" s="869">
        <f>SUM(F375-N383-Q383-T383)</f>
        <v>41120</v>
      </c>
      <c r="W375" s="870">
        <f>SUM(G375-O383-R383-U383)</f>
        <v>155508.79999999993</v>
      </c>
    </row>
    <row r="376" spans="1:23">
      <c r="B376" s="916"/>
      <c r="C376" s="917"/>
      <c r="D376" s="918"/>
      <c r="E376" s="917"/>
      <c r="F376" s="919"/>
      <c r="G376" s="919"/>
      <c r="H376" s="920"/>
      <c r="I376" s="871"/>
      <c r="J376" s="911"/>
      <c r="K376" s="873"/>
      <c r="L376" s="874"/>
      <c r="M376" s="875">
        <v>45191</v>
      </c>
      <c r="N376" s="873">
        <v>257720</v>
      </c>
      <c r="O376" s="874">
        <v>311841.2</v>
      </c>
      <c r="P376" s="875">
        <v>45408</v>
      </c>
      <c r="Q376" s="873">
        <v>225080</v>
      </c>
      <c r="R376" s="874">
        <v>252089.60000000001</v>
      </c>
      <c r="S376" s="875"/>
      <c r="T376" s="877"/>
      <c r="U376" s="878"/>
      <c r="V376" s="1034" t="s">
        <v>5636</v>
      </c>
      <c r="W376" s="1035"/>
    </row>
    <row r="377" spans="1:23">
      <c r="B377" s="916"/>
      <c r="C377" s="917"/>
      <c r="D377" s="918"/>
      <c r="E377" s="917"/>
      <c r="F377" s="919"/>
      <c r="G377" s="919"/>
      <c r="H377" s="920"/>
      <c r="I377" s="871"/>
      <c r="J377" s="890"/>
      <c r="K377" s="882"/>
      <c r="L377" s="883"/>
      <c r="M377" s="898"/>
      <c r="N377" s="882"/>
      <c r="O377" s="883"/>
      <c r="P377" s="884">
        <v>45511</v>
      </c>
      <c r="Q377" s="882">
        <v>190400</v>
      </c>
      <c r="R377" s="883">
        <v>213248</v>
      </c>
      <c r="S377" s="884"/>
      <c r="T377" s="886"/>
      <c r="U377" s="887"/>
      <c r="V377" s="922"/>
      <c r="W377" s="889"/>
    </row>
    <row r="378" spans="1:23">
      <c r="B378" s="916"/>
      <c r="C378" s="917"/>
      <c r="D378" s="918"/>
      <c r="E378" s="917"/>
      <c r="F378" s="919"/>
      <c r="G378" s="919"/>
      <c r="H378" s="920"/>
      <c r="I378" s="871"/>
      <c r="J378" s="890"/>
      <c r="K378" s="882"/>
      <c r="L378" s="883"/>
      <c r="M378" s="898"/>
      <c r="N378" s="882"/>
      <c r="O378" s="883"/>
      <c r="P378" s="884">
        <v>45568</v>
      </c>
      <c r="Q378" s="882">
        <v>80920</v>
      </c>
      <c r="R378" s="883">
        <v>90630.399999999994</v>
      </c>
      <c r="S378" s="884"/>
      <c r="T378" s="886"/>
      <c r="U378" s="883"/>
      <c r="V378" s="888"/>
      <c r="W378" s="889"/>
    </row>
    <row r="379" spans="1:23">
      <c r="B379" s="916"/>
      <c r="C379" s="917"/>
      <c r="D379" s="918"/>
      <c r="E379" s="917"/>
      <c r="F379" s="919"/>
      <c r="G379" s="919"/>
      <c r="H379" s="920"/>
      <c r="I379" s="871"/>
      <c r="J379" s="890"/>
      <c r="K379" s="882"/>
      <c r="L379" s="883"/>
      <c r="M379" s="898"/>
      <c r="N379" s="882"/>
      <c r="O379" s="883"/>
      <c r="P379" s="884">
        <v>45611</v>
      </c>
      <c r="Q379" s="882">
        <v>136000</v>
      </c>
      <c r="R379" s="883">
        <v>152320</v>
      </c>
      <c r="S379" s="884"/>
      <c r="T379" s="886"/>
      <c r="U379" s="883"/>
      <c r="V379" s="888"/>
      <c r="W379" s="889"/>
    </row>
    <row r="380" spans="1:23">
      <c r="B380" s="916"/>
      <c r="C380" s="917"/>
      <c r="D380" s="918"/>
      <c r="E380" s="917"/>
      <c r="F380" s="919"/>
      <c r="G380" s="919"/>
      <c r="H380" s="920"/>
      <c r="I380" s="871"/>
      <c r="J380" s="890"/>
      <c r="K380" s="882"/>
      <c r="L380" s="883"/>
      <c r="M380" s="898"/>
      <c r="N380" s="882"/>
      <c r="O380" s="883"/>
      <c r="P380" s="884">
        <v>45649</v>
      </c>
      <c r="Q380" s="882">
        <v>271320</v>
      </c>
      <c r="R380" s="883">
        <v>303878.40000000002</v>
      </c>
      <c r="S380" s="884"/>
      <c r="T380" s="886"/>
      <c r="U380" s="883"/>
      <c r="V380" s="888"/>
      <c r="W380" s="889"/>
    </row>
    <row r="381" spans="1:23">
      <c r="B381" s="916"/>
      <c r="C381" s="917"/>
      <c r="D381" s="918"/>
      <c r="E381" s="917"/>
      <c r="F381" s="919"/>
      <c r="G381" s="919"/>
      <c r="H381" s="920"/>
      <c r="I381" s="896"/>
      <c r="J381" s="890"/>
      <c r="K381" s="882"/>
      <c r="L381" s="883"/>
      <c r="M381" s="898"/>
      <c r="N381" s="882"/>
      <c r="O381" s="883"/>
      <c r="P381" s="884"/>
      <c r="Q381" s="882"/>
      <c r="R381" s="883"/>
      <c r="S381" s="884"/>
      <c r="T381" s="886"/>
      <c r="U381" s="883"/>
      <c r="V381" s="888"/>
      <c r="W381" s="889"/>
    </row>
    <row r="382" spans="1:23">
      <c r="B382" s="916"/>
      <c r="C382" s="917"/>
      <c r="D382" s="918"/>
      <c r="E382" s="917"/>
      <c r="F382" s="919"/>
      <c r="G382" s="919"/>
      <c r="H382" s="920"/>
      <c r="I382" s="896"/>
      <c r="J382" s="890"/>
      <c r="K382" s="882"/>
      <c r="L382" s="883"/>
      <c r="M382" s="898"/>
      <c r="N382" s="882"/>
      <c r="O382" s="883"/>
      <c r="P382" s="884"/>
      <c r="Q382" s="882"/>
      <c r="R382" s="883"/>
      <c r="S382" s="884"/>
      <c r="T382" s="886"/>
      <c r="U382" s="883"/>
      <c r="V382" s="888"/>
      <c r="W382" s="889"/>
    </row>
    <row r="383" spans="1:23" ht="13.8" thickBot="1">
      <c r="B383" s="916"/>
      <c r="C383" s="917"/>
      <c r="D383" s="918"/>
      <c r="E383" s="917"/>
      <c r="F383" s="919"/>
      <c r="G383" s="919"/>
      <c r="H383" s="920"/>
      <c r="I383" s="901" t="s">
        <v>4865</v>
      </c>
      <c r="J383" s="902"/>
      <c r="K383" s="903"/>
      <c r="L383" s="904"/>
      <c r="M383" s="914"/>
      <c r="N383" s="906">
        <f>SUM(N375:N382)</f>
        <v>516120</v>
      </c>
      <c r="O383" s="907">
        <f>SUM(O375:O382)</f>
        <v>624505.19999999995</v>
      </c>
      <c r="P383" s="905"/>
      <c r="Q383" s="906">
        <f>SUM(Q375:Q382)</f>
        <v>1161440</v>
      </c>
      <c r="R383" s="907">
        <f>SUM(R375:R382)</f>
        <v>1324007.6000000001</v>
      </c>
      <c r="S383" s="905"/>
      <c r="T383" s="908">
        <v>271320</v>
      </c>
      <c r="U383" s="907">
        <v>303878.40000000002</v>
      </c>
      <c r="V383" s="889"/>
      <c r="W383" s="889"/>
    </row>
    <row r="384" spans="1:23" ht="13.8" thickBot="1">
      <c r="B384" s="847" t="s">
        <v>814</v>
      </c>
      <c r="C384" s="845" t="s">
        <v>4876</v>
      </c>
      <c r="D384" s="1648">
        <v>27301800</v>
      </c>
      <c r="E384" s="1649" t="s">
        <v>4877</v>
      </c>
      <c r="F384" s="1650">
        <v>750000</v>
      </c>
      <c r="G384" s="1651">
        <v>907500</v>
      </c>
      <c r="H384" s="849">
        <v>45967</v>
      </c>
      <c r="I384" s="860"/>
      <c r="J384" s="910"/>
      <c r="K384" s="873"/>
      <c r="L384" s="1652"/>
      <c r="M384" s="1653"/>
      <c r="N384" s="862"/>
      <c r="O384" s="863"/>
      <c r="P384" s="864">
        <v>45385</v>
      </c>
      <c r="Q384" s="862">
        <v>114000</v>
      </c>
      <c r="R384" s="863">
        <v>127680</v>
      </c>
      <c r="S384" s="864">
        <v>45993</v>
      </c>
      <c r="T384" s="867">
        <v>190000</v>
      </c>
      <c r="U384" s="863">
        <v>212800</v>
      </c>
      <c r="V384" s="1654">
        <f>SUM(F384-Q390-T390)</f>
        <v>130980</v>
      </c>
      <c r="W384" s="1655">
        <f>SUM(G384-R390-U390)</f>
        <v>214198</v>
      </c>
    </row>
    <row r="385" spans="2:23">
      <c r="B385" s="1656"/>
      <c r="C385" s="1656"/>
      <c r="D385" s="1656"/>
      <c r="E385" s="1656"/>
      <c r="F385" s="1657"/>
      <c r="G385" s="1657"/>
      <c r="H385" s="1657"/>
      <c r="I385" s="896"/>
      <c r="J385" s="911"/>
      <c r="K385" s="873"/>
      <c r="L385" s="874"/>
      <c r="M385" s="921"/>
      <c r="N385" s="873"/>
      <c r="O385" s="874"/>
      <c r="P385" s="875">
        <v>45406</v>
      </c>
      <c r="Q385" s="873">
        <v>11020</v>
      </c>
      <c r="R385" s="874">
        <v>12342</v>
      </c>
      <c r="S385" s="875"/>
      <c r="T385" s="877"/>
      <c r="U385" s="874"/>
      <c r="V385" s="1658" t="s">
        <v>4984</v>
      </c>
      <c r="W385" s="880"/>
    </row>
    <row r="386" spans="2:23">
      <c r="B386" s="1656"/>
      <c r="C386" s="1656"/>
      <c r="D386" s="1656"/>
      <c r="E386" s="1656"/>
      <c r="F386" s="1657"/>
      <c r="G386" s="1657"/>
      <c r="H386" s="1657"/>
      <c r="I386" s="896"/>
      <c r="J386" s="911"/>
      <c r="K386" s="873"/>
      <c r="L386" s="874"/>
      <c r="M386" s="921"/>
      <c r="N386" s="873"/>
      <c r="O386" s="874"/>
      <c r="P386" s="875">
        <v>45415</v>
      </c>
      <c r="Q386" s="873">
        <v>38000</v>
      </c>
      <c r="R386" s="874">
        <v>42560</v>
      </c>
      <c r="S386" s="875"/>
      <c r="T386" s="877"/>
      <c r="U386" s="874"/>
      <c r="V386" s="1659"/>
      <c r="W386" s="889"/>
    </row>
    <row r="387" spans="2:23">
      <c r="B387" s="1656"/>
      <c r="C387" s="1656"/>
      <c r="D387" s="1656"/>
      <c r="E387" s="1656"/>
      <c r="F387" s="1657"/>
      <c r="G387" s="1657"/>
      <c r="H387" s="1657"/>
      <c r="I387" s="896"/>
      <c r="J387" s="890"/>
      <c r="K387" s="882"/>
      <c r="L387" s="883"/>
      <c r="M387" s="921"/>
      <c r="N387" s="873"/>
      <c r="O387" s="874"/>
      <c r="P387" s="875">
        <v>45520</v>
      </c>
      <c r="Q387" s="873">
        <v>152000</v>
      </c>
      <c r="R387" s="874">
        <v>170240</v>
      </c>
      <c r="S387" s="875"/>
      <c r="T387" s="877"/>
      <c r="U387" s="874"/>
      <c r="V387" s="1659"/>
      <c r="W387" s="889"/>
    </row>
    <row r="388" spans="2:23">
      <c r="B388" s="1656"/>
      <c r="C388" s="1656"/>
      <c r="D388" s="1656"/>
      <c r="E388" s="1656"/>
      <c r="F388" s="1657"/>
      <c r="G388" s="1657"/>
      <c r="H388" s="1657"/>
      <c r="I388" s="896"/>
      <c r="J388" s="911"/>
      <c r="K388" s="873"/>
      <c r="L388" s="1660"/>
      <c r="M388" s="921"/>
      <c r="N388" s="873"/>
      <c r="O388" s="874"/>
      <c r="P388" s="875">
        <v>45637</v>
      </c>
      <c r="Q388" s="873">
        <v>114000</v>
      </c>
      <c r="R388" s="874">
        <v>127680</v>
      </c>
      <c r="S388" s="875"/>
      <c r="T388" s="877"/>
      <c r="U388" s="874"/>
      <c r="V388" s="1659"/>
      <c r="W388" s="889"/>
    </row>
    <row r="389" spans="2:23">
      <c r="B389" s="1656"/>
      <c r="C389" s="1656"/>
      <c r="D389" s="1656"/>
      <c r="E389" s="1656"/>
      <c r="F389" s="1657"/>
      <c r="G389" s="1657"/>
      <c r="H389" s="1657"/>
      <c r="I389" s="896"/>
      <c r="J389" s="911"/>
      <c r="K389" s="873"/>
      <c r="L389" s="874"/>
      <c r="M389" s="921"/>
      <c r="N389" s="873"/>
      <c r="O389" s="874"/>
      <c r="P389" s="875"/>
      <c r="Q389" s="873"/>
      <c r="R389" s="874"/>
      <c r="S389" s="875"/>
      <c r="T389" s="877"/>
      <c r="U389" s="874"/>
      <c r="V389" s="1659"/>
      <c r="W389" s="889"/>
    </row>
    <row r="390" spans="2:23">
      <c r="B390" s="1656"/>
      <c r="C390" s="1656"/>
      <c r="D390" s="1656"/>
      <c r="E390" s="1656"/>
      <c r="F390" s="1657"/>
      <c r="G390" s="1657"/>
      <c r="H390" s="1657"/>
      <c r="I390" s="1661" t="s">
        <v>4865</v>
      </c>
      <c r="J390" s="881"/>
      <c r="K390" s="882"/>
      <c r="L390" s="883"/>
      <c r="M390" s="884"/>
      <c r="N390" s="882"/>
      <c r="O390" s="883"/>
      <c r="P390" s="884"/>
      <c r="Q390" s="891">
        <f>SUM(Q384:Q389)</f>
        <v>429020</v>
      </c>
      <c r="R390" s="892">
        <f>SUM(R384:R389)</f>
        <v>480502</v>
      </c>
      <c r="S390" s="884"/>
      <c r="T390" s="912">
        <v>190000</v>
      </c>
      <c r="U390" s="913">
        <v>212800</v>
      </c>
      <c r="V390" s="1662"/>
      <c r="W390" s="889"/>
    </row>
  </sheetData>
  <sortState xmlns:xlrd2="http://schemas.microsoft.com/office/spreadsheetml/2017/richdata2" ref="B5:S142">
    <sortCondition ref="C5:C142"/>
  </sortState>
  <mergeCells count="6">
    <mergeCell ref="B300:F300"/>
    <mergeCell ref="J3:L3"/>
    <mergeCell ref="M3:O3"/>
    <mergeCell ref="P3:R3"/>
    <mergeCell ref="V3:W3"/>
    <mergeCell ref="S3:U3"/>
  </mergeCells>
  <conditionalFormatting sqref="B384">
    <cfRule type="containsText" dxfId="13" priority="812" operator="containsText" text="&quot;A&quot;">
      <formula>NOT(ISERROR(SEARCH(("""A"""),(B384))))</formula>
    </cfRule>
    <cfRule type="containsText" dxfId="12" priority="813" operator="containsText" text="&quot;N&quot;">
      <formula>NOT(ISERROR(SEARCH(("""N"""),(B384))))</formula>
    </cfRule>
    <cfRule type="expression" dxfId="11" priority="814">
      <formula>AND(COUNTIF($C$1135:$C$65338,B384)+COUNTIF($C$1:$C$708,B384)&gt;1,NOT(ISBLANK(B384)))</formula>
    </cfRule>
    <cfRule type="expression" dxfId="10" priority="815">
      <formula>AND(COUNTIF($C$1:$C$1149,B384)+COUNTIF($C$1151:$C$65338,B384)&gt;1,NOT(ISBLANK(B384)))</formula>
    </cfRule>
  </conditionalFormatting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8B46-6A5F-4486-8325-ED337E0D9E91}">
  <sheetPr codeName="List4"/>
  <dimension ref="A2:X262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8" sqref="B8"/>
    </sheetView>
  </sheetViews>
  <sheetFormatPr defaultColWidth="8.88671875" defaultRowHeight="13.2"/>
  <cols>
    <col min="1" max="1" width="8.88671875" style="96"/>
    <col min="2" max="2" width="23.44140625" style="96" bestFit="1" customWidth="1"/>
    <col min="3" max="3" width="70" style="96" customWidth="1"/>
    <col min="4" max="4" width="9.6640625" style="96" bestFit="1" customWidth="1"/>
    <col min="5" max="5" width="37.109375" style="96" bestFit="1" customWidth="1"/>
    <col min="6" max="7" width="12.33203125" style="96" bestFit="1" customWidth="1"/>
    <col min="8" max="8" width="11" style="96" bestFit="1" customWidth="1"/>
    <col min="9" max="9" width="8.88671875" style="96"/>
    <col min="10" max="10" width="11" style="96" bestFit="1" customWidth="1"/>
    <col min="11" max="12" width="15.6640625" style="96" bestFit="1" customWidth="1"/>
    <col min="13" max="13" width="11" style="96" bestFit="1" customWidth="1"/>
    <col min="14" max="15" width="15.6640625" style="96" bestFit="1" customWidth="1"/>
    <col min="16" max="16" width="11.33203125" style="96" customWidth="1"/>
    <col min="17" max="17" width="15.6640625" style="96" bestFit="1" customWidth="1"/>
    <col min="18" max="18" width="16.33203125" style="96" bestFit="1" customWidth="1"/>
    <col min="19" max="19" width="14.44140625" style="96" bestFit="1" customWidth="1"/>
    <col min="20" max="20" width="15.88671875" style="96" bestFit="1" customWidth="1"/>
    <col min="21" max="21" width="17.88671875" style="96" customWidth="1"/>
    <col min="22" max="23" width="16.33203125" style="96" bestFit="1" customWidth="1"/>
    <col min="24" max="16384" width="8.88671875" style="96"/>
  </cols>
  <sheetData>
    <row r="2" spans="2:23" ht="13.8" thickBot="1"/>
    <row r="3" spans="2:23" ht="40.200000000000003" thickBot="1">
      <c r="B3" s="391" t="s">
        <v>4856</v>
      </c>
      <c r="C3" s="391" t="s">
        <v>4857</v>
      </c>
      <c r="D3" s="391" t="s">
        <v>3068</v>
      </c>
      <c r="E3" s="391" t="s">
        <v>4858</v>
      </c>
      <c r="F3" s="392" t="s">
        <v>4859</v>
      </c>
      <c r="G3" s="392" t="s">
        <v>4860</v>
      </c>
      <c r="H3" s="393" t="s">
        <v>4861</v>
      </c>
      <c r="I3" s="394"/>
      <c r="J3" s="1747">
        <v>2022</v>
      </c>
      <c r="K3" s="1748"/>
      <c r="L3" s="1749"/>
      <c r="M3" s="1750">
        <v>2023</v>
      </c>
      <c r="N3" s="1751"/>
      <c r="O3" s="1752"/>
      <c r="P3" s="1753">
        <v>2024</v>
      </c>
      <c r="Q3" s="1754"/>
      <c r="R3" s="1755"/>
      <c r="S3" s="1756">
        <v>2025</v>
      </c>
      <c r="T3" s="1757"/>
      <c r="U3" s="1758"/>
      <c r="V3" s="1745" t="s">
        <v>4862</v>
      </c>
      <c r="W3" s="1746"/>
    </row>
    <row r="4" spans="2:23" ht="13.8" thickBot="1">
      <c r="B4" s="728" t="s">
        <v>5236</v>
      </c>
      <c r="C4" s="379"/>
      <c r="D4" s="395"/>
      <c r="E4" s="379"/>
      <c r="F4" s="396"/>
      <c r="G4" s="396"/>
      <c r="H4" s="379"/>
      <c r="I4" s="397"/>
      <c r="J4" s="667"/>
      <c r="K4" s="668" t="s">
        <v>4863</v>
      </c>
      <c r="L4" s="669" t="s">
        <v>4864</v>
      </c>
      <c r="M4" s="399"/>
      <c r="N4" s="400" t="s">
        <v>4863</v>
      </c>
      <c r="O4" s="401" t="s">
        <v>4864</v>
      </c>
      <c r="P4" s="402"/>
      <c r="Q4" s="403" t="s">
        <v>4863</v>
      </c>
      <c r="R4" s="404" t="s">
        <v>4864</v>
      </c>
      <c r="S4" s="594"/>
      <c r="T4" s="398" t="s">
        <v>4863</v>
      </c>
      <c r="U4" s="580" t="s">
        <v>4864</v>
      </c>
      <c r="V4" s="405" t="s">
        <v>4863</v>
      </c>
      <c r="W4" s="406" t="s">
        <v>4864</v>
      </c>
    </row>
    <row r="5" spans="2:23" ht="13.8" thickBot="1">
      <c r="B5" s="380" t="s">
        <v>719</v>
      </c>
      <c r="C5" s="381" t="s">
        <v>720</v>
      </c>
      <c r="D5" s="382">
        <v>29268931</v>
      </c>
      <c r="E5" s="388" t="s">
        <v>4945</v>
      </c>
      <c r="F5" s="407">
        <v>500000</v>
      </c>
      <c r="G5" s="408">
        <v>605000</v>
      </c>
      <c r="H5" s="1101">
        <v>46022</v>
      </c>
      <c r="I5" s="410"/>
      <c r="J5" s="691"/>
      <c r="K5" s="692"/>
      <c r="L5" s="693"/>
      <c r="M5" s="411">
        <v>45167</v>
      </c>
      <c r="N5" s="412">
        <v>86400</v>
      </c>
      <c r="O5" s="413">
        <v>104544</v>
      </c>
      <c r="P5" s="414">
        <v>45324</v>
      </c>
      <c r="Q5" s="455">
        <v>46800</v>
      </c>
      <c r="R5" s="416">
        <v>56628</v>
      </c>
      <c r="S5" s="581">
        <v>45664</v>
      </c>
      <c r="T5" s="590">
        <v>33300</v>
      </c>
      <c r="U5" s="454">
        <v>40293</v>
      </c>
      <c r="V5" s="438">
        <f>SUM(F5-N12-Q12-T12)</f>
        <v>73400</v>
      </c>
      <c r="W5" s="439">
        <f>SUM(G5-O12-R12-U12)</f>
        <v>88814</v>
      </c>
    </row>
    <row r="6" spans="2:23">
      <c r="B6" s="384"/>
      <c r="C6" s="385"/>
      <c r="D6" s="379"/>
      <c r="E6" s="385"/>
      <c r="F6" s="417"/>
      <c r="G6" s="417"/>
      <c r="H6" s="418"/>
      <c r="I6" s="440"/>
      <c r="J6" s="683"/>
      <c r="K6" s="694"/>
      <c r="L6" s="695"/>
      <c r="M6" s="420">
        <v>45271</v>
      </c>
      <c r="N6" s="458">
        <v>55800</v>
      </c>
      <c r="O6" s="422">
        <v>67518</v>
      </c>
      <c r="P6" s="423">
        <v>45351</v>
      </c>
      <c r="Q6" s="424">
        <v>26100</v>
      </c>
      <c r="R6" s="425">
        <v>31581</v>
      </c>
      <c r="S6" s="582">
        <v>45751</v>
      </c>
      <c r="T6" s="456">
        <v>77400</v>
      </c>
      <c r="U6" s="457">
        <v>93654</v>
      </c>
      <c r="V6" s="426"/>
      <c r="W6" s="427"/>
    </row>
    <row r="7" spans="2:23">
      <c r="B7" s="386"/>
      <c r="C7" s="385"/>
      <c r="D7" s="379"/>
      <c r="E7" s="385"/>
      <c r="F7" s="417"/>
      <c r="G7" s="417"/>
      <c r="H7" s="418"/>
      <c r="I7" s="419"/>
      <c r="J7" s="678"/>
      <c r="K7" s="696"/>
      <c r="L7" s="697"/>
      <c r="M7" s="461"/>
      <c r="N7" s="462"/>
      <c r="O7" s="463"/>
      <c r="P7" s="464">
        <v>45377</v>
      </c>
      <c r="Q7" s="444">
        <v>28800</v>
      </c>
      <c r="R7" s="445">
        <v>34848</v>
      </c>
      <c r="S7" s="591">
        <v>45847</v>
      </c>
      <c r="T7" s="459">
        <v>27900</v>
      </c>
      <c r="U7" s="460">
        <v>33759</v>
      </c>
      <c r="V7" s="431"/>
      <c r="W7" s="432"/>
    </row>
    <row r="8" spans="2:23">
      <c r="B8" s="386"/>
      <c r="C8" s="385"/>
      <c r="D8" s="379"/>
      <c r="E8" s="385"/>
      <c r="F8" s="417"/>
      <c r="G8" s="417"/>
      <c r="H8" s="418"/>
      <c r="I8" s="419"/>
      <c r="J8" s="678"/>
      <c r="K8" s="696"/>
      <c r="L8" s="697"/>
      <c r="M8" s="461"/>
      <c r="N8" s="462"/>
      <c r="O8" s="463"/>
      <c r="P8" s="464"/>
      <c r="Q8" s="444"/>
      <c r="R8" s="445"/>
      <c r="S8" s="591">
        <v>45926</v>
      </c>
      <c r="T8" s="459">
        <v>44100</v>
      </c>
      <c r="U8" s="460">
        <v>53361</v>
      </c>
      <c r="V8" s="431"/>
      <c r="W8" s="432"/>
    </row>
    <row r="9" spans="2:23">
      <c r="B9" s="386"/>
      <c r="C9" s="385"/>
      <c r="D9" s="379"/>
      <c r="E9" s="385"/>
      <c r="F9" s="417"/>
      <c r="G9" s="417"/>
      <c r="H9" s="418"/>
      <c r="I9" s="419"/>
      <c r="J9" s="678"/>
      <c r="K9" s="696"/>
      <c r="L9" s="697"/>
      <c r="M9" s="461"/>
      <c r="N9" s="462"/>
      <c r="O9" s="463"/>
      <c r="P9" s="464"/>
      <c r="Q9" s="444"/>
      <c r="R9" s="445"/>
      <c r="S9" s="591"/>
      <c r="T9" s="459"/>
      <c r="U9" s="460"/>
      <c r="V9" s="431"/>
      <c r="W9" s="432"/>
    </row>
    <row r="10" spans="2:23">
      <c r="B10" s="386"/>
      <c r="C10" s="385"/>
      <c r="D10" s="379"/>
      <c r="E10" s="385"/>
      <c r="F10" s="417"/>
      <c r="G10" s="417"/>
      <c r="H10" s="418"/>
      <c r="I10" s="419"/>
      <c r="J10" s="678"/>
      <c r="K10" s="696"/>
      <c r="L10" s="697"/>
      <c r="M10" s="461"/>
      <c r="N10" s="462"/>
      <c r="O10" s="463"/>
      <c r="P10" s="464"/>
      <c r="Q10" s="444"/>
      <c r="R10" s="445"/>
      <c r="S10" s="591"/>
      <c r="T10" s="459"/>
      <c r="U10" s="460"/>
      <c r="V10" s="431"/>
      <c r="W10" s="432"/>
    </row>
    <row r="11" spans="2:23">
      <c r="B11" s="386"/>
      <c r="C11" s="385"/>
      <c r="D11" s="379"/>
      <c r="E11" s="385"/>
      <c r="F11" s="417"/>
      <c r="G11" s="417"/>
      <c r="H11" s="418"/>
      <c r="I11" s="419"/>
      <c r="J11" s="678"/>
      <c r="K11" s="696"/>
      <c r="L11" s="697"/>
      <c r="M11" s="461"/>
      <c r="N11" s="462"/>
      <c r="O11" s="463"/>
      <c r="P11" s="436"/>
      <c r="Q11" s="444"/>
      <c r="R11" s="445"/>
      <c r="S11" s="584"/>
      <c r="T11" s="459"/>
      <c r="U11" s="460"/>
      <c r="V11" s="431"/>
      <c r="W11" s="432"/>
    </row>
    <row r="12" spans="2:23" ht="13.8" thickBot="1">
      <c r="B12" s="387"/>
      <c r="C12" s="385"/>
      <c r="D12" s="379"/>
      <c r="E12" s="385"/>
      <c r="F12" s="417"/>
      <c r="G12" s="417"/>
      <c r="H12" s="418"/>
      <c r="I12" s="465" t="s">
        <v>4865</v>
      </c>
      <c r="J12" s="688"/>
      <c r="K12" s="698"/>
      <c r="L12" s="699"/>
      <c r="M12" s="449"/>
      <c r="N12" s="468">
        <v>142200</v>
      </c>
      <c r="O12" s="469">
        <v>172062</v>
      </c>
      <c r="P12" s="451"/>
      <c r="Q12" s="470">
        <f>SUM(Q5:Q11)</f>
        <v>101700</v>
      </c>
      <c r="R12" s="471">
        <f>SUM(R5:R11)</f>
        <v>123057</v>
      </c>
      <c r="S12" s="589"/>
      <c r="T12" s="447">
        <f>SUM(T5:T11)</f>
        <v>182700</v>
      </c>
      <c r="U12" s="448">
        <f>SUM(U5:U11)</f>
        <v>221067</v>
      </c>
      <c r="V12" s="431"/>
      <c r="W12" s="432"/>
    </row>
    <row r="13" spans="2:23" ht="13.8" thickBot="1">
      <c r="B13" s="380" t="s">
        <v>5637</v>
      </c>
      <c r="C13" s="381" t="s">
        <v>5692</v>
      </c>
      <c r="D13" s="382">
        <v>18383084</v>
      </c>
      <c r="E13" s="388" t="s">
        <v>4938</v>
      </c>
      <c r="F13" s="407">
        <v>600000</v>
      </c>
      <c r="G13" s="408">
        <v>726000</v>
      </c>
      <c r="H13" s="409">
        <v>46506</v>
      </c>
      <c r="I13" s="410"/>
      <c r="J13" s="691"/>
      <c r="K13" s="692"/>
      <c r="L13" s="693"/>
      <c r="M13" s="472"/>
      <c r="N13" s="412"/>
      <c r="O13" s="413"/>
      <c r="P13" s="437"/>
      <c r="Q13" s="415"/>
      <c r="R13" s="416"/>
      <c r="S13" s="1381">
        <v>45883</v>
      </c>
      <c r="T13" s="1301">
        <f>U13*100/121</f>
        <v>7665.2892561983472</v>
      </c>
      <c r="U13" s="1302">
        <v>9275</v>
      </c>
      <c r="V13" s="473">
        <f>SUM(F13-Q22-T22)</f>
        <v>516809.71074380167</v>
      </c>
      <c r="W13" s="474">
        <f>SUM(G13-R22-U22)</f>
        <v>625339.75</v>
      </c>
    </row>
    <row r="14" spans="2:23">
      <c r="B14" s="384"/>
      <c r="C14" s="385"/>
      <c r="D14" s="379"/>
      <c r="E14" s="389"/>
      <c r="F14" s="417"/>
      <c r="G14" s="417"/>
      <c r="H14" s="418"/>
      <c r="I14" s="440"/>
      <c r="J14" s="683"/>
      <c r="K14" s="694"/>
      <c r="L14" s="695"/>
      <c r="M14" s="475"/>
      <c r="N14" s="421"/>
      <c r="O14" s="422"/>
      <c r="P14" s="441"/>
      <c r="Q14" s="424"/>
      <c r="R14" s="425"/>
      <c r="S14" s="1382">
        <v>45890</v>
      </c>
      <c r="T14" s="1303">
        <f>U14*100/121</f>
        <v>16800</v>
      </c>
      <c r="U14" s="1304">
        <v>20328</v>
      </c>
      <c r="V14" s="426"/>
      <c r="W14" s="427"/>
    </row>
    <row r="15" spans="2:23">
      <c r="B15" s="386"/>
      <c r="C15" s="385"/>
      <c r="D15" s="379"/>
      <c r="E15" s="389"/>
      <c r="F15" s="417"/>
      <c r="G15" s="417"/>
      <c r="H15" s="418"/>
      <c r="I15" s="440"/>
      <c r="J15" s="678"/>
      <c r="K15" s="696"/>
      <c r="L15" s="697"/>
      <c r="M15" s="461"/>
      <c r="N15" s="462"/>
      <c r="O15" s="463"/>
      <c r="P15" s="436"/>
      <c r="Q15" s="444"/>
      <c r="R15" s="445"/>
      <c r="S15" s="591">
        <v>45933</v>
      </c>
      <c r="T15" s="459">
        <v>7350</v>
      </c>
      <c r="U15" s="460">
        <v>8893.5</v>
      </c>
      <c r="V15" s="431"/>
      <c r="W15" s="432"/>
    </row>
    <row r="16" spans="2:23">
      <c r="B16" s="386"/>
      <c r="C16" s="385"/>
      <c r="D16" s="379"/>
      <c r="E16" s="389"/>
      <c r="F16" s="417"/>
      <c r="G16" s="417"/>
      <c r="H16" s="418"/>
      <c r="I16" s="440"/>
      <c r="J16" s="678"/>
      <c r="K16" s="696"/>
      <c r="L16" s="697"/>
      <c r="M16" s="461"/>
      <c r="N16" s="462"/>
      <c r="O16" s="463"/>
      <c r="P16" s="436"/>
      <c r="Q16" s="444"/>
      <c r="R16" s="445"/>
      <c r="S16" s="591">
        <v>45971</v>
      </c>
      <c r="T16" s="459">
        <v>12600</v>
      </c>
      <c r="U16" s="460">
        <v>15246</v>
      </c>
      <c r="V16" s="431"/>
      <c r="W16" s="432"/>
    </row>
    <row r="17" spans="2:23">
      <c r="B17" s="386"/>
      <c r="C17" s="385"/>
      <c r="D17" s="379"/>
      <c r="E17" s="389"/>
      <c r="F17" s="417"/>
      <c r="G17" s="417"/>
      <c r="H17" s="418"/>
      <c r="I17" s="440"/>
      <c r="J17" s="678"/>
      <c r="K17" s="696"/>
      <c r="L17" s="697"/>
      <c r="M17" s="461"/>
      <c r="N17" s="462"/>
      <c r="O17" s="463"/>
      <c r="P17" s="436"/>
      <c r="Q17" s="444"/>
      <c r="R17" s="445"/>
      <c r="S17" s="591">
        <v>45982</v>
      </c>
      <c r="T17" s="1637">
        <v>13475</v>
      </c>
      <c r="U17" s="1638">
        <v>16304.75</v>
      </c>
      <c r="V17" s="431"/>
      <c r="W17" s="432"/>
    </row>
    <row r="18" spans="2:23">
      <c r="B18" s="386"/>
      <c r="C18" s="385"/>
      <c r="D18" s="379"/>
      <c r="E18" s="389"/>
      <c r="F18" s="417"/>
      <c r="G18" s="417"/>
      <c r="H18" s="418"/>
      <c r="I18" s="440"/>
      <c r="J18" s="678"/>
      <c r="K18" s="696"/>
      <c r="L18" s="697"/>
      <c r="M18" s="461"/>
      <c r="N18" s="462"/>
      <c r="O18" s="463"/>
      <c r="P18" s="436"/>
      <c r="Q18" s="444"/>
      <c r="R18" s="445"/>
      <c r="S18" s="1376">
        <v>46010</v>
      </c>
      <c r="T18" s="1430">
        <v>25300</v>
      </c>
      <c r="U18" s="1431">
        <v>30613</v>
      </c>
      <c r="V18" s="431"/>
      <c r="W18" s="432"/>
    </row>
    <row r="19" spans="2:23">
      <c r="B19" s="386"/>
      <c r="C19" s="385"/>
      <c r="D19" s="379"/>
      <c r="E19" s="389"/>
      <c r="F19" s="417"/>
      <c r="G19" s="417"/>
      <c r="H19" s="418"/>
      <c r="I19" s="440"/>
      <c r="J19" s="678"/>
      <c r="K19" s="696"/>
      <c r="L19" s="697"/>
      <c r="M19" s="461"/>
      <c r="N19" s="462"/>
      <c r="O19" s="463"/>
      <c r="P19" s="436"/>
      <c r="Q19" s="444"/>
      <c r="R19" s="445"/>
      <c r="S19" s="1376"/>
      <c r="T19" s="1430"/>
      <c r="U19" s="1431"/>
      <c r="V19" s="431"/>
      <c r="W19" s="432"/>
    </row>
    <row r="20" spans="2:23">
      <c r="B20" s="386"/>
      <c r="C20" s="385"/>
      <c r="D20" s="379"/>
      <c r="E20" s="389"/>
      <c r="F20" s="417"/>
      <c r="G20" s="417"/>
      <c r="H20" s="418"/>
      <c r="I20" s="440"/>
      <c r="J20" s="678"/>
      <c r="K20" s="696"/>
      <c r="L20" s="697"/>
      <c r="M20" s="461"/>
      <c r="N20" s="462"/>
      <c r="O20" s="463"/>
      <c r="P20" s="436"/>
      <c r="Q20" s="444"/>
      <c r="R20" s="445"/>
      <c r="S20" s="1376"/>
      <c r="T20" s="1430"/>
      <c r="U20" s="1431"/>
      <c r="V20" s="431"/>
      <c r="W20" s="432"/>
    </row>
    <row r="21" spans="2:23">
      <c r="B21" s="386"/>
      <c r="C21" s="385"/>
      <c r="D21" s="379"/>
      <c r="E21" s="389"/>
      <c r="F21" s="417"/>
      <c r="G21" s="417"/>
      <c r="H21" s="418"/>
      <c r="I21" s="419"/>
      <c r="J21" s="678"/>
      <c r="K21" s="696"/>
      <c r="L21" s="697"/>
      <c r="M21" s="461"/>
      <c r="N21" s="462"/>
      <c r="O21" s="463"/>
      <c r="P21" s="436"/>
      <c r="Q21" s="444"/>
      <c r="R21" s="445"/>
      <c r="S21" s="786"/>
      <c r="T21" s="459"/>
      <c r="U21" s="460"/>
      <c r="V21" s="431"/>
      <c r="W21" s="432"/>
    </row>
    <row r="22" spans="2:23" ht="13.8" thickBot="1">
      <c r="B22" s="386"/>
      <c r="C22" s="385"/>
      <c r="D22" s="379"/>
      <c r="E22" s="389"/>
      <c r="F22" s="417"/>
      <c r="G22" s="417"/>
      <c r="H22" s="418"/>
      <c r="I22" s="465" t="s">
        <v>4865</v>
      </c>
      <c r="J22" s="688"/>
      <c r="K22" s="698"/>
      <c r="L22" s="699"/>
      <c r="M22" s="449"/>
      <c r="N22" s="476"/>
      <c r="O22" s="477"/>
      <c r="P22" s="451"/>
      <c r="Q22" s="470"/>
      <c r="R22" s="471"/>
      <c r="S22" s="589"/>
      <c r="T22" s="447">
        <f>SUM(T13:T21)</f>
        <v>83190.289256198346</v>
      </c>
      <c r="U22" s="448">
        <f>SUM(U13:U21)</f>
        <v>100660.25</v>
      </c>
      <c r="V22" s="431"/>
    </row>
    <row r="23" spans="2:23" ht="13.8" thickBot="1">
      <c r="B23" s="1027" t="s">
        <v>5866</v>
      </c>
      <c r="C23" s="1028" t="s">
        <v>5868</v>
      </c>
      <c r="D23" s="1029">
        <v>25699032</v>
      </c>
      <c r="E23" s="1030" t="s">
        <v>5905</v>
      </c>
      <c r="F23" s="1031">
        <v>1000000</v>
      </c>
      <c r="G23" s="1032">
        <v>1210000</v>
      </c>
      <c r="H23" s="1033">
        <v>46575</v>
      </c>
      <c r="I23" s="410"/>
      <c r="J23" s="691"/>
      <c r="K23" s="692"/>
      <c r="L23" s="693"/>
      <c r="M23" s="472"/>
      <c r="N23" s="412"/>
      <c r="O23" s="413"/>
      <c r="P23" s="437"/>
      <c r="Q23" s="415"/>
      <c r="R23" s="416"/>
      <c r="S23" s="587"/>
      <c r="T23" s="453"/>
      <c r="U23" s="454"/>
      <c r="V23" s="473">
        <f>SUM(F23-Q27)</f>
        <v>1000000</v>
      </c>
      <c r="W23" s="474">
        <f>SUM(G23-R27)</f>
        <v>1210000</v>
      </c>
    </row>
    <row r="24" spans="2:23">
      <c r="B24" s="384"/>
      <c r="C24" s="385"/>
      <c r="D24" s="379"/>
      <c r="E24" s="389"/>
      <c r="F24" s="417"/>
      <c r="G24" s="417"/>
      <c r="H24" s="418"/>
      <c r="I24" s="440"/>
      <c r="J24" s="683"/>
      <c r="K24" s="694"/>
      <c r="L24" s="695"/>
      <c r="M24" s="475"/>
      <c r="N24" s="421"/>
      <c r="O24" s="422"/>
      <c r="P24" s="441"/>
      <c r="Q24" s="424"/>
      <c r="R24" s="425"/>
      <c r="S24" s="588"/>
      <c r="T24" s="456"/>
      <c r="U24" s="457"/>
      <c r="V24" s="426"/>
      <c r="W24" s="427"/>
    </row>
    <row r="25" spans="2:23">
      <c r="B25" s="386"/>
      <c r="C25" s="385"/>
      <c r="D25" s="379"/>
      <c r="E25" s="389"/>
      <c r="F25" s="417"/>
      <c r="G25" s="417"/>
      <c r="H25" s="418"/>
      <c r="I25" s="440"/>
      <c r="J25" s="678"/>
      <c r="K25" s="696"/>
      <c r="L25" s="697"/>
      <c r="M25" s="461"/>
      <c r="N25" s="462"/>
      <c r="O25" s="463"/>
      <c r="P25" s="436"/>
      <c r="Q25" s="444"/>
      <c r="R25" s="445"/>
      <c r="S25" s="584"/>
      <c r="T25" s="459"/>
      <c r="U25" s="460"/>
      <c r="V25" s="431"/>
      <c r="W25" s="432"/>
    </row>
    <row r="26" spans="2:23">
      <c r="B26" s="386"/>
      <c r="C26" s="385"/>
      <c r="D26" s="379"/>
      <c r="E26" s="389"/>
      <c r="F26" s="417"/>
      <c r="G26" s="417"/>
      <c r="H26" s="418"/>
      <c r="I26" s="419"/>
      <c r="J26" s="678"/>
      <c r="K26" s="696"/>
      <c r="L26" s="697"/>
      <c r="M26" s="461"/>
      <c r="N26" s="462"/>
      <c r="O26" s="463"/>
      <c r="P26" s="436"/>
      <c r="Q26" s="444"/>
      <c r="R26" s="445"/>
      <c r="S26" s="584"/>
      <c r="T26" s="459"/>
      <c r="U26" s="460"/>
      <c r="V26" s="431"/>
      <c r="W26" s="432"/>
    </row>
    <row r="27" spans="2:23" ht="13.8" thickBot="1">
      <c r="B27" s="386"/>
      <c r="C27" s="385"/>
      <c r="D27" s="379"/>
      <c r="E27" s="389"/>
      <c r="F27" s="417"/>
      <c r="G27" s="417"/>
      <c r="H27" s="418"/>
      <c r="I27" s="465" t="s">
        <v>4865</v>
      </c>
      <c r="J27" s="688"/>
      <c r="K27" s="698"/>
      <c r="L27" s="699"/>
      <c r="M27" s="449"/>
      <c r="N27" s="476"/>
      <c r="O27" s="477"/>
      <c r="P27" s="451"/>
      <c r="Q27" s="470"/>
      <c r="R27" s="471"/>
      <c r="S27" s="589"/>
      <c r="T27" s="466"/>
      <c r="U27" s="467"/>
      <c r="V27" s="431"/>
    </row>
    <row r="28" spans="2:23" ht="13.8" thickBot="1">
      <c r="B28" s="1027" t="s">
        <v>5892</v>
      </c>
      <c r="C28" s="1028" t="s">
        <v>5906</v>
      </c>
      <c r="D28" s="1029">
        <v>9275525</v>
      </c>
      <c r="E28" s="1030" t="s">
        <v>4948</v>
      </c>
      <c r="F28" s="1031">
        <v>750000</v>
      </c>
      <c r="G28" s="1032">
        <v>907500</v>
      </c>
      <c r="H28" s="1033">
        <v>46575</v>
      </c>
      <c r="I28" s="410"/>
      <c r="J28" s="691"/>
      <c r="K28" s="692"/>
      <c r="L28" s="693"/>
      <c r="M28" s="472"/>
      <c r="N28" s="412"/>
      <c r="O28" s="413"/>
      <c r="P28" s="437"/>
      <c r="Q28" s="415"/>
      <c r="R28" s="416"/>
      <c r="S28" s="1381">
        <v>45910</v>
      </c>
      <c r="T28" s="1301">
        <f>U28*100/121</f>
        <v>3200</v>
      </c>
      <c r="U28" s="1302">
        <v>3872</v>
      </c>
      <c r="V28" s="473">
        <f>SUM(F28-Q35-T35)</f>
        <v>724800</v>
      </c>
      <c r="W28" s="474">
        <f>SUM(G28-R35-U35)</f>
        <v>877008</v>
      </c>
    </row>
    <row r="29" spans="2:23">
      <c r="B29" s="384"/>
      <c r="C29" s="385"/>
      <c r="D29" s="379"/>
      <c r="E29" s="389"/>
      <c r="F29" s="417"/>
      <c r="G29" s="417"/>
      <c r="H29" s="418"/>
      <c r="I29" s="440"/>
      <c r="J29" s="683"/>
      <c r="K29" s="694"/>
      <c r="L29" s="695"/>
      <c r="M29" s="475"/>
      <c r="N29" s="421"/>
      <c r="O29" s="422"/>
      <c r="P29" s="441"/>
      <c r="Q29" s="424"/>
      <c r="R29" s="425"/>
      <c r="S29" s="1382">
        <v>45969</v>
      </c>
      <c r="T29" s="1303">
        <f>U29*100/121</f>
        <v>6400</v>
      </c>
      <c r="U29" s="1304">
        <v>7744</v>
      </c>
      <c r="V29" s="426"/>
      <c r="W29" s="427"/>
    </row>
    <row r="30" spans="2:23">
      <c r="B30" s="386"/>
      <c r="C30" s="385"/>
      <c r="D30" s="379"/>
      <c r="E30" s="389"/>
      <c r="F30" s="417"/>
      <c r="G30" s="417"/>
      <c r="H30" s="418"/>
      <c r="I30" s="440"/>
      <c r="J30" s="678"/>
      <c r="K30" s="696"/>
      <c r="L30" s="697"/>
      <c r="M30" s="461"/>
      <c r="N30" s="462"/>
      <c r="O30" s="463"/>
      <c r="P30" s="436"/>
      <c r="Q30" s="444"/>
      <c r="R30" s="445"/>
      <c r="S30" s="1312">
        <v>46001</v>
      </c>
      <c r="T30" s="1428">
        <v>15600</v>
      </c>
      <c r="U30" s="1429">
        <v>18876</v>
      </c>
      <c r="V30" s="431"/>
      <c r="W30" s="432"/>
    </row>
    <row r="31" spans="2:23">
      <c r="B31" s="386"/>
      <c r="C31" s="385"/>
      <c r="D31" s="379"/>
      <c r="E31" s="389"/>
      <c r="F31" s="417"/>
      <c r="G31" s="417"/>
      <c r="H31" s="418"/>
      <c r="I31" s="440"/>
      <c r="J31" s="678"/>
      <c r="K31" s="696"/>
      <c r="L31" s="697"/>
      <c r="M31" s="461"/>
      <c r="N31" s="462"/>
      <c r="O31" s="463"/>
      <c r="P31" s="436"/>
      <c r="Q31" s="444"/>
      <c r="R31" s="445"/>
      <c r="S31" s="1312"/>
      <c r="T31" s="1428"/>
      <c r="U31" s="1429"/>
      <c r="V31" s="431"/>
      <c r="W31" s="432"/>
    </row>
    <row r="32" spans="2:23">
      <c r="B32" s="386"/>
      <c r="C32" s="385"/>
      <c r="D32" s="379"/>
      <c r="E32" s="389"/>
      <c r="F32" s="417"/>
      <c r="G32" s="417"/>
      <c r="H32" s="418"/>
      <c r="I32" s="440"/>
      <c r="J32" s="678"/>
      <c r="K32" s="696"/>
      <c r="L32" s="697"/>
      <c r="M32" s="461"/>
      <c r="N32" s="462"/>
      <c r="O32" s="463"/>
      <c r="P32" s="436"/>
      <c r="Q32" s="444"/>
      <c r="R32" s="445"/>
      <c r="S32" s="1312"/>
      <c r="T32" s="1428"/>
      <c r="U32" s="1429"/>
      <c r="V32" s="431"/>
      <c r="W32" s="432"/>
    </row>
    <row r="33" spans="2:23">
      <c r="B33" s="386"/>
      <c r="C33" s="385"/>
      <c r="D33" s="379"/>
      <c r="E33" s="389"/>
      <c r="F33" s="417"/>
      <c r="G33" s="417"/>
      <c r="H33" s="418"/>
      <c r="I33" s="440"/>
      <c r="J33" s="678"/>
      <c r="K33" s="696"/>
      <c r="L33" s="697"/>
      <c r="M33" s="461"/>
      <c r="N33" s="462"/>
      <c r="O33" s="463"/>
      <c r="P33" s="436"/>
      <c r="Q33" s="444"/>
      <c r="R33" s="445"/>
      <c r="S33" s="1312"/>
      <c r="T33" s="1428"/>
      <c r="U33" s="1429"/>
      <c r="V33" s="431"/>
      <c r="W33" s="432"/>
    </row>
    <row r="34" spans="2:23">
      <c r="B34" s="386"/>
      <c r="C34" s="385"/>
      <c r="D34" s="379"/>
      <c r="E34" s="389"/>
      <c r="F34" s="417"/>
      <c r="G34" s="417"/>
      <c r="H34" s="418"/>
      <c r="I34" s="419"/>
      <c r="J34" s="678"/>
      <c r="K34" s="696"/>
      <c r="L34" s="697"/>
      <c r="M34" s="461"/>
      <c r="N34" s="462"/>
      <c r="O34" s="463"/>
      <c r="P34" s="436"/>
      <c r="Q34" s="444"/>
      <c r="R34" s="445"/>
      <c r="S34" s="1305"/>
      <c r="T34" s="1306"/>
      <c r="U34" s="1307"/>
      <c r="V34" s="431"/>
      <c r="W34" s="432"/>
    </row>
    <row r="35" spans="2:23" ht="13.8" thickBot="1">
      <c r="B35" s="386"/>
      <c r="C35" s="385"/>
      <c r="D35" s="379"/>
      <c r="E35" s="389"/>
      <c r="F35" s="417"/>
      <c r="G35" s="417"/>
      <c r="H35" s="418"/>
      <c r="I35" s="465" t="s">
        <v>4865</v>
      </c>
      <c r="J35" s="688"/>
      <c r="K35" s="698"/>
      <c r="L35" s="699"/>
      <c r="M35" s="449"/>
      <c r="N35" s="476"/>
      <c r="O35" s="477"/>
      <c r="P35" s="451"/>
      <c r="Q35" s="470"/>
      <c r="R35" s="471"/>
      <c r="S35" s="1308"/>
      <c r="T35" s="1309">
        <f>SUM(T28:T34)</f>
        <v>25200</v>
      </c>
      <c r="U35" s="1310">
        <f>SUM(U28:U34)</f>
        <v>30492</v>
      </c>
      <c r="V35" s="431"/>
    </row>
    <row r="37" spans="2:23">
      <c r="B37" s="729" t="s">
        <v>5235</v>
      </c>
    </row>
    <row r="38" spans="2:23" ht="13.8" thickBot="1"/>
    <row r="39" spans="2:23" ht="13.8" thickBot="1">
      <c r="B39" s="380" t="s">
        <v>4609</v>
      </c>
      <c r="C39" s="381" t="s">
        <v>893</v>
      </c>
      <c r="D39" s="382">
        <v>26746131</v>
      </c>
      <c r="E39" s="388" t="s">
        <v>4947</v>
      </c>
      <c r="F39" s="407">
        <v>150000</v>
      </c>
      <c r="G39" s="408">
        <v>181500</v>
      </c>
      <c r="H39" s="1101">
        <v>46022</v>
      </c>
      <c r="I39" s="410"/>
      <c r="J39" s="691"/>
      <c r="K39" s="692"/>
      <c r="L39" s="693"/>
      <c r="M39" s="472"/>
      <c r="N39" s="412"/>
      <c r="O39" s="413"/>
      <c r="P39" s="414">
        <v>45565</v>
      </c>
      <c r="Q39" s="415">
        <v>45625</v>
      </c>
      <c r="R39" s="416">
        <v>55206.3</v>
      </c>
      <c r="S39" s="581">
        <v>45743</v>
      </c>
      <c r="T39" s="453">
        <v>7031.25</v>
      </c>
      <c r="U39" s="454">
        <v>8507.81</v>
      </c>
      <c r="V39" s="473">
        <f>SUM(F39-Q43-T43)</f>
        <v>38593.688016528933</v>
      </c>
      <c r="W39" s="474">
        <f>SUM(G39-R43-U43)</f>
        <v>46698.28</v>
      </c>
    </row>
    <row r="40" spans="2:23">
      <c r="B40" s="384"/>
      <c r="C40" s="390"/>
      <c r="D40" s="506"/>
      <c r="E40" s="507"/>
      <c r="F40" s="482"/>
      <c r="G40" s="482"/>
      <c r="H40" s="483"/>
      <c r="I40" s="440"/>
      <c r="J40" s="700"/>
      <c r="K40" s="701"/>
      <c r="L40" s="702"/>
      <c r="M40" s="500"/>
      <c r="N40" s="458"/>
      <c r="O40" s="501"/>
      <c r="P40" s="502">
        <v>45597</v>
      </c>
      <c r="Q40" s="503">
        <f>7940.7*100/121</f>
        <v>6562.5619834710742</v>
      </c>
      <c r="R40" s="508">
        <v>7940.7</v>
      </c>
      <c r="S40" s="592">
        <v>45959</v>
      </c>
      <c r="T40" s="498">
        <v>35156.25</v>
      </c>
      <c r="U40" s="499">
        <v>42539.06</v>
      </c>
      <c r="V40" s="504"/>
      <c r="W40" s="505"/>
    </row>
    <row r="41" spans="2:23">
      <c r="B41" s="386"/>
      <c r="C41" s="385"/>
      <c r="D41" s="379"/>
      <c r="E41" s="389"/>
      <c r="F41" s="417"/>
      <c r="G41" s="417"/>
      <c r="H41" s="484"/>
      <c r="I41" s="440"/>
      <c r="J41" s="700"/>
      <c r="K41" s="701"/>
      <c r="L41" s="702"/>
      <c r="M41" s="500"/>
      <c r="N41" s="458"/>
      <c r="O41" s="501"/>
      <c r="P41" s="502">
        <v>45624</v>
      </c>
      <c r="Q41" s="503">
        <v>17031.25</v>
      </c>
      <c r="R41" s="508">
        <v>20607.849999999999</v>
      </c>
      <c r="S41" s="592"/>
      <c r="T41" s="498"/>
      <c r="U41" s="499"/>
      <c r="V41" s="509"/>
      <c r="W41" s="510"/>
    </row>
    <row r="42" spans="2:23">
      <c r="B42" s="386"/>
      <c r="C42" s="385"/>
      <c r="D42" s="385"/>
      <c r="E42" s="385"/>
      <c r="F42" s="417"/>
      <c r="G42" s="417"/>
      <c r="H42" s="484"/>
      <c r="I42" s="419"/>
      <c r="J42" s="683"/>
      <c r="K42" s="694"/>
      <c r="L42" s="695"/>
      <c r="M42" s="475"/>
      <c r="N42" s="421"/>
      <c r="O42" s="422"/>
      <c r="P42" s="441"/>
      <c r="Q42" s="424"/>
      <c r="R42" s="425"/>
      <c r="S42" s="588"/>
      <c r="T42" s="456"/>
      <c r="U42" s="457"/>
      <c r="V42" s="431"/>
      <c r="W42" s="432"/>
    </row>
    <row r="43" spans="2:23" ht="13.8" thickBot="1">
      <c r="B43" s="386"/>
      <c r="C43" s="385"/>
      <c r="D43" s="385"/>
      <c r="E43" s="385"/>
      <c r="F43" s="417"/>
      <c r="G43" s="417"/>
      <c r="H43" s="484"/>
      <c r="I43" s="465" t="s">
        <v>4865</v>
      </c>
      <c r="J43" s="688"/>
      <c r="K43" s="698"/>
      <c r="L43" s="699"/>
      <c r="M43" s="449"/>
      <c r="N43" s="476"/>
      <c r="O43" s="477"/>
      <c r="P43" s="451"/>
      <c r="Q43" s="470">
        <f>SUM(Q39:Q42)</f>
        <v>69218.811983471067</v>
      </c>
      <c r="R43" s="471">
        <f>SUM(R39:R42)</f>
        <v>83754.850000000006</v>
      </c>
      <c r="S43" s="589"/>
      <c r="T43" s="447">
        <f>SUM(T39:T42)</f>
        <v>42187.5</v>
      </c>
      <c r="U43" s="448">
        <f>SUM(U39:U42)</f>
        <v>51046.869999999995</v>
      </c>
      <c r="V43" s="431"/>
      <c r="W43" s="432"/>
    </row>
    <row r="44" spans="2:23" ht="13.8" thickBot="1">
      <c r="B44" s="1027" t="s">
        <v>6062</v>
      </c>
      <c r="C44" s="1028" t="s">
        <v>6285</v>
      </c>
      <c r="D44" s="1029">
        <v>49516736</v>
      </c>
      <c r="E44" s="1030" t="s">
        <v>6286</v>
      </c>
      <c r="F44" s="1612" t="s">
        <v>5445</v>
      </c>
      <c r="G44" s="1032">
        <v>770230</v>
      </c>
      <c r="H44" s="1033">
        <v>46142</v>
      </c>
      <c r="I44" s="410"/>
      <c r="J44" s="691"/>
      <c r="K44" s="692"/>
      <c r="L44" s="693"/>
      <c r="M44" s="472"/>
      <c r="N44" s="412"/>
      <c r="O44" s="413"/>
      <c r="P44" s="414"/>
      <c r="Q44" s="415"/>
      <c r="R44" s="416"/>
      <c r="S44" s="581">
        <v>45996</v>
      </c>
      <c r="T44" s="1610"/>
      <c r="U44" s="454">
        <v>100000</v>
      </c>
      <c r="V44" s="1611" t="s">
        <v>5445</v>
      </c>
      <c r="W44" s="474">
        <f>SUM(G44-R48-U48)</f>
        <v>670230</v>
      </c>
    </row>
    <row r="45" spans="2:23">
      <c r="B45" s="384"/>
      <c r="C45" s="390"/>
      <c r="D45" s="506"/>
      <c r="E45" s="507"/>
      <c r="F45" s="482"/>
      <c r="G45" s="482"/>
      <c r="H45" s="483"/>
      <c r="I45" s="440"/>
      <c r="J45" s="700"/>
      <c r="K45" s="701"/>
      <c r="L45" s="702"/>
      <c r="M45" s="500"/>
      <c r="N45" s="458"/>
      <c r="O45" s="501"/>
      <c r="P45" s="502"/>
      <c r="Q45" s="503"/>
      <c r="R45" s="508"/>
      <c r="S45" s="592"/>
      <c r="T45" s="498"/>
      <c r="U45" s="499"/>
      <c r="V45" s="504"/>
      <c r="W45" s="505"/>
    </row>
    <row r="46" spans="2:23">
      <c r="B46" s="386"/>
      <c r="C46" s="385"/>
      <c r="D46" s="379"/>
      <c r="E46" s="389"/>
      <c r="F46" s="417"/>
      <c r="G46" s="417"/>
      <c r="H46" s="484"/>
      <c r="I46" s="440"/>
      <c r="J46" s="700"/>
      <c r="K46" s="701"/>
      <c r="L46" s="702"/>
      <c r="M46" s="500"/>
      <c r="N46" s="458"/>
      <c r="O46" s="501"/>
      <c r="P46" s="502"/>
      <c r="Q46" s="503"/>
      <c r="R46" s="508"/>
      <c r="S46" s="592"/>
      <c r="T46" s="498"/>
      <c r="U46" s="499"/>
      <c r="V46" s="509"/>
      <c r="W46" s="510"/>
    </row>
    <row r="47" spans="2:23">
      <c r="B47" s="386"/>
      <c r="C47" s="385"/>
      <c r="D47" s="385"/>
      <c r="E47" s="385"/>
      <c r="F47" s="417"/>
      <c r="G47" s="417"/>
      <c r="H47" s="484"/>
      <c r="I47" s="419"/>
      <c r="J47" s="683"/>
      <c r="K47" s="694"/>
      <c r="L47" s="695"/>
      <c r="M47" s="475"/>
      <c r="N47" s="421"/>
      <c r="O47" s="422"/>
      <c r="P47" s="441"/>
      <c r="Q47" s="424"/>
      <c r="R47" s="425"/>
      <c r="S47" s="588"/>
      <c r="T47" s="456"/>
      <c r="U47" s="457"/>
      <c r="V47" s="431"/>
      <c r="W47" s="432"/>
    </row>
    <row r="48" spans="2:23" ht="13.8" thickBot="1">
      <c r="B48" s="386"/>
      <c r="C48" s="385"/>
      <c r="D48" s="385"/>
      <c r="E48" s="385"/>
      <c r="F48" s="417"/>
      <c r="G48" s="417"/>
      <c r="H48" s="484"/>
      <c r="I48" s="465" t="s">
        <v>4865</v>
      </c>
      <c r="J48" s="688"/>
      <c r="K48" s="698"/>
      <c r="L48" s="699"/>
      <c r="M48" s="449"/>
      <c r="N48" s="476"/>
      <c r="O48" s="477"/>
      <c r="P48" s="451"/>
      <c r="Q48" s="470">
        <f>SUM(Q44:Q47)</f>
        <v>0</v>
      </c>
      <c r="R48" s="471">
        <f>SUM(R44:R47)</f>
        <v>0</v>
      </c>
      <c r="S48" s="589"/>
      <c r="T48" s="447">
        <f>SUM(T44:T47)</f>
        <v>0</v>
      </c>
      <c r="U48" s="448">
        <f>SUM(U44:U47)</f>
        <v>100000</v>
      </c>
      <c r="V48" s="431"/>
      <c r="W48" s="432"/>
    </row>
    <row r="51" spans="1:23">
      <c r="A51" s="112"/>
      <c r="B51" s="730" t="s">
        <v>5234</v>
      </c>
      <c r="C51" s="210"/>
      <c r="D51" s="163"/>
      <c r="E51" s="210"/>
      <c r="F51" s="211"/>
      <c r="G51" s="211"/>
      <c r="H51" s="212"/>
      <c r="I51" s="717"/>
      <c r="J51" s="432"/>
      <c r="K51" s="713"/>
      <c r="L51" s="713"/>
      <c r="M51" s="225"/>
      <c r="N51" s="710"/>
      <c r="O51" s="710"/>
      <c r="P51" s="432"/>
      <c r="Q51" s="510"/>
      <c r="R51" s="510"/>
      <c r="S51" s="225"/>
      <c r="T51" s="710"/>
      <c r="U51" s="710"/>
      <c r="V51" s="225"/>
      <c r="W51" s="225"/>
    </row>
    <row r="52" spans="1:23" ht="13.8" thickBot="1">
      <c r="A52" s="112"/>
      <c r="B52" s="266"/>
      <c r="C52" s="210"/>
      <c r="D52" s="163"/>
      <c r="E52" s="210"/>
      <c r="F52" s="211"/>
      <c r="G52" s="211"/>
      <c r="H52" s="212"/>
      <c r="I52" s="711"/>
      <c r="J52" s="432"/>
      <c r="K52" s="712"/>
      <c r="L52" s="713"/>
      <c r="M52" s="276"/>
      <c r="N52" s="710"/>
      <c r="O52" s="714"/>
      <c r="P52" s="432"/>
      <c r="Q52" s="715"/>
      <c r="R52" s="510"/>
      <c r="S52" s="276"/>
      <c r="T52" s="710"/>
      <c r="U52" s="714"/>
      <c r="V52" s="276"/>
      <c r="W52" s="276"/>
    </row>
    <row r="53" spans="1:23" ht="13.8" thickBot="1">
      <c r="B53" s="380" t="s">
        <v>433</v>
      </c>
      <c r="C53" s="381" t="s">
        <v>434</v>
      </c>
      <c r="D53" s="382">
        <v>5732069</v>
      </c>
      <c r="E53" s="388" t="s">
        <v>3700</v>
      </c>
      <c r="F53" s="407">
        <v>490000</v>
      </c>
      <c r="G53" s="408">
        <v>592900</v>
      </c>
      <c r="H53" s="409">
        <v>45657</v>
      </c>
      <c r="I53" s="410"/>
      <c r="J53" s="691"/>
      <c r="K53" s="692"/>
      <c r="L53" s="693"/>
      <c r="M53" s="472"/>
      <c r="N53" s="412"/>
      <c r="O53" s="413"/>
      <c r="P53" s="414">
        <v>45503</v>
      </c>
      <c r="Q53" s="415">
        <f>71995*100/121</f>
        <v>59500</v>
      </c>
      <c r="R53" s="416">
        <v>71995</v>
      </c>
      <c r="S53" s="581">
        <v>46019</v>
      </c>
      <c r="T53" s="453">
        <v>135000</v>
      </c>
      <c r="U53" s="454">
        <v>163350</v>
      </c>
      <c r="V53" s="473">
        <f>SUM(F53-Q57-T57)</f>
        <v>295500</v>
      </c>
      <c r="W53" s="474">
        <f>SUM(G53-R57-U57)</f>
        <v>357405</v>
      </c>
    </row>
    <row r="54" spans="1:23">
      <c r="B54" s="384"/>
      <c r="C54" s="390"/>
      <c r="D54" s="390"/>
      <c r="E54" s="390"/>
      <c r="F54" s="482"/>
      <c r="G54" s="482"/>
      <c r="H54" s="483"/>
      <c r="I54" s="419"/>
      <c r="J54" s="683"/>
      <c r="K54" s="694"/>
      <c r="L54" s="695"/>
      <c r="M54" s="475"/>
      <c r="N54" s="421"/>
      <c r="O54" s="422"/>
      <c r="P54" s="719" t="s">
        <v>5445</v>
      </c>
      <c r="Q54" s="665" t="s">
        <v>5445</v>
      </c>
      <c r="R54" s="666" t="s">
        <v>5445</v>
      </c>
      <c r="S54" s="588"/>
      <c r="T54" s="456"/>
      <c r="U54" s="457"/>
    </row>
    <row r="55" spans="1:23">
      <c r="B55" s="386"/>
      <c r="C55" s="385"/>
      <c r="D55" s="385"/>
      <c r="E55" s="385"/>
      <c r="F55" s="417"/>
      <c r="G55" s="417"/>
      <c r="H55" s="484"/>
      <c r="I55" s="434"/>
      <c r="J55" s="678"/>
      <c r="K55" s="696"/>
      <c r="L55" s="697"/>
      <c r="M55" s="461"/>
      <c r="N55" s="462"/>
      <c r="O55" s="463"/>
      <c r="P55" s="436"/>
      <c r="Q55" s="444"/>
      <c r="R55" s="445"/>
      <c r="S55" s="584"/>
      <c r="T55" s="459"/>
      <c r="U55" s="460"/>
    </row>
    <row r="56" spans="1:23">
      <c r="B56" s="386"/>
      <c r="C56" s="385"/>
      <c r="D56" s="385"/>
      <c r="E56" s="385"/>
      <c r="F56" s="417"/>
      <c r="G56" s="417"/>
      <c r="H56" s="484"/>
      <c r="I56" s="434"/>
      <c r="J56" s="678"/>
      <c r="K56" s="696"/>
      <c r="L56" s="697"/>
      <c r="M56" s="461"/>
      <c r="N56" s="462"/>
      <c r="O56" s="463"/>
      <c r="P56" s="436"/>
      <c r="Q56" s="444"/>
      <c r="R56" s="445"/>
      <c r="S56" s="584"/>
      <c r="T56" s="459"/>
      <c r="U56" s="460"/>
    </row>
    <row r="57" spans="1:23" ht="13.8" thickBot="1">
      <c r="B57" s="386"/>
      <c r="C57" s="385"/>
      <c r="D57" s="385"/>
      <c r="E57" s="385"/>
      <c r="F57" s="417"/>
      <c r="G57" s="417"/>
      <c r="H57" s="484"/>
      <c r="I57" s="465" t="s">
        <v>4865</v>
      </c>
      <c r="J57" s="688"/>
      <c r="K57" s="698"/>
      <c r="L57" s="699"/>
      <c r="M57" s="449"/>
      <c r="N57" s="476"/>
      <c r="O57" s="477"/>
      <c r="P57" s="451"/>
      <c r="Q57" s="470">
        <f>SUM(Q53:Q56)</f>
        <v>59500</v>
      </c>
      <c r="R57" s="471">
        <f>SUM(R53:R56)</f>
        <v>71995</v>
      </c>
      <c r="S57" s="589"/>
      <c r="T57" s="447">
        <v>135000</v>
      </c>
      <c r="U57" s="448">
        <v>163500</v>
      </c>
    </row>
    <row r="58" spans="1:23" ht="13.8" thickBot="1">
      <c r="B58" s="380" t="s">
        <v>5271</v>
      </c>
      <c r="C58" s="381" t="s">
        <v>5298</v>
      </c>
      <c r="D58" s="382">
        <v>5732069</v>
      </c>
      <c r="E58" s="388" t="s">
        <v>3700</v>
      </c>
      <c r="F58" s="407">
        <v>2000000</v>
      </c>
      <c r="G58" s="408">
        <v>2420000</v>
      </c>
      <c r="H58" s="409">
        <v>46781</v>
      </c>
      <c r="I58" s="410"/>
      <c r="J58" s="691"/>
      <c r="K58" s="692"/>
      <c r="L58" s="693"/>
      <c r="M58" s="472"/>
      <c r="N58" s="412"/>
      <c r="O58" s="413"/>
      <c r="P58" s="659"/>
      <c r="Q58" s="415"/>
      <c r="R58" s="416"/>
      <c r="S58" s="581">
        <v>45757</v>
      </c>
      <c r="T58" s="453">
        <v>55800</v>
      </c>
      <c r="U58" s="454">
        <v>67518</v>
      </c>
      <c r="V58" s="473">
        <f>SUM(F58-Q91-T91)</f>
        <v>776200</v>
      </c>
      <c r="W58" s="474">
        <f>SUM(G58-R91-U91)</f>
        <v>939202.5</v>
      </c>
    </row>
    <row r="59" spans="1:23">
      <c r="B59" s="384"/>
      <c r="C59" s="390"/>
      <c r="D59" s="390"/>
      <c r="E59" s="390"/>
      <c r="F59" s="482"/>
      <c r="G59" s="482"/>
      <c r="H59" s="483"/>
      <c r="I59" s="419"/>
      <c r="J59" s="683"/>
      <c r="K59" s="694"/>
      <c r="L59" s="695"/>
      <c r="M59" s="475"/>
      <c r="N59" s="421"/>
      <c r="O59" s="422"/>
      <c r="P59" s="660"/>
      <c r="Q59" s="424"/>
      <c r="R59" s="425"/>
      <c r="S59" s="582">
        <v>45784</v>
      </c>
      <c r="T59" s="456">
        <v>13500</v>
      </c>
      <c r="U59" s="457">
        <v>16335</v>
      </c>
    </row>
    <row r="60" spans="1:23">
      <c r="B60" s="386"/>
      <c r="C60" s="385"/>
      <c r="D60" s="385"/>
      <c r="E60" s="385"/>
      <c r="F60" s="417"/>
      <c r="G60" s="417"/>
      <c r="H60" s="484"/>
      <c r="I60" s="434"/>
      <c r="J60" s="678"/>
      <c r="K60" s="696"/>
      <c r="L60" s="697"/>
      <c r="M60" s="461"/>
      <c r="N60" s="462"/>
      <c r="O60" s="463"/>
      <c r="P60" s="661"/>
      <c r="Q60" s="444"/>
      <c r="R60" s="445"/>
      <c r="S60" s="591">
        <v>45821</v>
      </c>
      <c r="T60" s="459">
        <v>109800</v>
      </c>
      <c r="U60" s="460">
        <v>132858</v>
      </c>
    </row>
    <row r="61" spans="1:23">
      <c r="B61" s="386"/>
      <c r="C61" s="385"/>
      <c r="D61" s="385"/>
      <c r="E61" s="385"/>
      <c r="F61" s="417"/>
      <c r="G61" s="417"/>
      <c r="H61" s="484"/>
      <c r="I61" s="434"/>
      <c r="J61" s="678"/>
      <c r="K61" s="696"/>
      <c r="L61" s="697"/>
      <c r="M61" s="461"/>
      <c r="N61" s="462"/>
      <c r="O61" s="463"/>
      <c r="P61" s="661"/>
      <c r="Q61" s="444"/>
      <c r="R61" s="445"/>
      <c r="S61" s="591">
        <v>45847</v>
      </c>
      <c r="T61" s="459">
        <v>88200</v>
      </c>
      <c r="U61" s="460">
        <v>106722</v>
      </c>
    </row>
    <row r="62" spans="1:23">
      <c r="B62" s="386"/>
      <c r="C62" s="385"/>
      <c r="D62" s="385"/>
      <c r="E62" s="385"/>
      <c r="F62" s="417"/>
      <c r="G62" s="417"/>
      <c r="H62" s="484"/>
      <c r="I62" s="434"/>
      <c r="J62" s="678"/>
      <c r="K62" s="696"/>
      <c r="L62" s="697"/>
      <c r="M62" s="461"/>
      <c r="N62" s="462"/>
      <c r="O62" s="463"/>
      <c r="P62" s="661"/>
      <c r="Q62" s="444"/>
      <c r="R62" s="445"/>
      <c r="S62" s="591">
        <v>45875</v>
      </c>
      <c r="T62" s="459">
        <v>51750</v>
      </c>
      <c r="U62" s="460">
        <v>62617.5</v>
      </c>
    </row>
    <row r="63" spans="1:23">
      <c r="B63" s="386"/>
      <c r="C63" s="385"/>
      <c r="D63" s="385"/>
      <c r="E63" s="385"/>
      <c r="F63" s="417"/>
      <c r="G63" s="417"/>
      <c r="H63" s="484"/>
      <c r="I63" s="434"/>
      <c r="J63" s="678"/>
      <c r="K63" s="696"/>
      <c r="L63" s="697"/>
      <c r="M63" s="461"/>
      <c r="N63" s="462"/>
      <c r="O63" s="463"/>
      <c r="P63" s="661"/>
      <c r="Q63" s="444"/>
      <c r="R63" s="445"/>
      <c r="S63" s="1311">
        <v>45910</v>
      </c>
      <c r="T63" s="1306">
        <v>26100</v>
      </c>
      <c r="U63" s="1307">
        <v>31581</v>
      </c>
    </row>
    <row r="64" spans="1:23">
      <c r="B64" s="386"/>
      <c r="C64" s="385"/>
      <c r="D64" s="385"/>
      <c r="E64" s="385"/>
      <c r="F64" s="417"/>
      <c r="G64" s="417"/>
      <c r="H64" s="484"/>
      <c r="I64" s="434"/>
      <c r="J64" s="678"/>
      <c r="K64" s="696"/>
      <c r="L64" s="697"/>
      <c r="M64" s="461"/>
      <c r="N64" s="462"/>
      <c r="O64" s="463"/>
      <c r="P64" s="661"/>
      <c r="Q64" s="444"/>
      <c r="R64" s="445"/>
      <c r="S64" s="591">
        <v>45944</v>
      </c>
      <c r="T64" s="459">
        <v>60300</v>
      </c>
      <c r="U64" s="460">
        <v>72963</v>
      </c>
    </row>
    <row r="65" spans="2:21">
      <c r="B65" s="386"/>
      <c r="C65" s="385"/>
      <c r="D65" s="385"/>
      <c r="E65" s="385"/>
      <c r="F65" s="417"/>
      <c r="G65" s="417"/>
      <c r="H65" s="484"/>
      <c r="I65" s="434"/>
      <c r="J65" s="678"/>
      <c r="K65" s="696"/>
      <c r="L65" s="697"/>
      <c r="M65" s="461"/>
      <c r="N65" s="462"/>
      <c r="O65" s="463"/>
      <c r="P65" s="661"/>
      <c r="Q65" s="444"/>
      <c r="R65" s="445"/>
      <c r="S65" s="591">
        <v>45968</v>
      </c>
      <c r="T65" s="459">
        <v>69750</v>
      </c>
      <c r="U65" s="460">
        <v>84397.5</v>
      </c>
    </row>
    <row r="66" spans="2:21">
      <c r="B66" s="386"/>
      <c r="C66" s="385"/>
      <c r="D66" s="385"/>
      <c r="E66" s="385"/>
      <c r="F66" s="417"/>
      <c r="G66" s="417"/>
      <c r="H66" s="484"/>
      <c r="I66" s="434"/>
      <c r="J66" s="678"/>
      <c r="K66" s="696"/>
      <c r="L66" s="697"/>
      <c r="M66" s="461"/>
      <c r="N66" s="462"/>
      <c r="O66" s="463"/>
      <c r="P66" s="661"/>
      <c r="Q66" s="444"/>
      <c r="R66" s="445"/>
      <c r="S66" s="591">
        <v>45968</v>
      </c>
      <c r="T66" s="459">
        <v>44550</v>
      </c>
      <c r="U66" s="460">
        <v>53905.5</v>
      </c>
    </row>
    <row r="67" spans="2:21">
      <c r="B67" s="386"/>
      <c r="C67" s="385"/>
      <c r="D67" s="385"/>
      <c r="E67" s="385"/>
      <c r="F67" s="417"/>
      <c r="G67" s="417"/>
      <c r="H67" s="484"/>
      <c r="I67" s="434"/>
      <c r="J67" s="678"/>
      <c r="K67" s="696"/>
      <c r="L67" s="697"/>
      <c r="M67" s="461"/>
      <c r="N67" s="462"/>
      <c r="O67" s="463"/>
      <c r="P67" s="661"/>
      <c r="Q67" s="444"/>
      <c r="R67" s="445"/>
      <c r="S67" s="591">
        <v>45976</v>
      </c>
      <c r="T67" s="459">
        <v>70200</v>
      </c>
      <c r="U67" s="460">
        <v>84942</v>
      </c>
    </row>
    <row r="68" spans="2:21">
      <c r="B68" s="386"/>
      <c r="C68" s="385"/>
      <c r="D68" s="385"/>
      <c r="E68" s="385"/>
      <c r="F68" s="417"/>
      <c r="G68" s="417"/>
      <c r="H68" s="484"/>
      <c r="I68" s="434"/>
      <c r="J68" s="678"/>
      <c r="K68" s="696"/>
      <c r="L68" s="697"/>
      <c r="M68" s="461"/>
      <c r="N68" s="462"/>
      <c r="O68" s="463"/>
      <c r="P68" s="661"/>
      <c r="Q68" s="444"/>
      <c r="R68" s="445"/>
      <c r="S68" s="591">
        <v>46002</v>
      </c>
      <c r="T68" s="459">
        <v>61650</v>
      </c>
      <c r="U68" s="460">
        <v>74596</v>
      </c>
    </row>
    <row r="69" spans="2:21">
      <c r="B69" s="386"/>
      <c r="C69" s="385"/>
      <c r="D69" s="385"/>
      <c r="E69" s="385"/>
      <c r="F69" s="417"/>
      <c r="G69" s="417"/>
      <c r="H69" s="484"/>
      <c r="I69" s="434"/>
      <c r="J69" s="678"/>
      <c r="K69" s="696"/>
      <c r="L69" s="697"/>
      <c r="M69" s="461"/>
      <c r="N69" s="462"/>
      <c r="O69" s="463"/>
      <c r="P69" s="661"/>
      <c r="Q69" s="444"/>
      <c r="R69" s="445"/>
      <c r="S69" s="591">
        <v>46002</v>
      </c>
      <c r="T69" s="459">
        <v>148500</v>
      </c>
      <c r="U69" s="460">
        <v>179685</v>
      </c>
    </row>
    <row r="70" spans="2:21">
      <c r="B70" s="386"/>
      <c r="C70" s="385"/>
      <c r="D70" s="385"/>
      <c r="E70" s="385"/>
      <c r="F70" s="417"/>
      <c r="G70" s="417"/>
      <c r="H70" s="484"/>
      <c r="I70" s="434"/>
      <c r="J70" s="678"/>
      <c r="K70" s="696"/>
      <c r="L70" s="697"/>
      <c r="M70" s="461"/>
      <c r="N70" s="462"/>
      <c r="O70" s="463"/>
      <c r="P70" s="661"/>
      <c r="Q70" s="444"/>
      <c r="R70" s="445"/>
      <c r="S70" s="1376">
        <v>46019</v>
      </c>
      <c r="T70" s="1373">
        <v>62100</v>
      </c>
      <c r="U70" s="1374">
        <v>75141</v>
      </c>
    </row>
    <row r="71" spans="2:21">
      <c r="B71" s="386"/>
      <c r="C71" s="385"/>
      <c r="D71" s="385"/>
      <c r="E71" s="385"/>
      <c r="F71" s="417"/>
      <c r="G71" s="417"/>
      <c r="H71" s="484"/>
      <c r="I71" s="434"/>
      <c r="J71" s="678"/>
      <c r="K71" s="696"/>
      <c r="L71" s="697"/>
      <c r="M71" s="461"/>
      <c r="N71" s="462"/>
      <c r="O71" s="463"/>
      <c r="P71" s="661"/>
      <c r="Q71" s="444"/>
      <c r="R71" s="445"/>
      <c r="S71" s="1376">
        <v>46033</v>
      </c>
      <c r="T71" s="1373">
        <v>40050</v>
      </c>
      <c r="U71" s="1374">
        <v>48460.5</v>
      </c>
    </row>
    <row r="72" spans="2:21">
      <c r="B72" s="386"/>
      <c r="C72" s="385"/>
      <c r="D72" s="385"/>
      <c r="E72" s="385"/>
      <c r="F72" s="417"/>
      <c r="G72" s="417"/>
      <c r="H72" s="484"/>
      <c r="I72" s="434"/>
      <c r="J72" s="678"/>
      <c r="K72" s="696"/>
      <c r="L72" s="697"/>
      <c r="M72" s="461"/>
      <c r="N72" s="462"/>
      <c r="O72" s="463"/>
      <c r="P72" s="661"/>
      <c r="Q72" s="444"/>
      <c r="R72" s="445"/>
      <c r="S72" s="1376">
        <v>46033</v>
      </c>
      <c r="T72" s="1373">
        <v>36450</v>
      </c>
      <c r="U72" s="1374">
        <v>44104.5</v>
      </c>
    </row>
    <row r="73" spans="2:21">
      <c r="B73" s="386"/>
      <c r="C73" s="385"/>
      <c r="D73" s="385"/>
      <c r="E73" s="385"/>
      <c r="F73" s="417"/>
      <c r="G73" s="417"/>
      <c r="H73" s="484"/>
      <c r="I73" s="434"/>
      <c r="J73" s="678"/>
      <c r="K73" s="696"/>
      <c r="L73" s="697"/>
      <c r="M73" s="461"/>
      <c r="N73" s="462"/>
      <c r="O73" s="463"/>
      <c r="P73" s="661"/>
      <c r="Q73" s="444"/>
      <c r="R73" s="445"/>
      <c r="S73" s="1376"/>
      <c r="T73" s="1373"/>
      <c r="U73" s="1374"/>
    </row>
    <row r="74" spans="2:21">
      <c r="B74" s="386"/>
      <c r="C74" s="385"/>
      <c r="D74" s="385"/>
      <c r="E74" s="385"/>
      <c r="F74" s="417"/>
      <c r="G74" s="417"/>
      <c r="H74" s="484"/>
      <c r="I74" s="434"/>
      <c r="J74" s="678"/>
      <c r="K74" s="696"/>
      <c r="L74" s="697"/>
      <c r="M74" s="461"/>
      <c r="N74" s="462"/>
      <c r="O74" s="463"/>
      <c r="P74" s="661"/>
      <c r="Q74" s="444"/>
      <c r="R74" s="445"/>
      <c r="S74" s="1376"/>
      <c r="T74" s="1373"/>
      <c r="U74" s="1374"/>
    </row>
    <row r="75" spans="2:21">
      <c r="B75" s="386"/>
      <c r="C75" s="385"/>
      <c r="D75" s="385"/>
      <c r="E75" s="385"/>
      <c r="F75" s="417"/>
      <c r="G75" s="417"/>
      <c r="H75" s="484"/>
      <c r="I75" s="434"/>
      <c r="J75" s="678"/>
      <c r="K75" s="696"/>
      <c r="L75" s="697"/>
      <c r="M75" s="461"/>
      <c r="N75" s="462"/>
      <c r="O75" s="463"/>
      <c r="P75" s="661"/>
      <c r="Q75" s="444"/>
      <c r="R75" s="445"/>
      <c r="S75" s="1376"/>
      <c r="T75" s="1373"/>
      <c r="U75" s="1374"/>
    </row>
    <row r="76" spans="2:21">
      <c r="B76" s="386"/>
      <c r="C76" s="385"/>
      <c r="D76" s="385"/>
      <c r="E76" s="385"/>
      <c r="F76" s="417"/>
      <c r="G76" s="417"/>
      <c r="H76" s="484"/>
      <c r="I76" s="434"/>
      <c r="J76" s="678"/>
      <c r="K76" s="696"/>
      <c r="L76" s="697"/>
      <c r="M76" s="461"/>
      <c r="N76" s="462"/>
      <c r="O76" s="463"/>
      <c r="P76" s="661"/>
      <c r="Q76" s="444"/>
      <c r="R76" s="445"/>
      <c r="S76" s="1376"/>
      <c r="T76" s="1373"/>
      <c r="U76" s="1374"/>
    </row>
    <row r="77" spans="2:21">
      <c r="B77" s="386"/>
      <c r="C77" s="385"/>
      <c r="D77" s="385"/>
      <c r="E77" s="385"/>
      <c r="F77" s="417"/>
      <c r="G77" s="417"/>
      <c r="H77" s="484"/>
      <c r="I77" s="434"/>
      <c r="J77" s="678"/>
      <c r="K77" s="696"/>
      <c r="L77" s="697"/>
      <c r="M77" s="461"/>
      <c r="N77" s="462"/>
      <c r="O77" s="463"/>
      <c r="P77" s="661"/>
      <c r="Q77" s="444"/>
      <c r="R77" s="445"/>
      <c r="S77" s="1376"/>
      <c r="T77" s="1373"/>
      <c r="U77" s="1374"/>
    </row>
    <row r="78" spans="2:21">
      <c r="B78" s="386"/>
      <c r="C78" s="385"/>
      <c r="D78" s="385"/>
      <c r="E78" s="385"/>
      <c r="F78" s="417"/>
      <c r="G78" s="417"/>
      <c r="H78" s="484"/>
      <c r="I78" s="434"/>
      <c r="J78" s="678"/>
      <c r="K78" s="696"/>
      <c r="L78" s="697"/>
      <c r="M78" s="461"/>
      <c r="N78" s="462"/>
      <c r="O78" s="463"/>
      <c r="P78" s="661"/>
      <c r="Q78" s="444"/>
      <c r="R78" s="445"/>
      <c r="S78" s="1376"/>
      <c r="T78" s="1373"/>
      <c r="U78" s="1374"/>
    </row>
    <row r="79" spans="2:21">
      <c r="B79" s="386"/>
      <c r="C79" s="385"/>
      <c r="D79" s="385"/>
      <c r="E79" s="385"/>
      <c r="F79" s="417"/>
      <c r="G79" s="417"/>
      <c r="H79" s="484"/>
      <c r="I79" s="434"/>
      <c r="J79" s="678"/>
      <c r="K79" s="696"/>
      <c r="L79" s="697"/>
      <c r="M79" s="461"/>
      <c r="N79" s="462"/>
      <c r="O79" s="463"/>
      <c r="P79" s="661"/>
      <c r="Q79" s="444"/>
      <c r="R79" s="445"/>
      <c r="S79" s="1376"/>
      <c r="T79" s="1373"/>
      <c r="U79" s="1374"/>
    </row>
    <row r="80" spans="2:21">
      <c r="B80" s="386"/>
      <c r="C80" s="385"/>
      <c r="D80" s="385"/>
      <c r="E80" s="385"/>
      <c r="F80" s="417"/>
      <c r="G80" s="417"/>
      <c r="H80" s="484"/>
      <c r="I80" s="434"/>
      <c r="J80" s="678"/>
      <c r="K80" s="696"/>
      <c r="L80" s="697"/>
      <c r="M80" s="461"/>
      <c r="N80" s="462"/>
      <c r="O80" s="463"/>
      <c r="P80" s="661"/>
      <c r="Q80" s="444"/>
      <c r="R80" s="445"/>
      <c r="S80" s="1376"/>
      <c r="T80" s="1373"/>
      <c r="U80" s="1374"/>
    </row>
    <row r="81" spans="2:23">
      <c r="B81" s="386"/>
      <c r="C81" s="385"/>
      <c r="D81" s="385"/>
      <c r="E81" s="385"/>
      <c r="F81" s="417"/>
      <c r="G81" s="417"/>
      <c r="H81" s="484"/>
      <c r="I81" s="434"/>
      <c r="J81" s="678"/>
      <c r="K81" s="696"/>
      <c r="L81" s="697"/>
      <c r="M81" s="461"/>
      <c r="N81" s="462"/>
      <c r="O81" s="463"/>
      <c r="P81" s="661"/>
      <c r="Q81" s="444"/>
      <c r="R81" s="445"/>
      <c r="S81" s="1376"/>
      <c r="T81" s="1373"/>
      <c r="U81" s="1374"/>
    </row>
    <row r="82" spans="2:23">
      <c r="B82" s="386"/>
      <c r="C82" s="385"/>
      <c r="D82" s="385"/>
      <c r="E82" s="385"/>
      <c r="F82" s="417"/>
      <c r="G82" s="417"/>
      <c r="H82" s="484"/>
      <c r="I82" s="434"/>
      <c r="J82" s="678"/>
      <c r="K82" s="696"/>
      <c r="L82" s="697"/>
      <c r="M82" s="461"/>
      <c r="N82" s="462"/>
      <c r="O82" s="463"/>
      <c r="P82" s="661"/>
      <c r="Q82" s="444"/>
      <c r="R82" s="445"/>
      <c r="S82" s="1376"/>
      <c r="T82" s="1373"/>
      <c r="U82" s="1374"/>
    </row>
    <row r="83" spans="2:23">
      <c r="B83" s="386"/>
      <c r="C83" s="385"/>
      <c r="D83" s="385"/>
      <c r="E83" s="385"/>
      <c r="F83" s="417"/>
      <c r="G83" s="417"/>
      <c r="H83" s="484"/>
      <c r="I83" s="434"/>
      <c r="J83" s="678"/>
      <c r="K83" s="696"/>
      <c r="L83" s="697"/>
      <c r="M83" s="461"/>
      <c r="N83" s="462"/>
      <c r="O83" s="463"/>
      <c r="P83" s="661"/>
      <c r="Q83" s="444"/>
      <c r="R83" s="445"/>
      <c r="S83" s="1376"/>
      <c r="T83" s="1373"/>
      <c r="U83" s="1374"/>
    </row>
    <row r="84" spans="2:23">
      <c r="B84" s="386"/>
      <c r="C84" s="385"/>
      <c r="D84" s="385"/>
      <c r="E84" s="385"/>
      <c r="F84" s="417"/>
      <c r="G84" s="417"/>
      <c r="H84" s="484"/>
      <c r="I84" s="434"/>
      <c r="J84" s="678"/>
      <c r="K84" s="696"/>
      <c r="L84" s="697"/>
      <c r="M84" s="461"/>
      <c r="N84" s="462"/>
      <c r="O84" s="463"/>
      <c r="P84" s="661"/>
      <c r="Q84" s="444"/>
      <c r="R84" s="445"/>
      <c r="S84" s="1376"/>
      <c r="T84" s="1373"/>
      <c r="U84" s="1374"/>
    </row>
    <row r="85" spans="2:23">
      <c r="B85" s="386"/>
      <c r="C85" s="385"/>
      <c r="D85" s="385"/>
      <c r="E85" s="385"/>
      <c r="F85" s="417"/>
      <c r="G85" s="417"/>
      <c r="H85" s="484"/>
      <c r="I85" s="434"/>
      <c r="J85" s="678"/>
      <c r="K85" s="696"/>
      <c r="L85" s="697"/>
      <c r="M85" s="461"/>
      <c r="N85" s="462"/>
      <c r="O85" s="463"/>
      <c r="P85" s="661"/>
      <c r="Q85" s="444"/>
      <c r="R85" s="445"/>
      <c r="S85" s="779" t="s">
        <v>5699</v>
      </c>
      <c r="T85" s="459">
        <v>0</v>
      </c>
      <c r="U85" s="460">
        <v>0</v>
      </c>
    </row>
    <row r="86" spans="2:23">
      <c r="B86" s="386"/>
      <c r="C86" s="385"/>
      <c r="D86" s="385"/>
      <c r="E86" s="385"/>
      <c r="F86" s="417"/>
      <c r="G86" s="417"/>
      <c r="H86" s="484"/>
      <c r="I86" s="434"/>
      <c r="J86" s="678"/>
      <c r="K86" s="696"/>
      <c r="L86" s="697"/>
      <c r="M86" s="461"/>
      <c r="N86" s="462"/>
      <c r="O86" s="463"/>
      <c r="P86" s="662"/>
      <c r="Q86" s="657"/>
      <c r="R86" s="658"/>
      <c r="S86" s="779" t="s">
        <v>5699</v>
      </c>
      <c r="T86" s="459">
        <v>23550</v>
      </c>
      <c r="U86" s="460">
        <v>28495.5</v>
      </c>
    </row>
    <row r="87" spans="2:23">
      <c r="B87" s="386"/>
      <c r="C87" s="385"/>
      <c r="D87" s="385"/>
      <c r="E87" s="385"/>
      <c r="F87" s="417"/>
      <c r="G87" s="417"/>
      <c r="H87" s="484"/>
      <c r="I87" s="434"/>
      <c r="J87" s="678"/>
      <c r="K87" s="696"/>
      <c r="L87" s="697"/>
      <c r="M87" s="461"/>
      <c r="N87" s="462"/>
      <c r="O87" s="463"/>
      <c r="P87" s="662"/>
      <c r="Q87" s="657"/>
      <c r="R87" s="658"/>
      <c r="S87" s="779" t="s">
        <v>5699</v>
      </c>
      <c r="T87" s="459">
        <v>100000</v>
      </c>
      <c r="U87" s="460">
        <v>121000</v>
      </c>
    </row>
    <row r="88" spans="2:23">
      <c r="B88" s="386"/>
      <c r="C88" s="385"/>
      <c r="D88" s="385"/>
      <c r="E88" s="385"/>
      <c r="F88" s="417"/>
      <c r="G88" s="417"/>
      <c r="H88" s="484"/>
      <c r="I88" s="434"/>
      <c r="J88" s="678"/>
      <c r="K88" s="696"/>
      <c r="L88" s="697"/>
      <c r="M88" s="461"/>
      <c r="N88" s="462"/>
      <c r="O88" s="463"/>
      <c r="P88" s="662"/>
      <c r="Q88" s="657"/>
      <c r="R88" s="658"/>
      <c r="S88" s="779" t="s">
        <v>5699</v>
      </c>
      <c r="T88" s="459">
        <v>80250</v>
      </c>
      <c r="U88" s="460">
        <v>97102.5</v>
      </c>
    </row>
    <row r="89" spans="2:23">
      <c r="B89" s="386"/>
      <c r="C89" s="385"/>
      <c r="D89" s="385"/>
      <c r="E89" s="385"/>
      <c r="F89" s="417"/>
      <c r="G89" s="417"/>
      <c r="H89" s="484"/>
      <c r="I89" s="434"/>
      <c r="J89" s="678"/>
      <c r="K89" s="696"/>
      <c r="L89" s="697"/>
      <c r="M89" s="461"/>
      <c r="N89" s="462"/>
      <c r="O89" s="463"/>
      <c r="P89" s="662"/>
      <c r="Q89" s="657"/>
      <c r="R89" s="658"/>
      <c r="S89" s="779" t="s">
        <v>5699</v>
      </c>
      <c r="T89" s="459">
        <v>1500</v>
      </c>
      <c r="U89" s="460">
        <v>1815</v>
      </c>
    </row>
    <row r="90" spans="2:23">
      <c r="C90" s="385"/>
      <c r="D90" s="385"/>
      <c r="E90" s="385"/>
      <c r="F90" s="417"/>
      <c r="G90" s="417"/>
      <c r="H90" s="484"/>
      <c r="I90" s="434"/>
      <c r="J90" s="678"/>
      <c r="K90" s="696"/>
      <c r="L90" s="697"/>
      <c r="M90" s="461"/>
      <c r="N90" s="462"/>
      <c r="O90" s="463"/>
      <c r="P90" s="436"/>
      <c r="Q90" s="444"/>
      <c r="R90" s="445"/>
      <c r="S90" s="779" t="s">
        <v>5699</v>
      </c>
      <c r="T90" s="459">
        <v>79800</v>
      </c>
      <c r="U90" s="460">
        <v>96558</v>
      </c>
    </row>
    <row r="91" spans="2:23" ht="13.8" thickBot="1">
      <c r="C91" s="385"/>
      <c r="D91" s="385"/>
      <c r="E91" s="385"/>
      <c r="F91" s="417"/>
      <c r="G91" s="417"/>
      <c r="H91" s="484"/>
      <c r="I91" s="465" t="s">
        <v>4865</v>
      </c>
      <c r="J91" s="688"/>
      <c r="K91" s="698"/>
      <c r="L91" s="699"/>
      <c r="M91" s="449"/>
      <c r="N91" s="476"/>
      <c r="O91" s="477"/>
      <c r="P91" s="451"/>
      <c r="Q91" s="470"/>
      <c r="R91" s="471"/>
      <c r="S91" s="589"/>
      <c r="T91" s="447">
        <f>SUM(T58:T90)</f>
        <v>1223800</v>
      </c>
      <c r="U91" s="448">
        <f>SUM(U58:U90)</f>
        <v>1480797.5</v>
      </c>
    </row>
    <row r="92" spans="2:23">
      <c r="B92" s="731" t="s">
        <v>5233</v>
      </c>
      <c r="C92" s="385"/>
      <c r="D92" s="385"/>
      <c r="E92" s="385"/>
      <c r="F92" s="417"/>
      <c r="G92" s="417"/>
      <c r="H92" s="418"/>
      <c r="I92" s="726"/>
      <c r="J92" s="427"/>
      <c r="K92" s="727"/>
      <c r="L92" s="727"/>
      <c r="M92" s="427"/>
      <c r="N92" s="727"/>
      <c r="O92" s="727"/>
      <c r="P92" s="427"/>
      <c r="Q92" s="505"/>
      <c r="R92" s="505"/>
      <c r="S92" s="427"/>
      <c r="T92" s="727"/>
      <c r="U92" s="727"/>
    </row>
    <row r="93" spans="2:23" ht="13.8" thickBot="1">
      <c r="B93" s="386"/>
      <c r="C93" s="385"/>
      <c r="D93" s="385"/>
      <c r="E93" s="385"/>
      <c r="F93" s="417"/>
      <c r="G93" s="417"/>
      <c r="H93" s="418"/>
      <c r="I93" s="724"/>
      <c r="J93" s="452"/>
      <c r="K93" s="712"/>
      <c r="L93" s="712"/>
      <c r="M93" s="452"/>
      <c r="N93" s="712"/>
      <c r="O93" s="712"/>
      <c r="P93" s="452"/>
      <c r="Q93" s="715"/>
      <c r="R93" s="715"/>
      <c r="S93" s="452"/>
      <c r="T93" s="712"/>
      <c r="U93" s="712"/>
    </row>
    <row r="94" spans="2:23" ht="13.8" thickBot="1">
      <c r="B94" s="380" t="s">
        <v>852</v>
      </c>
      <c r="C94" s="381" t="s">
        <v>6099</v>
      </c>
      <c r="D94" s="382">
        <v>19573499</v>
      </c>
      <c r="E94" s="388" t="s">
        <v>3639</v>
      </c>
      <c r="F94" s="407">
        <f>822800*100/121</f>
        <v>680000</v>
      </c>
      <c r="G94" s="408">
        <v>822800</v>
      </c>
      <c r="H94" s="409">
        <v>2958465</v>
      </c>
      <c r="I94" s="410"/>
      <c r="J94" s="691"/>
      <c r="K94" s="692"/>
      <c r="L94" s="693"/>
      <c r="M94" s="472"/>
      <c r="N94" s="412"/>
      <c r="O94" s="413"/>
      <c r="P94" s="414">
        <v>45315</v>
      </c>
      <c r="Q94" s="415">
        <f>380000*100/121</f>
        <v>314049.58677685948</v>
      </c>
      <c r="R94" s="416">
        <v>380000</v>
      </c>
      <c r="S94" s="593"/>
      <c r="T94" s="453"/>
      <c r="U94" s="454"/>
      <c r="V94" s="473">
        <f>SUM(F94-Q99)</f>
        <v>118016.5289256199</v>
      </c>
      <c r="W94" s="474">
        <f>SUM(G94-R99)</f>
        <v>142800</v>
      </c>
    </row>
    <row r="95" spans="2:23">
      <c r="B95" s="384"/>
      <c r="C95" s="390"/>
      <c r="D95" s="390"/>
      <c r="E95" s="390"/>
      <c r="F95" s="482"/>
      <c r="G95" s="482"/>
      <c r="H95" s="483"/>
      <c r="I95" s="419"/>
      <c r="J95" s="683"/>
      <c r="K95" s="694"/>
      <c r="L95" s="695"/>
      <c r="M95" s="475"/>
      <c r="N95" s="421"/>
      <c r="O95" s="422"/>
      <c r="P95" s="423">
        <v>45637</v>
      </c>
      <c r="Q95" s="424">
        <f>300000*100/121</f>
        <v>247933.88429752065</v>
      </c>
      <c r="R95" s="425">
        <v>300000</v>
      </c>
      <c r="S95" s="588"/>
      <c r="T95" s="456"/>
      <c r="U95" s="457"/>
    </row>
    <row r="96" spans="2:23">
      <c r="B96" s="386"/>
      <c r="C96" s="385"/>
      <c r="D96" s="385"/>
      <c r="E96" s="385"/>
      <c r="F96" s="417"/>
      <c r="G96" s="417"/>
      <c r="H96" s="484"/>
      <c r="I96" s="434"/>
      <c r="J96" s="678"/>
      <c r="K96" s="696"/>
      <c r="L96" s="697"/>
      <c r="M96" s="461"/>
      <c r="N96" s="462"/>
      <c r="O96" s="463"/>
      <c r="P96" s="703"/>
      <c r="Q96" s="444"/>
      <c r="R96" s="445"/>
      <c r="S96" s="584"/>
      <c r="T96" s="459"/>
      <c r="U96" s="460"/>
    </row>
    <row r="97" spans="2:24">
      <c r="B97" s="386"/>
      <c r="C97" s="385"/>
      <c r="D97" s="385"/>
      <c r="E97" s="385"/>
      <c r="F97" s="417"/>
      <c r="G97" s="417"/>
      <c r="H97" s="484"/>
      <c r="I97" s="434"/>
      <c r="J97" s="678"/>
      <c r="K97" s="696"/>
      <c r="L97" s="697"/>
      <c r="M97" s="461"/>
      <c r="N97" s="462"/>
      <c r="O97" s="463"/>
      <c r="P97" s="703"/>
      <c r="Q97" s="444"/>
      <c r="R97" s="445"/>
      <c r="S97" s="584"/>
      <c r="T97" s="459"/>
      <c r="U97" s="460"/>
    </row>
    <row r="98" spans="2:24">
      <c r="B98" s="386"/>
      <c r="C98" s="385"/>
      <c r="D98" s="385"/>
      <c r="E98" s="385"/>
      <c r="F98" s="417"/>
      <c r="G98" s="417"/>
      <c r="H98" s="484"/>
      <c r="I98" s="434"/>
      <c r="J98" s="678"/>
      <c r="K98" s="696"/>
      <c r="L98" s="697"/>
      <c r="M98" s="461"/>
      <c r="N98" s="462"/>
      <c r="O98" s="463"/>
      <c r="P98" s="703"/>
      <c r="Q98" s="444"/>
      <c r="R98" s="445"/>
      <c r="S98" s="584"/>
      <c r="T98" s="459"/>
      <c r="U98" s="460"/>
    </row>
    <row r="99" spans="2:24" ht="13.8" thickBot="1">
      <c r="B99" s="386"/>
      <c r="C99" s="385"/>
      <c r="D99" s="385"/>
      <c r="E99" s="385"/>
      <c r="F99" s="417"/>
      <c r="G99" s="417"/>
      <c r="H99" s="484"/>
      <c r="I99" s="465" t="s">
        <v>4865</v>
      </c>
      <c r="J99" s="688"/>
      <c r="K99" s="698"/>
      <c r="L99" s="699"/>
      <c r="M99" s="449"/>
      <c r="N99" s="476"/>
      <c r="O99" s="477"/>
      <c r="P99" s="704"/>
      <c r="Q99" s="470">
        <f>SUM(Q94:Q97)</f>
        <v>561983.4710743801</v>
      </c>
      <c r="R99" s="471">
        <f>SUM(R94:R97)</f>
        <v>680000</v>
      </c>
      <c r="S99" s="589"/>
      <c r="T99" s="466"/>
      <c r="U99" s="467"/>
    </row>
    <row r="100" spans="2:24" ht="13.8" thickBot="1">
      <c r="B100" s="380" t="s">
        <v>5012</v>
      </c>
      <c r="C100" s="381" t="s">
        <v>6100</v>
      </c>
      <c r="D100" s="382">
        <v>5732069</v>
      </c>
      <c r="E100" s="388" t="s">
        <v>3700</v>
      </c>
      <c r="F100" s="407">
        <v>624000</v>
      </c>
      <c r="G100" s="408">
        <v>755040</v>
      </c>
      <c r="H100" s="409">
        <v>46568</v>
      </c>
      <c r="I100" s="410"/>
      <c r="J100" s="691"/>
      <c r="K100" s="692"/>
      <c r="L100" s="693"/>
      <c r="M100" s="472"/>
      <c r="N100" s="412"/>
      <c r="O100" s="413"/>
      <c r="P100" s="481"/>
      <c r="Q100" s="415"/>
      <c r="R100" s="416"/>
      <c r="S100" s="581">
        <v>45749</v>
      </c>
      <c r="T100" s="453">
        <v>133650</v>
      </c>
      <c r="U100" s="454">
        <v>161716.5</v>
      </c>
      <c r="V100" s="473">
        <f>F100-T110</f>
        <v>89450</v>
      </c>
      <c r="W100" s="474">
        <f>G100-U110</f>
        <v>108234.5</v>
      </c>
    </row>
    <row r="101" spans="2:24">
      <c r="B101" s="384"/>
      <c r="C101" s="390"/>
      <c r="D101" s="390"/>
      <c r="E101" s="390"/>
      <c r="F101" s="482"/>
      <c r="G101" s="482"/>
      <c r="H101" s="483"/>
      <c r="I101" s="419"/>
      <c r="J101" s="683"/>
      <c r="K101" s="694"/>
      <c r="L101" s="695"/>
      <c r="M101" s="475"/>
      <c r="N101" s="421"/>
      <c r="O101" s="422"/>
      <c r="P101" s="441"/>
      <c r="Q101" s="424"/>
      <c r="R101" s="425"/>
      <c r="S101" s="1639">
        <v>46033</v>
      </c>
      <c r="T101" s="1640">
        <v>63099.173553719011</v>
      </c>
      <c r="U101" s="1641">
        <v>76350</v>
      </c>
    </row>
    <row r="102" spans="2:24">
      <c r="B102" s="386"/>
      <c r="C102" s="385"/>
      <c r="D102" s="385"/>
      <c r="E102" s="385"/>
      <c r="F102" s="417"/>
      <c r="G102" s="417"/>
      <c r="H102" s="484"/>
      <c r="I102" s="434"/>
      <c r="J102" s="678"/>
      <c r="K102" s="696"/>
      <c r="L102" s="697"/>
      <c r="M102" s="461"/>
      <c r="N102" s="462"/>
      <c r="O102" s="463"/>
      <c r="P102" s="436"/>
      <c r="Q102" s="444"/>
      <c r="R102" s="445"/>
      <c r="S102" s="1376">
        <v>46033</v>
      </c>
      <c r="T102" s="1373">
        <v>13250.826446280991</v>
      </c>
      <c r="U102" s="1374">
        <v>16033.5</v>
      </c>
    </row>
    <row r="103" spans="2:24">
      <c r="B103" s="386"/>
      <c r="C103" s="385"/>
      <c r="D103" s="385"/>
      <c r="E103" s="385"/>
      <c r="F103" s="417"/>
      <c r="G103" s="417"/>
      <c r="H103" s="484"/>
      <c r="I103" s="434"/>
      <c r="J103" s="678"/>
      <c r="K103" s="696"/>
      <c r="L103" s="697"/>
      <c r="M103" s="461"/>
      <c r="N103" s="462"/>
      <c r="O103" s="463"/>
      <c r="P103" s="436"/>
      <c r="Q103" s="444"/>
      <c r="R103" s="445"/>
      <c r="S103" s="1376">
        <v>46033</v>
      </c>
      <c r="T103" s="1373">
        <v>64628.099173553717</v>
      </c>
      <c r="U103" s="1374">
        <v>78200</v>
      </c>
    </row>
    <row r="104" spans="2:24">
      <c r="B104" s="386"/>
      <c r="C104" s="385"/>
      <c r="D104" s="385"/>
      <c r="E104" s="385"/>
      <c r="F104" s="417"/>
      <c r="G104" s="417"/>
      <c r="H104" s="484"/>
      <c r="I104" s="434"/>
      <c r="J104" s="678"/>
      <c r="K104" s="696"/>
      <c r="L104" s="697"/>
      <c r="M104" s="461"/>
      <c r="N104" s="462"/>
      <c r="O104" s="463"/>
      <c r="P104" s="436"/>
      <c r="Q104" s="444"/>
      <c r="R104" s="445"/>
      <c r="S104" s="1376">
        <v>46033</v>
      </c>
      <c r="T104" s="1373">
        <v>13571.900826446281</v>
      </c>
      <c r="U104" s="1374">
        <v>16422</v>
      </c>
    </row>
    <row r="105" spans="2:24">
      <c r="B105" s="386"/>
      <c r="C105" s="385"/>
      <c r="D105" s="385"/>
      <c r="E105" s="385"/>
      <c r="F105" s="417"/>
      <c r="G105" s="417"/>
      <c r="H105" s="484"/>
      <c r="I105" s="434"/>
      <c r="J105" s="678"/>
      <c r="K105" s="696"/>
      <c r="L105" s="697"/>
      <c r="M105" s="461"/>
      <c r="N105" s="462"/>
      <c r="O105" s="463"/>
      <c r="P105" s="436"/>
      <c r="Q105" s="444"/>
      <c r="R105" s="445"/>
      <c r="S105" s="1415"/>
      <c r="T105" s="459"/>
      <c r="U105" s="460"/>
    </row>
    <row r="106" spans="2:24">
      <c r="B106" s="386"/>
      <c r="C106" s="385"/>
      <c r="D106" s="385"/>
      <c r="E106" s="385"/>
      <c r="F106" s="417"/>
      <c r="G106" s="417"/>
      <c r="H106" s="484"/>
      <c r="I106" s="434"/>
      <c r="J106" s="678"/>
      <c r="K106" s="696"/>
      <c r="L106" s="697"/>
      <c r="M106" s="461"/>
      <c r="N106" s="462"/>
      <c r="O106" s="463"/>
      <c r="P106" s="436"/>
      <c r="Q106" s="444"/>
      <c r="R106" s="445"/>
      <c r="S106" s="1415"/>
      <c r="T106" s="459"/>
      <c r="U106" s="460"/>
    </row>
    <row r="107" spans="2:24">
      <c r="B107" s="386"/>
      <c r="C107" s="385"/>
      <c r="D107" s="385"/>
      <c r="E107" s="385"/>
      <c r="F107" s="417"/>
      <c r="G107" s="417"/>
      <c r="H107" s="484"/>
      <c r="I107" s="434"/>
      <c r="J107" s="678"/>
      <c r="K107" s="696"/>
      <c r="L107" s="697"/>
      <c r="M107" s="461"/>
      <c r="N107" s="462"/>
      <c r="O107" s="463"/>
      <c r="P107" s="436"/>
      <c r="Q107" s="444"/>
      <c r="R107" s="445"/>
      <c r="S107" s="1415"/>
      <c r="T107" s="459"/>
      <c r="U107" s="460"/>
    </row>
    <row r="108" spans="2:24">
      <c r="B108" s="386"/>
      <c r="C108" s="385"/>
      <c r="D108" s="385"/>
      <c r="E108" s="385"/>
      <c r="F108" s="417"/>
      <c r="G108" s="417"/>
      <c r="H108" s="484"/>
      <c r="I108" s="434"/>
      <c r="J108" s="678"/>
      <c r="K108" s="696"/>
      <c r="L108" s="697"/>
      <c r="M108" s="461"/>
      <c r="N108" s="462"/>
      <c r="O108" s="463"/>
      <c r="P108" s="436"/>
      <c r="Q108" s="444"/>
      <c r="R108" s="445"/>
      <c r="S108" s="1415" t="s">
        <v>6199</v>
      </c>
      <c r="T108" s="459">
        <v>170000</v>
      </c>
      <c r="U108" s="460">
        <v>205700</v>
      </c>
    </row>
    <row r="109" spans="2:24">
      <c r="B109" s="386"/>
      <c r="C109" s="385"/>
      <c r="D109" s="385"/>
      <c r="E109" s="385"/>
      <c r="F109" s="417"/>
      <c r="G109" s="417"/>
      <c r="H109" s="484"/>
      <c r="I109" s="434"/>
      <c r="J109" s="678"/>
      <c r="K109" s="696"/>
      <c r="L109" s="697"/>
      <c r="M109" s="461"/>
      <c r="N109" s="462"/>
      <c r="O109" s="463"/>
      <c r="P109" s="436"/>
      <c r="Q109" s="444"/>
      <c r="R109" s="445"/>
      <c r="S109" s="1415" t="s">
        <v>6203</v>
      </c>
      <c r="T109" s="459">
        <f>210000-T100</f>
        <v>76350</v>
      </c>
      <c r="U109" s="460">
        <f>254100-U100</f>
        <v>92383.5</v>
      </c>
    </row>
    <row r="110" spans="2:24" ht="13.8" thickBot="1">
      <c r="B110" s="386"/>
      <c r="C110" s="385"/>
      <c r="D110" s="385"/>
      <c r="E110" s="385"/>
      <c r="F110" s="417"/>
      <c r="G110" s="417"/>
      <c r="H110" s="484"/>
      <c r="I110" s="434"/>
      <c r="J110" s="688"/>
      <c r="K110" s="698"/>
      <c r="L110" s="699"/>
      <c r="M110" s="449"/>
      <c r="N110" s="476"/>
      <c r="O110" s="477"/>
      <c r="P110" s="451"/>
      <c r="Q110" s="1364"/>
      <c r="R110" s="1365"/>
      <c r="S110" s="589"/>
      <c r="T110" s="447">
        <f>SUM(T100:T109)</f>
        <v>534550</v>
      </c>
      <c r="U110" s="448">
        <f>SUM(U100:U109)</f>
        <v>646805.5</v>
      </c>
    </row>
    <row r="111" spans="2:24" s="112" customFormat="1" ht="13.8" thickBot="1">
      <c r="B111" s="172" t="s">
        <v>5054</v>
      </c>
      <c r="C111" s="192" t="s">
        <v>6098</v>
      </c>
      <c r="D111" s="242">
        <v>24664812</v>
      </c>
      <c r="E111" s="278" t="s">
        <v>5055</v>
      </c>
      <c r="F111" s="194">
        <v>480000</v>
      </c>
      <c r="G111" s="195">
        <v>580800</v>
      </c>
      <c r="H111" s="196"/>
      <c r="I111" s="197"/>
      <c r="J111" s="1366"/>
      <c r="K111" s="1367"/>
      <c r="L111" s="1368"/>
      <c r="M111" s="1369"/>
      <c r="N111" s="1370"/>
      <c r="O111" s="1371"/>
      <c r="P111" s="1269"/>
      <c r="Q111" s="1270"/>
      <c r="R111" s="1372"/>
      <c r="S111" s="569">
        <v>45716</v>
      </c>
      <c r="T111" s="563">
        <v>119200</v>
      </c>
      <c r="U111" s="535">
        <f>119200*1.21</f>
        <v>144232</v>
      </c>
      <c r="V111" s="304">
        <f>SUM(F111-Q119-T119)</f>
        <v>3200</v>
      </c>
      <c r="W111" s="305">
        <f>SUM(G111-R119-U119)</f>
        <v>3872</v>
      </c>
      <c r="X111" s="163"/>
    </row>
    <row r="112" spans="2:24" s="112" customFormat="1">
      <c r="B112" s="209"/>
      <c r="C112" s="210"/>
      <c r="D112" s="163"/>
      <c r="E112" s="316"/>
      <c r="F112" s="211"/>
      <c r="G112" s="211"/>
      <c r="H112" s="212"/>
      <c r="I112" s="213"/>
      <c r="J112" s="1320"/>
      <c r="K112" s="1321"/>
      <c r="L112" s="1322"/>
      <c r="M112" s="1332"/>
      <c r="N112" s="1333"/>
      <c r="O112" s="1334"/>
      <c r="P112" s="1272"/>
      <c r="Q112" s="1273"/>
      <c r="R112" s="1344"/>
      <c r="S112" s="1092" t="s">
        <v>5988</v>
      </c>
      <c r="T112" s="752">
        <v>119200</v>
      </c>
      <c r="U112" s="1249">
        <f>119200*1.21</f>
        <v>144232</v>
      </c>
      <c r="V112" s="221"/>
      <c r="W112" s="221"/>
      <c r="X112" s="163"/>
    </row>
    <row r="113" spans="2:24" s="112" customFormat="1">
      <c r="B113" s="141"/>
      <c r="C113" s="210"/>
      <c r="D113" s="163"/>
      <c r="E113" s="316"/>
      <c r="F113" s="211"/>
      <c r="G113" s="211"/>
      <c r="H113" s="212"/>
      <c r="I113" s="213"/>
      <c r="J113" s="1323"/>
      <c r="K113" s="1324"/>
      <c r="L113" s="1325"/>
      <c r="M113" s="1335"/>
      <c r="N113" s="1336"/>
      <c r="O113" s="1337"/>
      <c r="P113" s="1345"/>
      <c r="Q113" s="1346"/>
      <c r="R113" s="1347"/>
      <c r="S113" s="1250" t="s">
        <v>5696</v>
      </c>
      <c r="T113" s="1251">
        <v>238400</v>
      </c>
      <c r="U113" s="1252">
        <f>T113/100*121</f>
        <v>288464</v>
      </c>
      <c r="V113" s="225"/>
      <c r="W113" s="225"/>
      <c r="X113" s="163"/>
    </row>
    <row r="114" spans="2:24" s="112" customFormat="1">
      <c r="B114" s="141"/>
      <c r="C114" s="210"/>
      <c r="D114" s="163"/>
      <c r="E114" s="316"/>
      <c r="F114" s="211"/>
      <c r="G114" s="211"/>
      <c r="H114" s="212"/>
      <c r="I114" s="213"/>
      <c r="J114" s="1326"/>
      <c r="K114" s="1327"/>
      <c r="L114" s="1328"/>
      <c r="M114" s="1338"/>
      <c r="N114" s="1339"/>
      <c r="O114" s="1340"/>
      <c r="P114" s="1348"/>
      <c r="Q114" s="1280"/>
      <c r="R114" s="1349"/>
      <c r="S114" s="565"/>
      <c r="T114" s="547"/>
      <c r="U114" s="616"/>
      <c r="V114" s="225"/>
      <c r="W114" s="225"/>
      <c r="X114" s="163"/>
    </row>
    <row r="115" spans="2:24" s="112" customFormat="1">
      <c r="B115" s="141"/>
      <c r="C115" s="210"/>
      <c r="D115" s="163"/>
      <c r="E115" s="316"/>
      <c r="F115" s="211"/>
      <c r="G115" s="211"/>
      <c r="H115" s="212"/>
      <c r="I115" s="213"/>
      <c r="J115" s="1326"/>
      <c r="K115" s="1327"/>
      <c r="L115" s="1328"/>
      <c r="M115" s="1338"/>
      <c r="N115" s="1339"/>
      <c r="O115" s="1340"/>
      <c r="P115" s="1348"/>
      <c r="Q115" s="1280"/>
      <c r="R115" s="1350"/>
      <c r="S115" s="566"/>
      <c r="T115" s="547"/>
      <c r="U115" s="616"/>
      <c r="V115" s="225"/>
      <c r="W115" s="225"/>
      <c r="X115" s="163"/>
    </row>
    <row r="116" spans="2:24" s="112" customFormat="1">
      <c r="B116" s="141"/>
      <c r="C116" s="210"/>
      <c r="D116" s="163"/>
      <c r="E116" s="316"/>
      <c r="F116" s="211"/>
      <c r="G116" s="211"/>
      <c r="H116" s="212"/>
      <c r="I116" s="213"/>
      <c r="J116" s="1326"/>
      <c r="K116" s="1327"/>
      <c r="L116" s="1328"/>
      <c r="M116" s="1338"/>
      <c r="N116" s="1339"/>
      <c r="O116" s="1340"/>
      <c r="P116" s="1348"/>
      <c r="Q116" s="1280"/>
      <c r="R116" s="1350"/>
      <c r="S116" s="566"/>
      <c r="T116" s="547"/>
      <c r="U116" s="616"/>
      <c r="V116" s="225"/>
      <c r="W116" s="225"/>
      <c r="X116" s="163"/>
    </row>
    <row r="117" spans="2:24" s="112" customFormat="1">
      <c r="B117" s="141"/>
      <c r="C117" s="210"/>
      <c r="D117" s="163"/>
      <c r="E117" s="316"/>
      <c r="F117" s="211"/>
      <c r="G117" s="211"/>
      <c r="H117" s="212"/>
      <c r="I117" s="213"/>
      <c r="J117" s="1326"/>
      <c r="K117" s="1327"/>
      <c r="L117" s="1328"/>
      <c r="M117" s="1338"/>
      <c r="N117" s="1339"/>
      <c r="O117" s="1340"/>
      <c r="P117" s="1348"/>
      <c r="Q117" s="1280"/>
      <c r="R117" s="1350"/>
      <c r="S117" s="566"/>
      <c r="T117" s="547"/>
      <c r="U117" s="616"/>
      <c r="V117" s="225"/>
      <c r="W117" s="225"/>
      <c r="X117" s="163"/>
    </row>
    <row r="118" spans="2:24" s="112" customFormat="1">
      <c r="B118" s="141"/>
      <c r="C118" s="210"/>
      <c r="D118" s="163"/>
      <c r="E118" s="316"/>
      <c r="F118" s="211"/>
      <c r="G118" s="211"/>
      <c r="H118" s="212"/>
      <c r="I118" s="213"/>
      <c r="J118" s="1326"/>
      <c r="K118" s="1327"/>
      <c r="L118" s="1328"/>
      <c r="M118" s="1338"/>
      <c r="N118" s="1339"/>
      <c r="O118" s="1340"/>
      <c r="P118" s="1279"/>
      <c r="Q118" s="1280"/>
      <c r="R118" s="1281"/>
      <c r="S118" s="539"/>
      <c r="T118" s="547"/>
      <c r="U118" s="548"/>
    </row>
    <row r="119" spans="2:24" s="112" customFormat="1" ht="13.8" thickBot="1">
      <c r="B119" s="141"/>
      <c r="C119" s="210"/>
      <c r="D119" s="163"/>
      <c r="E119" s="316"/>
      <c r="F119" s="211"/>
      <c r="G119" s="211"/>
      <c r="H119" s="212"/>
      <c r="I119" s="293" t="s">
        <v>4865</v>
      </c>
      <c r="J119" s="1329"/>
      <c r="K119" s="1330"/>
      <c r="L119" s="1331"/>
      <c r="M119" s="1341"/>
      <c r="N119" s="1342"/>
      <c r="O119" s="1343"/>
      <c r="P119" s="1282"/>
      <c r="Q119" s="1283"/>
      <c r="R119" s="1284"/>
      <c r="S119" s="540"/>
      <c r="T119" s="541">
        <f>SUM(T111:T118)</f>
        <v>476800</v>
      </c>
      <c r="U119" s="542">
        <f>SUM(U111:U118)</f>
        <v>576928</v>
      </c>
    </row>
    <row r="120" spans="2:24" ht="13.8" thickBot="1">
      <c r="B120" s="380" t="s">
        <v>6012</v>
      </c>
      <c r="C120" s="381" t="s">
        <v>6101</v>
      </c>
      <c r="D120" s="382">
        <v>22302174</v>
      </c>
      <c r="E120" s="388" t="s">
        <v>6102</v>
      </c>
      <c r="F120" s="407">
        <v>948000</v>
      </c>
      <c r="G120" s="408">
        <v>1147080</v>
      </c>
      <c r="H120" s="409">
        <v>46173</v>
      </c>
      <c r="I120" s="410"/>
      <c r="J120" s="691"/>
      <c r="K120" s="692"/>
      <c r="L120" s="693"/>
      <c r="M120" s="472"/>
      <c r="N120" s="412"/>
      <c r="O120" s="413"/>
      <c r="P120" s="414"/>
      <c r="Q120" s="415"/>
      <c r="R120" s="416"/>
      <c r="S120" s="1381">
        <v>45959</v>
      </c>
      <c r="T120" s="1301">
        <f>U120*100/121</f>
        <v>48000</v>
      </c>
      <c r="U120" s="1302">
        <v>58080</v>
      </c>
      <c r="V120" s="473">
        <f>SUM(F120-Q125-T125)</f>
        <v>810000</v>
      </c>
      <c r="W120" s="474">
        <f>SUM(G120-R125-U125)</f>
        <v>980100</v>
      </c>
    </row>
    <row r="121" spans="2:24">
      <c r="B121" s="384"/>
      <c r="C121" s="390"/>
      <c r="D121" s="390"/>
      <c r="E121" s="390"/>
      <c r="F121" s="482"/>
      <c r="G121" s="482"/>
      <c r="H121" s="483"/>
      <c r="I121" s="419"/>
      <c r="J121" s="683"/>
      <c r="K121" s="694"/>
      <c r="L121" s="695"/>
      <c r="M121" s="475"/>
      <c r="N121" s="421"/>
      <c r="O121" s="422"/>
      <c r="P121" s="423"/>
      <c r="Q121" s="424"/>
      <c r="R121" s="425"/>
      <c r="S121" s="1382">
        <v>45988</v>
      </c>
      <c r="T121" s="1303">
        <f>U121*100/121</f>
        <v>90000</v>
      </c>
      <c r="U121" s="1304">
        <v>108900</v>
      </c>
    </row>
    <row r="122" spans="2:24">
      <c r="B122" s="386"/>
      <c r="C122" s="385"/>
      <c r="D122" s="385"/>
      <c r="E122" s="385"/>
      <c r="F122" s="417"/>
      <c r="G122" s="417"/>
      <c r="H122" s="484"/>
      <c r="I122" s="434"/>
      <c r="J122" s="678"/>
      <c r="K122" s="696"/>
      <c r="L122" s="697"/>
      <c r="M122" s="461"/>
      <c r="N122" s="462"/>
      <c r="O122" s="463"/>
      <c r="P122" s="703"/>
      <c r="Q122" s="444"/>
      <c r="R122" s="445"/>
      <c r="S122" s="584"/>
      <c r="T122" s="459"/>
      <c r="U122" s="460"/>
    </row>
    <row r="123" spans="2:24">
      <c r="B123" s="386"/>
      <c r="C123" s="385"/>
      <c r="D123" s="385"/>
      <c r="E123" s="385"/>
      <c r="F123" s="417"/>
      <c r="G123" s="417"/>
      <c r="H123" s="484"/>
      <c r="I123" s="434"/>
      <c r="J123" s="678"/>
      <c r="K123" s="696"/>
      <c r="L123" s="697"/>
      <c r="M123" s="461"/>
      <c r="N123" s="462"/>
      <c r="O123" s="463"/>
      <c r="P123" s="703"/>
      <c r="Q123" s="444"/>
      <c r="R123" s="445"/>
      <c r="S123" s="584"/>
      <c r="T123" s="459"/>
      <c r="U123" s="460"/>
    </row>
    <row r="124" spans="2:24">
      <c r="B124" s="386"/>
      <c r="C124" s="385"/>
      <c r="D124" s="385"/>
      <c r="E124" s="385"/>
      <c r="F124" s="417"/>
      <c r="G124" s="417"/>
      <c r="H124" s="484"/>
      <c r="I124" s="434"/>
      <c r="J124" s="678"/>
      <c r="K124" s="696"/>
      <c r="L124" s="697"/>
      <c r="M124" s="461"/>
      <c r="N124" s="462"/>
      <c r="O124" s="463"/>
      <c r="P124" s="703"/>
      <c r="Q124" s="444"/>
      <c r="R124" s="445"/>
      <c r="S124" s="584"/>
      <c r="T124" s="459"/>
      <c r="U124" s="460"/>
    </row>
    <row r="125" spans="2:24" ht="13.8" thickBot="1">
      <c r="B125" s="386"/>
      <c r="C125" s="385"/>
      <c r="D125" s="385"/>
      <c r="E125" s="385"/>
      <c r="F125" s="417"/>
      <c r="G125" s="417"/>
      <c r="H125" s="484"/>
      <c r="I125" s="465" t="s">
        <v>4865</v>
      </c>
      <c r="J125" s="688"/>
      <c r="K125" s="698"/>
      <c r="L125" s="699"/>
      <c r="M125" s="449"/>
      <c r="N125" s="476"/>
      <c r="O125" s="477"/>
      <c r="P125" s="704"/>
      <c r="Q125" s="470">
        <f>SUM(Q120:Q123)</f>
        <v>0</v>
      </c>
      <c r="R125" s="471">
        <f>SUM(R120:R123)</f>
        <v>0</v>
      </c>
      <c r="S125" s="589" t="s">
        <v>5445</v>
      </c>
      <c r="T125" s="447">
        <f>SUM(T120:T124)</f>
        <v>138000</v>
      </c>
      <c r="U125" s="448">
        <f>SUM(U120:U124)</f>
        <v>166980</v>
      </c>
    </row>
    <row r="128" spans="2:24" ht="13.8" thickBot="1"/>
    <row r="129" spans="2:23" ht="13.8" thickBot="1">
      <c r="B129" s="380" t="s">
        <v>411</v>
      </c>
      <c r="C129" s="381" t="s">
        <v>412</v>
      </c>
      <c r="D129" s="382">
        <v>60724269</v>
      </c>
      <c r="E129" s="383" t="s">
        <v>4944</v>
      </c>
      <c r="F129" s="407">
        <v>480000</v>
      </c>
      <c r="G129" s="408">
        <v>580800</v>
      </c>
      <c r="H129" s="409">
        <v>46843</v>
      </c>
      <c r="I129" s="410"/>
      <c r="J129" s="670">
        <v>44677</v>
      </c>
      <c r="K129" s="681">
        <v>36900</v>
      </c>
      <c r="L129" s="682">
        <v>44649</v>
      </c>
      <c r="M129" s="411">
        <v>45091</v>
      </c>
      <c r="N129" s="412">
        <v>12000</v>
      </c>
      <c r="O129" s="413">
        <v>14520</v>
      </c>
      <c r="P129" s="414">
        <v>45314</v>
      </c>
      <c r="Q129" s="415">
        <v>54000</v>
      </c>
      <c r="R129" s="416">
        <v>65340</v>
      </c>
      <c r="S129" s="581">
        <v>45761</v>
      </c>
      <c r="T129" s="453">
        <v>5000</v>
      </c>
      <c r="U129" s="454">
        <v>6050</v>
      </c>
      <c r="V129" s="781">
        <f>SUM(F129-K137-N137-Q137-T137)</f>
        <v>269600</v>
      </c>
      <c r="W129" s="782">
        <f>SUM(G129-L137-O137-R137-U137)</f>
        <v>326216</v>
      </c>
    </row>
    <row r="130" spans="2:23">
      <c r="B130" s="780"/>
      <c r="C130" s="385"/>
      <c r="D130" s="379"/>
      <c r="E130" s="385"/>
      <c r="F130" s="417"/>
      <c r="G130" s="417"/>
      <c r="H130" s="418"/>
      <c r="I130" s="419"/>
      <c r="J130" s="672">
        <v>44714</v>
      </c>
      <c r="K130" s="671">
        <v>12600</v>
      </c>
      <c r="L130" s="673">
        <v>15246</v>
      </c>
      <c r="M130" s="420">
        <v>45244</v>
      </c>
      <c r="N130" s="421">
        <v>21500</v>
      </c>
      <c r="O130" s="422">
        <v>26015</v>
      </c>
      <c r="P130" s="423" t="s">
        <v>5445</v>
      </c>
      <c r="Q130" s="424" t="s">
        <v>5445</v>
      </c>
      <c r="R130" s="425" t="s">
        <v>5445</v>
      </c>
      <c r="S130" s="582"/>
      <c r="T130" s="456"/>
      <c r="U130" s="457"/>
      <c r="V130" s="426"/>
      <c r="W130" s="427"/>
    </row>
    <row r="131" spans="2:23">
      <c r="B131" s="386"/>
      <c r="C131" s="385"/>
      <c r="D131" s="379"/>
      <c r="E131" s="385"/>
      <c r="F131" s="417"/>
      <c r="G131" s="417"/>
      <c r="H131" s="418"/>
      <c r="I131" s="419"/>
      <c r="J131" s="672">
        <v>44728</v>
      </c>
      <c r="K131" s="671">
        <v>45000</v>
      </c>
      <c r="L131" s="673">
        <v>54450</v>
      </c>
      <c r="M131" s="428"/>
      <c r="N131" s="429"/>
      <c r="O131" s="430"/>
      <c r="P131" s="423"/>
      <c r="Q131" s="424"/>
      <c r="R131" s="425"/>
      <c r="S131" s="582"/>
      <c r="T131" s="456"/>
      <c r="U131" s="457"/>
      <c r="V131" s="431"/>
      <c r="W131" s="432"/>
    </row>
    <row r="132" spans="2:23">
      <c r="B132" s="386"/>
      <c r="C132" s="385"/>
      <c r="D132" s="379"/>
      <c r="E132" s="385"/>
      <c r="F132" s="417"/>
      <c r="G132" s="417"/>
      <c r="H132" s="418"/>
      <c r="I132" s="419"/>
      <c r="J132" s="674">
        <v>44792</v>
      </c>
      <c r="K132" s="675">
        <v>7400</v>
      </c>
      <c r="L132" s="676">
        <v>8954</v>
      </c>
      <c r="M132" s="428"/>
      <c r="N132" s="429"/>
      <c r="O132" s="430"/>
      <c r="P132" s="423"/>
      <c r="Q132" s="424"/>
      <c r="R132" s="425"/>
      <c r="S132" s="582"/>
      <c r="T132" s="456"/>
      <c r="U132" s="457"/>
      <c r="V132" s="431"/>
      <c r="W132" s="432"/>
    </row>
    <row r="133" spans="2:23">
      <c r="B133" s="386"/>
      <c r="C133" s="385"/>
      <c r="D133" s="379"/>
      <c r="E133" s="385"/>
      <c r="F133" s="417"/>
      <c r="G133" s="417"/>
      <c r="H133" s="418"/>
      <c r="I133" s="419"/>
      <c r="J133" s="672">
        <v>44834</v>
      </c>
      <c r="K133" s="671">
        <v>12000</v>
      </c>
      <c r="L133" s="677">
        <v>14520</v>
      </c>
      <c r="M133" s="428"/>
      <c r="N133" s="429"/>
      <c r="O133" s="430"/>
      <c r="P133" s="423"/>
      <c r="Q133" s="424"/>
      <c r="R133" s="425"/>
      <c r="S133" s="582"/>
      <c r="T133" s="456"/>
      <c r="U133" s="457"/>
      <c r="V133" s="431"/>
      <c r="W133" s="432"/>
    </row>
    <row r="134" spans="2:23">
      <c r="B134" s="386"/>
      <c r="C134" s="385"/>
      <c r="D134" s="379"/>
      <c r="E134" s="385"/>
      <c r="F134" s="417"/>
      <c r="G134" s="417"/>
      <c r="H134" s="418"/>
      <c r="I134" s="419"/>
      <c r="J134" s="672">
        <v>44880</v>
      </c>
      <c r="K134" s="671">
        <v>4000</v>
      </c>
      <c r="L134" s="673">
        <v>4840</v>
      </c>
      <c r="M134" s="428"/>
      <c r="N134" s="429"/>
      <c r="O134" s="430"/>
      <c r="P134" s="423"/>
      <c r="Q134" s="424"/>
      <c r="R134" s="425"/>
      <c r="S134" s="582"/>
      <c r="T134" s="456"/>
      <c r="U134" s="457"/>
      <c r="V134" s="431"/>
      <c r="W134" s="432"/>
    </row>
    <row r="135" spans="2:23">
      <c r="B135" s="386"/>
      <c r="C135" s="385"/>
      <c r="D135" s="379"/>
      <c r="E135" s="385"/>
      <c r="F135" s="417"/>
      <c r="G135" s="417"/>
      <c r="H135" s="418"/>
      <c r="I135" s="419"/>
      <c r="J135" s="672"/>
      <c r="K135" s="671"/>
      <c r="L135" s="673"/>
      <c r="M135" s="428"/>
      <c r="N135" s="429"/>
      <c r="O135" s="430"/>
      <c r="P135" s="664"/>
      <c r="Q135" s="665"/>
      <c r="R135" s="666"/>
      <c r="S135" s="582"/>
      <c r="T135" s="456"/>
      <c r="U135" s="457"/>
      <c r="V135" s="431"/>
      <c r="W135" s="432"/>
    </row>
    <row r="136" spans="2:23">
      <c r="B136" s="386"/>
      <c r="C136" s="385"/>
      <c r="D136" s="379"/>
      <c r="E136" s="385"/>
      <c r="F136" s="417"/>
      <c r="G136" s="417"/>
      <c r="H136" s="418"/>
      <c r="I136" s="419"/>
      <c r="J136" s="672"/>
      <c r="K136" s="671"/>
      <c r="L136" s="673"/>
      <c r="M136" s="428"/>
      <c r="N136" s="429"/>
      <c r="O136" s="430"/>
      <c r="P136" s="433"/>
      <c r="Q136" s="424"/>
      <c r="R136" s="425"/>
      <c r="S136" s="583"/>
      <c r="T136" s="456"/>
      <c r="U136" s="457"/>
      <c r="V136" s="431"/>
      <c r="W136" s="432"/>
    </row>
    <row r="137" spans="2:23" ht="13.8" thickBot="1">
      <c r="B137" s="386"/>
      <c r="C137" s="385"/>
      <c r="D137" s="379"/>
      <c r="E137" s="385"/>
      <c r="F137" s="417"/>
      <c r="G137" s="417"/>
      <c r="H137" s="418"/>
      <c r="I137" s="434" t="s">
        <v>4865</v>
      </c>
      <c r="J137" s="678"/>
      <c r="K137" s="679">
        <v>117900</v>
      </c>
      <c r="L137" s="680">
        <v>142659</v>
      </c>
      <c r="M137" s="435"/>
      <c r="N137" s="480">
        <v>33500</v>
      </c>
      <c r="O137" s="511">
        <v>40535</v>
      </c>
      <c r="P137" s="451"/>
      <c r="Q137" s="470">
        <f>SUM(Q129:Q136)</f>
        <v>54000</v>
      </c>
      <c r="R137" s="471">
        <f>SUM(R129:R136)</f>
        <v>65340</v>
      </c>
      <c r="S137" s="584"/>
      <c r="T137" s="585">
        <f>SUM(T129:T136)</f>
        <v>5000</v>
      </c>
      <c r="U137" s="586">
        <f>SUM(U129:U136)</f>
        <v>6050</v>
      </c>
      <c r="V137" s="431"/>
      <c r="W137" s="432"/>
    </row>
    <row r="138" spans="2:23" ht="13.8" thickBot="1">
      <c r="B138" s="380" t="s">
        <v>496</v>
      </c>
      <c r="C138" s="381" t="s">
        <v>497</v>
      </c>
      <c r="D138" s="382">
        <v>60724269</v>
      </c>
      <c r="E138" s="383" t="s">
        <v>4944</v>
      </c>
      <c r="F138" s="407">
        <v>750000</v>
      </c>
      <c r="G138" s="408">
        <v>907500</v>
      </c>
      <c r="H138" s="409">
        <v>47848</v>
      </c>
      <c r="I138" s="410"/>
      <c r="J138" s="670">
        <v>44925</v>
      </c>
      <c r="K138" s="681">
        <v>150000</v>
      </c>
      <c r="L138" s="682">
        <v>181500</v>
      </c>
      <c r="M138" s="411">
        <v>45167</v>
      </c>
      <c r="N138" s="412">
        <v>60000</v>
      </c>
      <c r="O138" s="413">
        <v>72600</v>
      </c>
      <c r="P138" s="502">
        <v>45429</v>
      </c>
      <c r="Q138" s="503">
        <v>27000</v>
      </c>
      <c r="R138" s="508">
        <v>32670</v>
      </c>
      <c r="S138" s="783">
        <v>45667</v>
      </c>
      <c r="T138" s="453">
        <v>150000</v>
      </c>
      <c r="U138" s="454">
        <v>181500</v>
      </c>
      <c r="V138" s="438">
        <f>F138-K145-N145-Q145-T145</f>
        <v>177000</v>
      </c>
      <c r="W138" s="439">
        <f>G138-L145-O145-R145-U145</f>
        <v>214170</v>
      </c>
    </row>
    <row r="139" spans="2:23">
      <c r="B139" s="384"/>
      <c r="C139" s="385" t="s">
        <v>6106</v>
      </c>
      <c r="D139" s="379"/>
      <c r="E139" s="385"/>
      <c r="F139" s="417"/>
      <c r="G139" s="417"/>
      <c r="H139" s="418"/>
      <c r="I139" s="440"/>
      <c r="J139" s="683"/>
      <c r="K139" s="684"/>
      <c r="L139" s="685"/>
      <c r="M139" s="420">
        <v>45156</v>
      </c>
      <c r="N139" s="421">
        <v>9000</v>
      </c>
      <c r="O139" s="422">
        <v>10890</v>
      </c>
      <c r="P139" s="423">
        <v>45372</v>
      </c>
      <c r="Q139" s="424">
        <v>9000</v>
      </c>
      <c r="R139" s="425">
        <v>10890</v>
      </c>
      <c r="S139" s="1102">
        <v>45698</v>
      </c>
      <c r="T139" s="498">
        <f>72600/121*100</f>
        <v>60000</v>
      </c>
      <c r="U139" s="499">
        <v>72600</v>
      </c>
      <c r="V139" s="431"/>
      <c r="W139" s="432"/>
    </row>
    <row r="140" spans="2:23">
      <c r="B140" s="386"/>
      <c r="C140" s="385"/>
      <c r="D140" s="379"/>
      <c r="E140" s="385"/>
      <c r="F140" s="417"/>
      <c r="G140" s="417"/>
      <c r="H140" s="418"/>
      <c r="I140" s="442"/>
      <c r="J140" s="678"/>
      <c r="K140" s="686"/>
      <c r="L140" s="687"/>
      <c r="M140" s="443">
        <v>45195</v>
      </c>
      <c r="N140" s="421">
        <v>9000</v>
      </c>
      <c r="O140" s="422">
        <v>10890</v>
      </c>
      <c r="P140" s="423">
        <v>45481</v>
      </c>
      <c r="Q140" s="424">
        <v>9000</v>
      </c>
      <c r="R140" s="425">
        <v>10890</v>
      </c>
      <c r="S140" s="786">
        <v>45761</v>
      </c>
      <c r="T140" s="459">
        <v>27000</v>
      </c>
      <c r="U140" s="460">
        <v>32670</v>
      </c>
      <c r="V140" s="431"/>
      <c r="W140" s="432"/>
    </row>
    <row r="141" spans="2:23">
      <c r="B141" s="386"/>
      <c r="C141" s="385"/>
      <c r="D141" s="379"/>
      <c r="E141" s="385"/>
      <c r="F141" s="417"/>
      <c r="G141" s="417"/>
      <c r="H141" s="418"/>
      <c r="I141" s="442"/>
      <c r="J141" s="678"/>
      <c r="K141" s="686"/>
      <c r="L141" s="687"/>
      <c r="M141" s="443">
        <v>45246</v>
      </c>
      <c r="N141" s="421">
        <v>9000</v>
      </c>
      <c r="O141" s="422">
        <v>10890</v>
      </c>
      <c r="P141" s="423">
        <v>45484</v>
      </c>
      <c r="Q141" s="424">
        <v>9000</v>
      </c>
      <c r="R141" s="425">
        <v>10890</v>
      </c>
      <c r="S141" s="786">
        <v>45944</v>
      </c>
      <c r="T141" s="459">
        <v>27000</v>
      </c>
      <c r="U141" s="460">
        <v>32670</v>
      </c>
      <c r="V141" s="431"/>
      <c r="W141" s="432"/>
    </row>
    <row r="142" spans="2:23">
      <c r="B142" s="386"/>
      <c r="C142" s="385"/>
      <c r="D142" s="379"/>
      <c r="E142" s="385"/>
      <c r="F142" s="417"/>
      <c r="G142" s="417"/>
      <c r="H142" s="418"/>
      <c r="I142" s="442"/>
      <c r="J142" s="678"/>
      <c r="K142" s="686"/>
      <c r="L142" s="687"/>
      <c r="M142" s="443"/>
      <c r="N142" s="421"/>
      <c r="O142" s="422"/>
      <c r="P142" s="464">
        <v>45558</v>
      </c>
      <c r="Q142" s="444">
        <v>9000</v>
      </c>
      <c r="R142" s="445">
        <v>10890</v>
      </c>
      <c r="S142" s="786"/>
      <c r="T142" s="459"/>
      <c r="U142" s="460"/>
      <c r="V142" s="431"/>
      <c r="W142" s="432"/>
    </row>
    <row r="143" spans="2:23">
      <c r="B143" s="386"/>
      <c r="C143" s="385"/>
      <c r="D143" s="379"/>
      <c r="E143" s="385"/>
      <c r="F143" s="417"/>
      <c r="G143" s="417"/>
      <c r="H143" s="418"/>
      <c r="I143" s="442"/>
      <c r="J143" s="678"/>
      <c r="K143" s="686"/>
      <c r="L143" s="687"/>
      <c r="M143" s="443"/>
      <c r="N143" s="421"/>
      <c r="O143" s="422"/>
      <c r="P143" s="423">
        <v>45607</v>
      </c>
      <c r="Q143" s="424">
        <v>9000</v>
      </c>
      <c r="R143" s="425">
        <v>10890</v>
      </c>
      <c r="S143" s="786"/>
      <c r="T143" s="459"/>
      <c r="U143" s="460"/>
      <c r="V143" s="431"/>
      <c r="W143" s="432"/>
    </row>
    <row r="144" spans="2:23">
      <c r="B144" s="386"/>
      <c r="C144" s="385"/>
      <c r="D144" s="379"/>
      <c r="E144" s="385"/>
      <c r="F144" s="417"/>
      <c r="G144" s="417"/>
      <c r="H144" s="418"/>
      <c r="I144" s="446"/>
      <c r="J144" s="678"/>
      <c r="K144" s="686"/>
      <c r="L144" s="687"/>
      <c r="M144" s="443"/>
      <c r="N144" s="421"/>
      <c r="O144" s="422"/>
      <c r="P144" s="436"/>
      <c r="Q144" s="444"/>
      <c r="R144" s="445"/>
      <c r="S144" s="584"/>
      <c r="T144" s="459"/>
      <c r="U144" s="460"/>
      <c r="V144" s="431"/>
      <c r="W144" s="432"/>
    </row>
    <row r="145" spans="1:23" ht="13.8" thickBot="1">
      <c r="B145" s="386"/>
      <c r="C145" s="385"/>
      <c r="D145" s="379"/>
      <c r="E145" s="385"/>
      <c r="F145" s="417"/>
      <c r="G145" s="417"/>
      <c r="H145" s="418"/>
      <c r="I145" s="1318" t="s">
        <v>4865</v>
      </c>
      <c r="J145" s="688"/>
      <c r="K145" s="689">
        <v>150000</v>
      </c>
      <c r="L145" s="690">
        <v>181500</v>
      </c>
      <c r="M145" s="449"/>
      <c r="N145" s="450">
        <v>87000</v>
      </c>
      <c r="O145" s="1319">
        <v>105270</v>
      </c>
      <c r="P145" s="451"/>
      <c r="Q145" s="470">
        <f>SUM(Q138:Q144)</f>
        <v>72000</v>
      </c>
      <c r="R145" s="471">
        <f>SUM(R138:R144)</f>
        <v>87120</v>
      </c>
      <c r="S145" s="589"/>
      <c r="T145" s="447">
        <f>SUM(T138:T144)</f>
        <v>264000</v>
      </c>
      <c r="U145" s="448">
        <f>SUM(U138:U144)</f>
        <v>319440</v>
      </c>
      <c r="V145" s="431"/>
      <c r="W145" s="432"/>
    </row>
    <row r="150" spans="1:23">
      <c r="I150" s="1317"/>
      <c r="J150" s="1317"/>
      <c r="K150" s="1317"/>
      <c r="L150" s="1317"/>
      <c r="M150" s="1317"/>
      <c r="N150" s="1317"/>
      <c r="O150" s="1317"/>
      <c r="P150" s="1317"/>
      <c r="Q150" s="1317"/>
      <c r="R150" s="1317"/>
      <c r="S150" s="1317"/>
      <c r="T150" s="1317"/>
      <c r="U150" s="1317"/>
    </row>
    <row r="151" spans="1:23">
      <c r="I151" s="1317"/>
      <c r="J151" s="1317"/>
      <c r="K151" s="1317"/>
      <c r="L151" s="1317"/>
      <c r="M151" s="1317"/>
      <c r="N151" s="1317"/>
      <c r="O151" s="1317"/>
      <c r="P151" s="1317"/>
      <c r="Q151" s="1317"/>
      <c r="R151" s="1317"/>
      <c r="S151" s="1317"/>
      <c r="T151" s="1317"/>
      <c r="U151" s="1317"/>
    </row>
    <row r="152" spans="1:23">
      <c r="B152" s="731" t="s">
        <v>5237</v>
      </c>
      <c r="C152" s="385"/>
      <c r="D152" s="385"/>
      <c r="E152" s="385"/>
      <c r="F152" s="417"/>
      <c r="G152" s="417"/>
      <c r="H152" s="418"/>
      <c r="I152" s="1315"/>
      <c r="J152" s="432"/>
      <c r="K152" s="713"/>
      <c r="L152" s="713"/>
      <c r="M152" s="432"/>
      <c r="N152" s="713"/>
      <c r="O152" s="713"/>
      <c r="P152" s="1316"/>
      <c r="Q152" s="510"/>
      <c r="R152" s="510"/>
      <c r="S152" s="432"/>
      <c r="T152" s="713"/>
      <c r="U152" s="713"/>
    </row>
    <row r="153" spans="1:23" ht="13.8" thickBot="1">
      <c r="B153" s="386"/>
      <c r="C153" s="385"/>
      <c r="D153" s="385"/>
      <c r="E153" s="385"/>
      <c r="F153" s="417"/>
      <c r="G153" s="417"/>
      <c r="H153" s="418"/>
      <c r="I153" s="724"/>
      <c r="J153" s="452"/>
      <c r="K153" s="712"/>
      <c r="L153" s="712"/>
      <c r="M153" s="452"/>
      <c r="N153" s="712"/>
      <c r="O153" s="712"/>
      <c r="P153" s="725"/>
      <c r="Q153" s="715"/>
      <c r="R153" s="715"/>
      <c r="S153" s="452"/>
      <c r="T153" s="712"/>
      <c r="U153" s="712"/>
    </row>
    <row r="154" spans="1:23" s="112" customFormat="1" ht="13.8" thickBot="1">
      <c r="A154" s="96"/>
      <c r="B154" s="380" t="s">
        <v>886</v>
      </c>
      <c r="C154" s="381" t="s">
        <v>887</v>
      </c>
      <c r="D154" s="382">
        <v>71332111</v>
      </c>
      <c r="E154" s="388" t="s">
        <v>5091</v>
      </c>
      <c r="F154" s="407"/>
      <c r="G154" s="408"/>
      <c r="H154" s="409">
        <v>2958465</v>
      </c>
      <c r="I154" s="410"/>
      <c r="J154" s="691"/>
      <c r="K154" s="692"/>
      <c r="L154" s="693"/>
      <c r="M154" s="472"/>
      <c r="N154" s="412"/>
      <c r="O154" s="413"/>
      <c r="P154" s="414">
        <v>45343</v>
      </c>
      <c r="Q154" s="415">
        <f>191470.4*100/121</f>
        <v>158240</v>
      </c>
      <c r="R154" s="416">
        <v>191470.4</v>
      </c>
      <c r="S154" s="581">
        <v>45678</v>
      </c>
      <c r="T154" s="453">
        <f>48049.1/121*100</f>
        <v>39710</v>
      </c>
      <c r="U154" s="454">
        <v>48049.1</v>
      </c>
      <c r="V154" s="473">
        <f>Q169+T169</f>
        <v>2816918.6198347108</v>
      </c>
      <c r="W154" s="474">
        <f>R169+U169</f>
        <v>3408471.53</v>
      </c>
    </row>
    <row r="155" spans="1:23" s="112" customFormat="1">
      <c r="A155" s="96"/>
      <c r="B155" s="384"/>
      <c r="C155" s="390"/>
      <c r="D155" s="390"/>
      <c r="E155" s="390"/>
      <c r="F155" s="482"/>
      <c r="G155" s="482"/>
      <c r="H155" s="483"/>
      <c r="I155" s="419"/>
      <c r="J155" s="683"/>
      <c r="K155" s="694"/>
      <c r="L155" s="695"/>
      <c r="M155" s="475"/>
      <c r="N155" s="421"/>
      <c r="O155" s="422"/>
      <c r="P155" s="423">
        <v>45371</v>
      </c>
      <c r="Q155" s="424">
        <f>95735.2*100/121</f>
        <v>79120</v>
      </c>
      <c r="R155" s="425">
        <v>95735.2</v>
      </c>
      <c r="S155" s="582">
        <v>45678</v>
      </c>
      <c r="T155" s="456">
        <f>48049.1/121*100</f>
        <v>39710</v>
      </c>
      <c r="U155" s="457">
        <v>48049.1</v>
      </c>
      <c r="V155" s="431" t="s">
        <v>5313</v>
      </c>
      <c r="W155" s="96"/>
    </row>
    <row r="156" spans="1:23" s="112" customFormat="1">
      <c r="A156" s="96"/>
      <c r="B156" s="386"/>
      <c r="C156" s="385"/>
      <c r="D156" s="385"/>
      <c r="E156" s="385"/>
      <c r="F156" s="417"/>
      <c r="G156" s="417"/>
      <c r="H156" s="484"/>
      <c r="I156" s="434"/>
      <c r="J156" s="678"/>
      <c r="K156" s="696"/>
      <c r="L156" s="697"/>
      <c r="M156" s="461"/>
      <c r="N156" s="462"/>
      <c r="O156" s="463"/>
      <c r="P156" s="464">
        <v>45404</v>
      </c>
      <c r="Q156" s="444">
        <f>143784.3*100/121</f>
        <v>118829.99999999999</v>
      </c>
      <c r="R156" s="445">
        <v>143784.29999999999</v>
      </c>
      <c r="S156" s="591">
        <v>45726</v>
      </c>
      <c r="T156" s="459">
        <v>118830</v>
      </c>
      <c r="U156" s="460">
        <v>143784.29999999999</v>
      </c>
      <c r="V156" s="96"/>
      <c r="W156" s="96"/>
    </row>
    <row r="157" spans="1:23" s="112" customFormat="1">
      <c r="A157" s="96"/>
      <c r="B157" s="386"/>
      <c r="C157" s="385"/>
      <c r="D157" s="385"/>
      <c r="E157" s="385"/>
      <c r="F157" s="417"/>
      <c r="G157" s="417"/>
      <c r="H157" s="484"/>
      <c r="I157" s="434"/>
      <c r="J157" s="678"/>
      <c r="K157" s="696"/>
      <c r="L157" s="697"/>
      <c r="M157" s="461"/>
      <c r="N157" s="462"/>
      <c r="O157" s="463"/>
      <c r="P157" s="464">
        <v>45433</v>
      </c>
      <c r="Q157" s="444">
        <f>96098.2*100/121</f>
        <v>79420</v>
      </c>
      <c r="R157" s="445">
        <v>96098.2</v>
      </c>
      <c r="S157" s="591">
        <v>45726</v>
      </c>
      <c r="T157" s="459">
        <v>79720</v>
      </c>
      <c r="U157" s="460">
        <v>96461.2</v>
      </c>
      <c r="V157" s="96"/>
      <c r="W157" s="96"/>
    </row>
    <row r="158" spans="1:23" s="112" customFormat="1">
      <c r="A158" s="96"/>
      <c r="B158" s="386"/>
      <c r="C158" s="385"/>
      <c r="D158" s="385"/>
      <c r="E158" s="385"/>
      <c r="F158" s="417"/>
      <c r="G158" s="417"/>
      <c r="H158" s="484"/>
      <c r="I158" s="434"/>
      <c r="J158" s="678"/>
      <c r="K158" s="696"/>
      <c r="L158" s="697"/>
      <c r="M158" s="461"/>
      <c r="N158" s="462"/>
      <c r="O158" s="463"/>
      <c r="P158" s="464">
        <v>45474</v>
      </c>
      <c r="Q158" s="444">
        <f>96098.2*100/121</f>
        <v>79420</v>
      </c>
      <c r="R158" s="445">
        <v>96098.2</v>
      </c>
      <c r="S158" s="591">
        <v>45776</v>
      </c>
      <c r="T158" s="459">
        <v>79720</v>
      </c>
      <c r="U158" s="460">
        <v>96461.2</v>
      </c>
      <c r="V158" s="96"/>
      <c r="W158" s="96"/>
    </row>
    <row r="159" spans="1:23" s="112" customFormat="1">
      <c r="A159" s="96"/>
      <c r="B159" s="386"/>
      <c r="C159" s="385"/>
      <c r="D159" s="385"/>
      <c r="E159" s="385"/>
      <c r="F159" s="417"/>
      <c r="G159" s="417"/>
      <c r="H159" s="484"/>
      <c r="I159" s="434"/>
      <c r="J159" s="678"/>
      <c r="K159" s="696"/>
      <c r="L159" s="697"/>
      <c r="M159" s="461"/>
      <c r="N159" s="462"/>
      <c r="O159" s="463"/>
      <c r="P159" s="464">
        <v>45520</v>
      </c>
      <c r="Q159" s="444">
        <f>95735.2*100/121</f>
        <v>79120</v>
      </c>
      <c r="R159" s="445">
        <v>95735.2</v>
      </c>
      <c r="S159" s="591">
        <v>45818</v>
      </c>
      <c r="T159" s="459">
        <f>95819.9*100/121</f>
        <v>79190</v>
      </c>
      <c r="U159" s="460">
        <v>95819.9</v>
      </c>
      <c r="V159" s="96"/>
      <c r="W159" s="96"/>
    </row>
    <row r="160" spans="1:23" s="112" customFormat="1">
      <c r="A160" s="96"/>
      <c r="B160" s="386"/>
      <c r="C160" s="385"/>
      <c r="D160" s="385"/>
      <c r="E160" s="385"/>
      <c r="F160" s="417"/>
      <c r="G160" s="417"/>
      <c r="H160" s="484"/>
      <c r="I160" s="434"/>
      <c r="J160" s="678"/>
      <c r="K160" s="696"/>
      <c r="L160" s="697"/>
      <c r="M160" s="461"/>
      <c r="N160" s="462"/>
      <c r="O160" s="463"/>
      <c r="P160" s="464">
        <v>45554</v>
      </c>
      <c r="Q160" s="444">
        <f>48049.1*100/121</f>
        <v>39710</v>
      </c>
      <c r="R160" s="445">
        <v>48049.1</v>
      </c>
      <c r="S160" s="591">
        <v>45818</v>
      </c>
      <c r="T160" s="459">
        <f>48182.2*100/121</f>
        <v>39820</v>
      </c>
      <c r="U160" s="460">
        <v>48182.2</v>
      </c>
      <c r="V160" s="96"/>
      <c r="W160" s="96"/>
    </row>
    <row r="161" spans="1:23" s="112" customFormat="1">
      <c r="A161" s="96"/>
      <c r="B161" s="386"/>
      <c r="C161" s="385"/>
      <c r="D161" s="385"/>
      <c r="E161" s="385"/>
      <c r="F161" s="417"/>
      <c r="G161" s="417"/>
      <c r="H161" s="484"/>
      <c r="I161" s="434"/>
      <c r="J161" s="678"/>
      <c r="K161" s="696"/>
      <c r="L161" s="697"/>
      <c r="M161" s="461"/>
      <c r="N161" s="462"/>
      <c r="O161" s="463"/>
      <c r="P161" s="464">
        <v>45597</v>
      </c>
      <c r="Q161" s="444">
        <f>96098.2*100/121</f>
        <v>79420</v>
      </c>
      <c r="R161" s="445">
        <v>96098.2</v>
      </c>
      <c r="S161" s="591">
        <v>45835</v>
      </c>
      <c r="T161" s="459">
        <v>79270</v>
      </c>
      <c r="U161" s="460">
        <v>95916.7</v>
      </c>
      <c r="V161" s="96"/>
      <c r="W161" s="96"/>
    </row>
    <row r="162" spans="1:23" s="112" customFormat="1">
      <c r="A162" s="96"/>
      <c r="B162" s="386"/>
      <c r="C162" s="385"/>
      <c r="D162" s="385"/>
      <c r="E162" s="385"/>
      <c r="F162" s="417"/>
      <c r="G162" s="417"/>
      <c r="H162" s="484"/>
      <c r="I162" s="434"/>
      <c r="J162" s="678"/>
      <c r="K162" s="696"/>
      <c r="L162" s="697"/>
      <c r="M162" s="461"/>
      <c r="N162" s="462"/>
      <c r="O162" s="463"/>
      <c r="P162" s="464">
        <v>45617</v>
      </c>
      <c r="Q162" s="444">
        <v>118830</v>
      </c>
      <c r="R162" s="445">
        <v>143784.29999999999</v>
      </c>
      <c r="S162" s="591">
        <v>45866</v>
      </c>
      <c r="T162" s="459">
        <f>U162*100/121</f>
        <v>159440</v>
      </c>
      <c r="U162" s="460">
        <v>192922.4</v>
      </c>
      <c r="V162" s="96"/>
      <c r="W162" s="96"/>
    </row>
    <row r="163" spans="1:23" s="112" customFormat="1">
      <c r="A163" s="96"/>
      <c r="B163" s="386"/>
      <c r="C163" s="385"/>
      <c r="D163" s="385"/>
      <c r="E163" s="385"/>
      <c r="F163" s="417"/>
      <c r="G163" s="417"/>
      <c r="H163" s="484"/>
      <c r="I163" s="434"/>
      <c r="J163" s="678"/>
      <c r="K163" s="696"/>
      <c r="L163" s="697"/>
      <c r="M163" s="461"/>
      <c r="N163" s="462"/>
      <c r="O163" s="463"/>
      <c r="P163" s="464">
        <v>45646</v>
      </c>
      <c r="Q163" s="444">
        <f>95735.2*100/121</f>
        <v>79120</v>
      </c>
      <c r="R163" s="445">
        <v>95735.2</v>
      </c>
      <c r="S163" s="1311">
        <v>45896</v>
      </c>
      <c r="T163" s="1306">
        <f>U163*100/121</f>
        <v>238839.94214876034</v>
      </c>
      <c r="U163" s="1307">
        <v>288996.33</v>
      </c>
      <c r="V163" s="96"/>
      <c r="W163" s="96"/>
    </row>
    <row r="164" spans="1:23" s="112" customFormat="1">
      <c r="A164" s="96"/>
      <c r="B164" s="386"/>
      <c r="C164" s="385"/>
      <c r="D164" s="385"/>
      <c r="E164" s="385"/>
      <c r="F164" s="417"/>
      <c r="G164" s="417"/>
      <c r="H164" s="484"/>
      <c r="I164" s="434"/>
      <c r="J164" s="678"/>
      <c r="K164" s="696"/>
      <c r="L164" s="697"/>
      <c r="M164" s="461"/>
      <c r="N164" s="462"/>
      <c r="O164" s="463"/>
      <c r="P164" s="703"/>
      <c r="Q164" s="444"/>
      <c r="R164" s="445"/>
      <c r="S164" s="1311">
        <v>45931</v>
      </c>
      <c r="T164" s="1306">
        <v>237570</v>
      </c>
      <c r="U164" s="1307">
        <v>287459.7</v>
      </c>
      <c r="V164" s="96"/>
      <c r="W164" s="96"/>
    </row>
    <row r="165" spans="1:23" s="112" customFormat="1">
      <c r="A165" s="96"/>
      <c r="B165" s="386"/>
      <c r="C165" s="385"/>
      <c r="D165" s="385"/>
      <c r="E165" s="385"/>
      <c r="F165" s="417"/>
      <c r="G165" s="417"/>
      <c r="H165" s="484"/>
      <c r="I165" s="434"/>
      <c r="J165" s="678"/>
      <c r="K165" s="696"/>
      <c r="L165" s="697"/>
      <c r="M165" s="461"/>
      <c r="N165" s="462"/>
      <c r="O165" s="463"/>
      <c r="P165" s="703"/>
      <c r="Q165" s="444"/>
      <c r="R165" s="445"/>
      <c r="S165" s="1311">
        <v>45959</v>
      </c>
      <c r="T165" s="1306">
        <v>238149.33884297521</v>
      </c>
      <c r="U165" s="1307">
        <v>288160.7</v>
      </c>
      <c r="V165" s="96"/>
      <c r="W165" s="96"/>
    </row>
    <row r="166" spans="1:23" s="112" customFormat="1">
      <c r="A166" s="96"/>
      <c r="B166" s="386"/>
      <c r="C166" s="385"/>
      <c r="D166" s="385"/>
      <c r="E166" s="385"/>
      <c r="F166" s="417"/>
      <c r="G166" s="417"/>
      <c r="H166" s="484"/>
      <c r="I166" s="434"/>
      <c r="J166" s="678"/>
      <c r="K166" s="696"/>
      <c r="L166" s="697"/>
      <c r="M166" s="461"/>
      <c r="N166" s="462"/>
      <c r="O166" s="463"/>
      <c r="P166" s="703"/>
      <c r="Q166" s="444"/>
      <c r="R166" s="445"/>
      <c r="S166" s="1311">
        <v>45989</v>
      </c>
      <c r="T166" s="1306">
        <v>237570</v>
      </c>
      <c r="U166" s="1307">
        <v>287459.7</v>
      </c>
      <c r="V166" s="96"/>
      <c r="W166" s="96"/>
    </row>
    <row r="167" spans="1:23" s="112" customFormat="1">
      <c r="A167" s="96"/>
      <c r="B167" s="386"/>
      <c r="C167" s="385"/>
      <c r="D167" s="385"/>
      <c r="E167" s="385"/>
      <c r="F167" s="417"/>
      <c r="G167" s="417"/>
      <c r="H167" s="484"/>
      <c r="I167" s="434"/>
      <c r="J167" s="678"/>
      <c r="K167" s="696"/>
      <c r="L167" s="697"/>
      <c r="M167" s="461"/>
      <c r="N167" s="462"/>
      <c r="O167" s="463"/>
      <c r="P167" s="703"/>
      <c r="Q167" s="444"/>
      <c r="R167" s="445"/>
      <c r="S167" s="1312">
        <v>46022</v>
      </c>
      <c r="T167" s="1313">
        <v>238149.33884297521</v>
      </c>
      <c r="U167" s="1314">
        <v>288160.7</v>
      </c>
      <c r="V167" s="96"/>
      <c r="W167" s="96"/>
    </row>
    <row r="168" spans="1:23" s="112" customFormat="1">
      <c r="A168" s="96"/>
      <c r="B168" s="386"/>
      <c r="C168" s="385"/>
      <c r="D168" s="385"/>
      <c r="E168" s="385"/>
      <c r="F168" s="417"/>
      <c r="G168" s="417"/>
      <c r="H168" s="484"/>
      <c r="I168" s="434"/>
      <c r="J168" s="678"/>
      <c r="K168" s="696"/>
      <c r="L168" s="697"/>
      <c r="M168" s="461"/>
      <c r="N168" s="462"/>
      <c r="O168" s="463"/>
      <c r="P168" s="703"/>
      <c r="Q168" s="444"/>
      <c r="R168" s="445"/>
      <c r="S168" s="779"/>
      <c r="T168" s="459"/>
      <c r="U168" s="460"/>
      <c r="V168" s="96"/>
      <c r="W168" s="96"/>
    </row>
    <row r="169" spans="1:23" s="112" customFormat="1" ht="13.8" thickBot="1">
      <c r="A169" s="96"/>
      <c r="B169" s="386"/>
      <c r="C169" s="385"/>
      <c r="D169" s="385"/>
      <c r="E169" s="385"/>
      <c r="F169" s="417"/>
      <c r="G169" s="417"/>
      <c r="H169" s="484"/>
      <c r="I169" s="465" t="s">
        <v>4865</v>
      </c>
      <c r="J169" s="688"/>
      <c r="K169" s="698"/>
      <c r="L169" s="699"/>
      <c r="M169" s="449"/>
      <c r="N169" s="476"/>
      <c r="O169" s="477"/>
      <c r="P169" s="704"/>
      <c r="Q169" s="470">
        <f>SUM(Q154:Q168)</f>
        <v>911230</v>
      </c>
      <c r="R169" s="471">
        <f>SUM(R154:R168)</f>
        <v>1102588.2999999998</v>
      </c>
      <c r="S169" s="589"/>
      <c r="T169" s="447">
        <f>SUM(T154:T168)</f>
        <v>1905688.6198347108</v>
      </c>
      <c r="U169" s="448">
        <f>SUM(U154:U168)</f>
        <v>2305883.23</v>
      </c>
      <c r="V169" s="96"/>
      <c r="W169" s="96"/>
    </row>
    <row r="170" spans="1:23" s="112" customFormat="1" ht="13.8" thickBot="1">
      <c r="B170" s="172" t="s">
        <v>4534</v>
      </c>
      <c r="C170" s="192" t="s">
        <v>4536</v>
      </c>
      <c r="D170" s="242">
        <v>9692142</v>
      </c>
      <c r="E170" s="193" t="s">
        <v>3671</v>
      </c>
      <c r="F170" s="194">
        <v>1990000</v>
      </c>
      <c r="G170" s="195">
        <v>2407900</v>
      </c>
      <c r="H170" s="196">
        <v>46955</v>
      </c>
      <c r="I170" s="197"/>
      <c r="J170" s="691"/>
      <c r="K170" s="692"/>
      <c r="L170" s="693"/>
      <c r="M170" s="201"/>
      <c r="N170" s="202"/>
      <c r="O170" s="203"/>
      <c r="P170" s="414">
        <v>45596</v>
      </c>
      <c r="Q170" s="415">
        <v>73334</v>
      </c>
      <c r="R170" s="416">
        <v>88734.14</v>
      </c>
      <c r="S170" s="569">
        <v>45698</v>
      </c>
      <c r="T170" s="563">
        <v>58334</v>
      </c>
      <c r="U170" s="564">
        <v>70584.14</v>
      </c>
      <c r="V170" s="247">
        <f>SUM(F170-Q181-T181)</f>
        <v>1236669</v>
      </c>
      <c r="W170" s="248">
        <f>SUM(G170-R181-U181)</f>
        <v>1496369.49</v>
      </c>
    </row>
    <row r="171" spans="1:23" s="112" customFormat="1">
      <c r="B171" s="209"/>
      <c r="C171" s="210"/>
      <c r="D171" s="163"/>
      <c r="E171" s="210"/>
      <c r="F171" s="211"/>
      <c r="G171" s="211"/>
      <c r="H171" s="212"/>
      <c r="I171" s="213"/>
      <c r="J171" s="683"/>
      <c r="K171" s="694"/>
      <c r="L171" s="695"/>
      <c r="M171" s="216"/>
      <c r="N171" s="217"/>
      <c r="O171" s="218"/>
      <c r="P171" s="423">
        <v>45639</v>
      </c>
      <c r="Q171" s="722">
        <v>73334</v>
      </c>
      <c r="R171" s="478">
        <v>88734.14</v>
      </c>
      <c r="S171" s="570">
        <v>45721</v>
      </c>
      <c r="T171" s="543">
        <v>58331</v>
      </c>
      <c r="U171" s="544">
        <v>70580.509999999995</v>
      </c>
      <c r="V171" s="225"/>
      <c r="W171" s="225"/>
    </row>
    <row r="172" spans="1:23" s="112" customFormat="1">
      <c r="B172" s="141"/>
      <c r="C172" s="210"/>
      <c r="D172" s="163"/>
      <c r="E172" s="210"/>
      <c r="F172" s="211"/>
      <c r="G172" s="211"/>
      <c r="H172" s="212"/>
      <c r="I172" s="351"/>
      <c r="J172" s="678"/>
      <c r="K172" s="696"/>
      <c r="L172" s="697"/>
      <c r="M172" s="721"/>
      <c r="N172" s="217"/>
      <c r="O172" s="218"/>
      <c r="P172" s="464">
        <v>45639</v>
      </c>
      <c r="Q172" s="723">
        <f>70584.14*100/121</f>
        <v>58334</v>
      </c>
      <c r="R172" s="479">
        <v>70584.14</v>
      </c>
      <c r="S172" s="565">
        <v>44625</v>
      </c>
      <c r="T172" s="543">
        <v>73334</v>
      </c>
      <c r="U172" s="544">
        <v>88734.14</v>
      </c>
      <c r="V172" s="225"/>
      <c r="W172" s="225"/>
    </row>
    <row r="173" spans="1:23" s="112" customFormat="1">
      <c r="B173" s="141"/>
      <c r="C173" s="210"/>
      <c r="D173" s="163"/>
      <c r="E173" s="210"/>
      <c r="F173" s="211"/>
      <c r="G173" s="211"/>
      <c r="H173" s="212"/>
      <c r="I173" s="351"/>
      <c r="J173" s="678"/>
      <c r="K173" s="696"/>
      <c r="L173" s="697"/>
      <c r="M173" s="721"/>
      <c r="N173" s="217"/>
      <c r="O173" s="218"/>
      <c r="P173" s="464">
        <v>45639</v>
      </c>
      <c r="Q173" s="723">
        <f t="shared" ref="Q173" si="0">70584.14*100/121</f>
        <v>58334</v>
      </c>
      <c r="R173" s="479">
        <v>70584.14</v>
      </c>
      <c r="S173" s="565">
        <v>45712</v>
      </c>
      <c r="T173" s="543">
        <v>-58334</v>
      </c>
      <c r="U173" s="544">
        <v>-70584.14</v>
      </c>
      <c r="V173" s="225"/>
      <c r="W173" s="225"/>
    </row>
    <row r="174" spans="1:23" s="112" customFormat="1">
      <c r="B174" s="141"/>
      <c r="C174" s="210"/>
      <c r="D174" s="163"/>
      <c r="E174" s="210"/>
      <c r="F174" s="211"/>
      <c r="G174" s="211"/>
      <c r="H174" s="212"/>
      <c r="I174" s="351"/>
      <c r="J174" s="678"/>
      <c r="K174" s="696"/>
      <c r="L174" s="697"/>
      <c r="M174" s="721"/>
      <c r="N174" s="217"/>
      <c r="O174" s="218"/>
      <c r="P174" s="464">
        <v>45643</v>
      </c>
      <c r="Q174" s="723">
        <f>70580.51*100/121</f>
        <v>58330.999999999993</v>
      </c>
      <c r="R174" s="479">
        <v>70580.509999999995</v>
      </c>
      <c r="S174" s="565">
        <v>45749</v>
      </c>
      <c r="T174" s="543">
        <v>58334</v>
      </c>
      <c r="U174" s="544">
        <v>70584.14</v>
      </c>
      <c r="V174" s="225"/>
      <c r="W174" s="225"/>
    </row>
    <row r="175" spans="1:23" s="112" customFormat="1">
      <c r="B175" s="141"/>
      <c r="C175" s="210"/>
      <c r="D175" s="163"/>
      <c r="E175" s="210"/>
      <c r="F175" s="211"/>
      <c r="G175" s="211"/>
      <c r="H175" s="212"/>
      <c r="I175" s="351"/>
      <c r="J175" s="678"/>
      <c r="K175" s="696"/>
      <c r="L175" s="697"/>
      <c r="M175" s="721"/>
      <c r="N175" s="217"/>
      <c r="O175" s="218"/>
      <c r="P175" s="464">
        <v>45653</v>
      </c>
      <c r="Q175" s="723">
        <v>58331</v>
      </c>
      <c r="R175" s="479">
        <v>70580.509999999995</v>
      </c>
      <c r="S175" s="565">
        <v>45880</v>
      </c>
      <c r="T175" s="543">
        <f>U175*100/121</f>
        <v>66666</v>
      </c>
      <c r="U175" s="544">
        <v>80665.86</v>
      </c>
      <c r="V175" s="225"/>
      <c r="W175" s="225"/>
    </row>
    <row r="176" spans="1:23" s="112" customFormat="1">
      <c r="B176" s="141"/>
      <c r="C176" s="210"/>
      <c r="D176" s="163"/>
      <c r="E176" s="210"/>
      <c r="F176" s="211"/>
      <c r="G176" s="211"/>
      <c r="H176" s="212"/>
      <c r="I176" s="351"/>
      <c r="J176" s="678"/>
      <c r="K176" s="696"/>
      <c r="L176" s="697"/>
      <c r="M176" s="721"/>
      <c r="N176" s="217"/>
      <c r="O176" s="218"/>
      <c r="P176" s="464"/>
      <c r="Q176" s="723"/>
      <c r="R176" s="479"/>
      <c r="S176" s="565">
        <v>45961</v>
      </c>
      <c r="T176" s="543">
        <v>116668</v>
      </c>
      <c r="U176" s="544">
        <v>141168.28</v>
      </c>
      <c r="V176" s="225"/>
      <c r="W176" s="225"/>
    </row>
    <row r="177" spans="1:23" s="112" customFormat="1">
      <c r="B177" s="141"/>
      <c r="C177" s="210"/>
      <c r="D177" s="163"/>
      <c r="E177" s="210"/>
      <c r="F177" s="211"/>
      <c r="G177" s="211"/>
      <c r="H177" s="212"/>
      <c r="I177" s="351"/>
      <c r="J177" s="678"/>
      <c r="K177" s="696"/>
      <c r="L177" s="697"/>
      <c r="M177" s="721"/>
      <c r="N177" s="217"/>
      <c r="O177" s="218"/>
      <c r="P177" s="464"/>
      <c r="Q177" s="723"/>
      <c r="R177" s="479"/>
      <c r="S177" s="565"/>
      <c r="T177" s="543"/>
      <c r="U177" s="544"/>
      <c r="V177" s="225"/>
      <c r="W177" s="225"/>
    </row>
    <row r="178" spans="1:23">
      <c r="A178" s="112"/>
      <c r="B178" s="141"/>
      <c r="C178" s="210"/>
      <c r="D178" s="163"/>
      <c r="E178" s="210"/>
      <c r="F178" s="211"/>
      <c r="G178" s="211"/>
      <c r="H178" s="212"/>
      <c r="I178" s="351"/>
      <c r="J178" s="678"/>
      <c r="K178" s="696"/>
      <c r="L178" s="697"/>
      <c r="M178" s="721"/>
      <c r="N178" s="217"/>
      <c r="O178" s="218"/>
      <c r="P178" s="464"/>
      <c r="Q178" s="723"/>
      <c r="R178" s="479"/>
      <c r="S178" s="565"/>
      <c r="T178" s="543"/>
      <c r="U178" s="544"/>
      <c r="V178" s="225"/>
      <c r="W178" s="225"/>
    </row>
    <row r="179" spans="1:23">
      <c r="A179" s="112"/>
      <c r="B179" s="141"/>
      <c r="C179" s="210"/>
      <c r="D179" s="163"/>
      <c r="E179" s="210"/>
      <c r="F179" s="211"/>
      <c r="G179" s="211"/>
      <c r="H179" s="212"/>
      <c r="I179" s="351"/>
      <c r="J179" s="678"/>
      <c r="K179" s="696"/>
      <c r="L179" s="697"/>
      <c r="M179" s="721"/>
      <c r="N179" s="217"/>
      <c r="O179" s="218"/>
      <c r="P179" s="664"/>
      <c r="Q179" s="705"/>
      <c r="R179" s="706"/>
      <c r="S179" s="565"/>
      <c r="T179" s="543"/>
      <c r="U179" s="544"/>
      <c r="V179" s="225"/>
      <c r="W179" s="225"/>
    </row>
    <row r="180" spans="1:23" s="112" customFormat="1">
      <c r="B180" s="141"/>
      <c r="C180" s="210"/>
      <c r="D180" s="163"/>
      <c r="E180" s="210"/>
      <c r="F180" s="211"/>
      <c r="G180" s="211"/>
      <c r="H180" s="212"/>
      <c r="I180" s="258"/>
      <c r="J180" s="678"/>
      <c r="K180" s="696"/>
      <c r="L180" s="697"/>
      <c r="M180" s="262"/>
      <c r="N180" s="217"/>
      <c r="O180" s="218"/>
      <c r="P180" s="436"/>
      <c r="Q180" s="444"/>
      <c r="R180" s="445"/>
      <c r="S180" s="573"/>
      <c r="T180" s="543"/>
      <c r="U180" s="544"/>
      <c r="V180" s="225"/>
      <c r="W180" s="225"/>
    </row>
    <row r="181" spans="1:23" s="112" customFormat="1" ht="13.8" thickBot="1">
      <c r="B181" s="141"/>
      <c r="C181" s="210"/>
      <c r="D181" s="163"/>
      <c r="E181" s="210"/>
      <c r="F181" s="211"/>
      <c r="G181" s="211"/>
      <c r="H181" s="212"/>
      <c r="I181" s="442" t="s">
        <v>4865</v>
      </c>
      <c r="J181" s="688"/>
      <c r="K181" s="698"/>
      <c r="L181" s="699"/>
      <c r="M181" s="270"/>
      <c r="N181" s="271"/>
      <c r="O181" s="271"/>
      <c r="P181" s="451"/>
      <c r="Q181" s="470">
        <f>SUM(Q170:Q180)</f>
        <v>379998</v>
      </c>
      <c r="R181" s="471">
        <f>SUM(R170:R180)</f>
        <v>459797.58</v>
      </c>
      <c r="S181" s="560"/>
      <c r="T181" s="567">
        <f>SUM(T170:T180)</f>
        <v>373333</v>
      </c>
      <c r="U181" s="574">
        <f>SUM(U170:U180)</f>
        <v>451732.92999999993</v>
      </c>
      <c r="V181" s="225"/>
      <c r="W181" s="225"/>
    </row>
    <row r="182" spans="1:23" s="112" customFormat="1" ht="13.8" thickBot="1">
      <c r="B182" s="172" t="s">
        <v>568</v>
      </c>
      <c r="C182" s="192" t="s">
        <v>569</v>
      </c>
      <c r="D182" s="242">
        <v>3742857</v>
      </c>
      <c r="E182" s="193" t="s">
        <v>6178</v>
      </c>
      <c r="F182" s="194"/>
      <c r="G182" s="195"/>
      <c r="H182" s="196">
        <v>46367</v>
      </c>
      <c r="I182" s="197"/>
      <c r="J182" s="691"/>
      <c r="K182" s="692"/>
      <c r="L182" s="693"/>
      <c r="M182" s="201">
        <v>44960</v>
      </c>
      <c r="N182" s="202">
        <v>800000</v>
      </c>
      <c r="O182" s="203">
        <v>968000</v>
      </c>
      <c r="P182" s="732" t="s">
        <v>5238</v>
      </c>
      <c r="Q182" s="733">
        <v>150000</v>
      </c>
      <c r="R182" s="734">
        <v>181500</v>
      </c>
      <c r="S182" s="569"/>
      <c r="T182" s="563"/>
      <c r="U182" s="564"/>
      <c r="V182" s="247"/>
      <c r="W182" s="248"/>
    </row>
    <row r="183" spans="1:23" s="112" customFormat="1">
      <c r="B183" s="209"/>
      <c r="C183" s="210"/>
      <c r="D183" s="163"/>
      <c r="E183" s="210"/>
      <c r="F183" s="211"/>
      <c r="G183" s="211"/>
      <c r="H183" s="212"/>
      <c r="I183" s="213"/>
      <c r="J183" s="683"/>
      <c r="K183" s="694"/>
      <c r="L183" s="695"/>
      <c r="M183" s="216"/>
      <c r="N183" s="217"/>
      <c r="O183" s="218"/>
      <c r="P183" s="423"/>
      <c r="Q183" s="722"/>
      <c r="R183" s="478"/>
      <c r="S183" s="570"/>
      <c r="T183" s="543"/>
      <c r="U183" s="544"/>
      <c r="V183" s="225"/>
      <c r="W183" s="225"/>
    </row>
    <row r="184" spans="1:23" s="112" customFormat="1">
      <c r="B184" s="141"/>
      <c r="C184" s="210"/>
      <c r="D184" s="163"/>
      <c r="E184" s="210"/>
      <c r="F184" s="211"/>
      <c r="G184" s="211"/>
      <c r="H184" s="212"/>
      <c r="I184" s="351"/>
      <c r="J184" s="678"/>
      <c r="K184" s="696"/>
      <c r="L184" s="697"/>
      <c r="M184" s="721"/>
      <c r="N184" s="217"/>
      <c r="O184" s="218"/>
      <c r="P184" s="464"/>
      <c r="Q184" s="723"/>
      <c r="R184" s="479"/>
      <c r="S184" s="565"/>
      <c r="T184" s="543"/>
      <c r="U184" s="544"/>
      <c r="V184" s="225"/>
      <c r="W184" s="225"/>
    </row>
    <row r="185" spans="1:23" s="112" customFormat="1">
      <c r="B185" s="141"/>
      <c r="C185" s="210"/>
      <c r="D185" s="163"/>
      <c r="E185" s="210"/>
      <c r="F185" s="211"/>
      <c r="G185" s="211"/>
      <c r="H185" s="212"/>
      <c r="I185" s="351"/>
      <c r="J185" s="678"/>
      <c r="K185" s="696"/>
      <c r="L185" s="697"/>
      <c r="M185" s="721"/>
      <c r="N185" s="217"/>
      <c r="O185" s="218"/>
      <c r="P185" s="464"/>
      <c r="Q185" s="723"/>
      <c r="R185" s="479"/>
      <c r="S185" s="565"/>
      <c r="T185" s="543"/>
      <c r="U185" s="544"/>
      <c r="V185" s="225"/>
      <c r="W185" s="225"/>
    </row>
    <row r="186" spans="1:23" s="112" customFormat="1">
      <c r="B186" s="141"/>
      <c r="C186" s="210"/>
      <c r="D186" s="163"/>
      <c r="E186" s="210"/>
      <c r="F186" s="211"/>
      <c r="G186" s="211"/>
      <c r="H186" s="212"/>
      <c r="I186" s="351"/>
      <c r="J186" s="678"/>
      <c r="K186" s="696"/>
      <c r="L186" s="697"/>
      <c r="M186" s="721"/>
      <c r="N186" s="217"/>
      <c r="O186" s="218"/>
      <c r="P186" s="464"/>
      <c r="Q186" s="723"/>
      <c r="R186" s="479"/>
      <c r="S186" s="565"/>
      <c r="T186" s="543"/>
      <c r="U186" s="544"/>
      <c r="V186" s="225"/>
      <c r="W186" s="225"/>
    </row>
    <row r="187" spans="1:23" s="112" customFormat="1">
      <c r="B187" s="141"/>
      <c r="C187" s="210"/>
      <c r="D187" s="163"/>
      <c r="E187" s="210"/>
      <c r="F187" s="211"/>
      <c r="G187" s="211"/>
      <c r="H187" s="212"/>
      <c r="I187" s="351"/>
      <c r="J187" s="678"/>
      <c r="K187" s="696"/>
      <c r="L187" s="697"/>
      <c r="M187" s="721"/>
      <c r="N187" s="217"/>
      <c r="O187" s="218"/>
      <c r="P187" s="464"/>
      <c r="Q187" s="723"/>
      <c r="R187" s="479"/>
      <c r="S187" s="565"/>
      <c r="T187" s="543"/>
      <c r="U187" s="544"/>
      <c r="V187" s="225"/>
      <c r="W187" s="225"/>
    </row>
    <row r="188" spans="1:23" s="112" customFormat="1">
      <c r="B188" s="141"/>
      <c r="C188" s="210"/>
      <c r="D188" s="163"/>
      <c r="E188" s="210"/>
      <c r="F188" s="211"/>
      <c r="G188" s="211"/>
      <c r="H188" s="212"/>
      <c r="I188" s="351"/>
      <c r="J188" s="678"/>
      <c r="K188" s="696"/>
      <c r="L188" s="697"/>
      <c r="M188" s="721"/>
      <c r="N188" s="217"/>
      <c r="O188" s="218"/>
      <c r="P188" s="664"/>
      <c r="Q188" s="705"/>
      <c r="R188" s="706"/>
      <c r="S188" s="565"/>
      <c r="T188" s="543"/>
      <c r="U188" s="544"/>
      <c r="V188" s="225"/>
      <c r="W188" s="225"/>
    </row>
    <row r="189" spans="1:23" s="112" customFormat="1">
      <c r="B189" s="141"/>
      <c r="C189" s="210"/>
      <c r="D189" s="163"/>
      <c r="E189" s="210"/>
      <c r="F189" s="211"/>
      <c r="G189" s="211"/>
      <c r="H189" s="212"/>
      <c r="I189" s="258"/>
      <c r="J189" s="678"/>
      <c r="K189" s="696"/>
      <c r="L189" s="697"/>
      <c r="M189" s="262"/>
      <c r="N189" s="217"/>
      <c r="O189" s="218"/>
      <c r="P189" s="436"/>
      <c r="Q189" s="444"/>
      <c r="R189" s="445"/>
      <c r="S189" s="573"/>
      <c r="T189" s="543"/>
      <c r="U189" s="544"/>
      <c r="V189" s="225"/>
      <c r="W189" s="225"/>
    </row>
    <row r="190" spans="1:23" s="112" customFormat="1" ht="13.8" thickBot="1">
      <c r="B190" s="141"/>
      <c r="C190" s="210"/>
      <c r="D190" s="163"/>
      <c r="E190" s="210"/>
      <c r="F190" s="211"/>
      <c r="G190" s="211"/>
      <c r="H190" s="212"/>
      <c r="I190" s="716"/>
      <c r="J190" s="688"/>
      <c r="K190" s="698"/>
      <c r="L190" s="699"/>
      <c r="M190" s="270"/>
      <c r="N190" s="271"/>
      <c r="O190" s="271"/>
      <c r="P190" s="451"/>
      <c r="Q190" s="470"/>
      <c r="R190" s="471"/>
      <c r="S190" s="560"/>
      <c r="T190" s="567"/>
      <c r="U190" s="574"/>
      <c r="V190" s="225"/>
      <c r="W190" s="225"/>
    </row>
    <row r="191" spans="1:23" s="112" customForma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</row>
    <row r="192" spans="1:23" s="112" customFormat="1" ht="13.8" thickBo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</row>
    <row r="193" spans="1:23" s="112" customFormat="1" ht="13.8" thickBot="1">
      <c r="B193" s="172" t="s">
        <v>5169</v>
      </c>
      <c r="C193" s="192" t="s">
        <v>5314</v>
      </c>
      <c r="D193" s="242">
        <v>45534306</v>
      </c>
      <c r="E193" s="193" t="s">
        <v>5170</v>
      </c>
      <c r="F193" s="194">
        <v>2176664</v>
      </c>
      <c r="G193" s="195">
        <f>2176664*1.21</f>
        <v>2633763.44</v>
      </c>
      <c r="H193" s="196">
        <v>47141</v>
      </c>
      <c r="I193" s="197"/>
      <c r="J193" s="691"/>
      <c r="K193" s="692"/>
      <c r="L193" s="693"/>
      <c r="M193" s="201"/>
      <c r="N193" s="202"/>
      <c r="O193" s="203"/>
      <c r="P193" s="732"/>
      <c r="Q193" s="733"/>
      <c r="R193" s="734"/>
      <c r="S193" s="569">
        <v>45712</v>
      </c>
      <c r="T193" s="563">
        <v>449723.97</v>
      </c>
      <c r="U193" s="564">
        <v>544166</v>
      </c>
      <c r="V193" s="247">
        <f>F193-T201</f>
        <v>1726940.03</v>
      </c>
      <c r="W193" s="248">
        <f>G193-U201</f>
        <v>2089597.44</v>
      </c>
    </row>
    <row r="194" spans="1:23" s="112" customFormat="1">
      <c r="B194" s="209"/>
      <c r="C194" s="210"/>
      <c r="D194" s="163"/>
      <c r="E194" s="210"/>
      <c r="F194" s="211"/>
      <c r="G194" s="211"/>
      <c r="H194" s="212"/>
      <c r="I194" s="213"/>
      <c r="J194" s="683"/>
      <c r="K194" s="694"/>
      <c r="L194" s="695"/>
      <c r="M194" s="216"/>
      <c r="N194" s="217"/>
      <c r="O194" s="218"/>
      <c r="P194" s="423"/>
      <c r="Q194" s="722"/>
      <c r="R194" s="478"/>
      <c r="S194" s="570"/>
      <c r="T194" s="543"/>
      <c r="U194" s="544"/>
      <c r="V194" s="225"/>
      <c r="W194" s="225"/>
    </row>
    <row r="195" spans="1:23" s="112" customFormat="1">
      <c r="B195" s="141"/>
      <c r="C195" s="210"/>
      <c r="D195" s="163"/>
      <c r="E195" s="210"/>
      <c r="F195" s="211"/>
      <c r="G195" s="211"/>
      <c r="H195" s="212"/>
      <c r="I195" s="351"/>
      <c r="J195" s="678"/>
      <c r="K195" s="696"/>
      <c r="L195" s="697"/>
      <c r="M195" s="721"/>
      <c r="N195" s="217"/>
      <c r="O195" s="218"/>
      <c r="P195" s="464"/>
      <c r="Q195" s="723"/>
      <c r="R195" s="479"/>
      <c r="S195" s="565"/>
      <c r="T195" s="543"/>
      <c r="U195" s="544"/>
      <c r="V195" s="225"/>
      <c r="W195" s="225"/>
    </row>
    <row r="196" spans="1:23" s="112" customFormat="1">
      <c r="B196" s="141"/>
      <c r="C196" s="210"/>
      <c r="D196" s="163"/>
      <c r="E196" s="210"/>
      <c r="F196" s="211"/>
      <c r="G196" s="211"/>
      <c r="H196" s="212"/>
      <c r="I196" s="351"/>
      <c r="J196" s="678"/>
      <c r="K196" s="696"/>
      <c r="L196" s="697"/>
      <c r="M196" s="721"/>
      <c r="N196" s="217"/>
      <c r="O196" s="218"/>
      <c r="P196" s="464"/>
      <c r="Q196" s="723"/>
      <c r="R196" s="479"/>
      <c r="S196" s="565"/>
      <c r="T196" s="543"/>
      <c r="U196" s="544"/>
      <c r="V196" s="225"/>
      <c r="W196" s="225"/>
    </row>
    <row r="197" spans="1:23" s="112" customFormat="1">
      <c r="B197" s="141"/>
      <c r="C197" s="210"/>
      <c r="D197" s="163"/>
      <c r="E197" s="210"/>
      <c r="F197" s="211"/>
      <c r="G197" s="211"/>
      <c r="H197" s="212"/>
      <c r="I197" s="351"/>
      <c r="J197" s="678"/>
      <c r="K197" s="696"/>
      <c r="L197" s="697"/>
      <c r="M197" s="721"/>
      <c r="N197" s="217"/>
      <c r="O197" s="218"/>
      <c r="P197" s="464"/>
      <c r="Q197" s="723"/>
      <c r="R197" s="479"/>
      <c r="S197" s="565"/>
      <c r="T197" s="543"/>
      <c r="U197" s="544"/>
      <c r="V197" s="225"/>
      <c r="W197" s="225"/>
    </row>
    <row r="198" spans="1:23">
      <c r="A198" s="112"/>
      <c r="B198" s="141"/>
      <c r="C198" s="210"/>
      <c r="D198" s="163"/>
      <c r="E198" s="210"/>
      <c r="F198" s="211"/>
      <c r="G198" s="211"/>
      <c r="H198" s="212"/>
      <c r="I198" s="351"/>
      <c r="J198" s="678"/>
      <c r="K198" s="696"/>
      <c r="L198" s="697"/>
      <c r="M198" s="721"/>
      <c r="N198" s="217"/>
      <c r="O198" s="218"/>
      <c r="P198" s="464"/>
      <c r="Q198" s="723"/>
      <c r="R198" s="479"/>
      <c r="S198" s="565"/>
      <c r="T198" s="543"/>
      <c r="U198" s="544"/>
      <c r="V198" s="225"/>
      <c r="W198" s="225"/>
    </row>
    <row r="199" spans="1:23">
      <c r="A199" s="112"/>
      <c r="B199" s="141"/>
      <c r="C199" s="210"/>
      <c r="D199" s="163"/>
      <c r="E199" s="210"/>
      <c r="F199" s="211"/>
      <c r="G199" s="211"/>
      <c r="H199" s="212"/>
      <c r="I199" s="351"/>
      <c r="J199" s="678"/>
      <c r="K199" s="696"/>
      <c r="L199" s="697"/>
      <c r="M199" s="721"/>
      <c r="N199" s="217"/>
      <c r="O199" s="218"/>
      <c r="P199" s="664"/>
      <c r="Q199" s="705"/>
      <c r="R199" s="706"/>
      <c r="S199" s="565"/>
      <c r="T199" s="543"/>
      <c r="U199" s="544"/>
      <c r="V199" s="225"/>
      <c r="W199" s="225"/>
    </row>
    <row r="200" spans="1:23">
      <c r="A200" s="112"/>
      <c r="B200" s="141"/>
      <c r="C200" s="210"/>
      <c r="D200" s="163"/>
      <c r="E200" s="210"/>
      <c r="F200" s="211"/>
      <c r="G200" s="211"/>
      <c r="H200" s="212"/>
      <c r="I200" s="258"/>
      <c r="J200" s="678"/>
      <c r="K200" s="696"/>
      <c r="L200" s="697"/>
      <c r="M200" s="262"/>
      <c r="N200" s="217"/>
      <c r="O200" s="218"/>
      <c r="P200" s="436"/>
      <c r="Q200" s="444"/>
      <c r="R200" s="445"/>
      <c r="S200" s="573"/>
      <c r="T200" s="543"/>
      <c r="U200" s="544"/>
      <c r="V200" s="225"/>
      <c r="W200" s="225"/>
    </row>
    <row r="201" spans="1:23" ht="13.8" thickBot="1">
      <c r="A201" s="112"/>
      <c r="B201" s="141"/>
      <c r="C201" s="210"/>
      <c r="D201" s="163"/>
      <c r="E201" s="210"/>
      <c r="F201" s="211"/>
      <c r="G201" s="211"/>
      <c r="H201" s="212"/>
      <c r="I201" s="716"/>
      <c r="J201" s="688"/>
      <c r="K201" s="698"/>
      <c r="L201" s="699"/>
      <c r="M201" s="270"/>
      <c r="N201" s="271"/>
      <c r="O201" s="271"/>
      <c r="P201" s="451"/>
      <c r="Q201" s="470"/>
      <c r="R201" s="471"/>
      <c r="S201" s="560"/>
      <c r="T201" s="567">
        <v>449723.97</v>
      </c>
      <c r="U201" s="574">
        <v>544166</v>
      </c>
      <c r="V201" s="225"/>
      <c r="W201" s="225"/>
    </row>
    <row r="202" spans="1:23" ht="13.8" thickBot="1">
      <c r="A202" s="112"/>
      <c r="B202" s="172" t="s">
        <v>704</v>
      </c>
      <c r="C202" s="192" t="s">
        <v>5311</v>
      </c>
      <c r="D202" s="242">
        <v>45272956</v>
      </c>
      <c r="E202" s="193" t="s">
        <v>3339</v>
      </c>
      <c r="F202" s="194">
        <f>458640/121*100</f>
        <v>379041.32231404958</v>
      </c>
      <c r="G202" s="195">
        <v>458640</v>
      </c>
      <c r="H202" s="196">
        <v>46507</v>
      </c>
      <c r="I202" s="197"/>
      <c r="J202" s="691"/>
      <c r="K202" s="692"/>
      <c r="L202" s="693"/>
      <c r="M202" s="201"/>
      <c r="N202" s="202"/>
      <c r="O202" s="203"/>
      <c r="P202" s="414">
        <v>45393</v>
      </c>
      <c r="Q202" s="415">
        <f>114660/121*100</f>
        <v>94760.330578512396</v>
      </c>
      <c r="R202" s="416">
        <v>114660</v>
      </c>
      <c r="S202" s="569">
        <v>45764</v>
      </c>
      <c r="T202" s="563">
        <v>94760.33</v>
      </c>
      <c r="U202" s="564">
        <v>114660</v>
      </c>
      <c r="V202" s="247">
        <f>F202-Q210-T210</f>
        <v>189520.66231404955</v>
      </c>
      <c r="W202" s="248">
        <f>G202-R210-U210</f>
        <v>229320</v>
      </c>
    </row>
    <row r="203" spans="1:23">
      <c r="A203" s="112"/>
      <c r="B203" s="209"/>
      <c r="C203" s="210"/>
      <c r="D203" s="163"/>
      <c r="E203" s="210"/>
      <c r="F203" s="211"/>
      <c r="G203" s="211"/>
      <c r="H203" s="212"/>
      <c r="I203" s="213"/>
      <c r="J203" s="683"/>
      <c r="K203" s="694"/>
      <c r="L203" s="695"/>
      <c r="M203" s="216"/>
      <c r="N203" s="217"/>
      <c r="O203" s="218"/>
      <c r="P203" s="423"/>
      <c r="Q203" s="722"/>
      <c r="R203" s="478"/>
      <c r="S203" s="570"/>
      <c r="T203" s="543"/>
      <c r="U203" s="544"/>
      <c r="V203" s="225"/>
      <c r="W203" s="225"/>
    </row>
    <row r="204" spans="1:23">
      <c r="A204" s="112"/>
      <c r="B204" s="141"/>
      <c r="C204" s="210"/>
      <c r="D204" s="163"/>
      <c r="E204" s="210"/>
      <c r="F204" s="211"/>
      <c r="G204" s="211"/>
      <c r="H204" s="212"/>
      <c r="I204" s="351"/>
      <c r="J204" s="678"/>
      <c r="K204" s="696"/>
      <c r="L204" s="697"/>
      <c r="M204" s="721"/>
      <c r="N204" s="217"/>
      <c r="O204" s="218"/>
      <c r="P204" s="464"/>
      <c r="Q204" s="723"/>
      <c r="R204" s="479"/>
      <c r="S204" s="565"/>
      <c r="T204" s="543"/>
      <c r="U204" s="544"/>
      <c r="V204" s="225"/>
      <c r="W204" s="225"/>
    </row>
    <row r="205" spans="1:23">
      <c r="A205" s="112"/>
      <c r="B205" s="141"/>
      <c r="C205" s="210"/>
      <c r="D205" s="163"/>
      <c r="E205" s="210"/>
      <c r="F205" s="211"/>
      <c r="G205" s="211"/>
      <c r="H205" s="212"/>
      <c r="I205" s="351"/>
      <c r="J205" s="678"/>
      <c r="K205" s="696"/>
      <c r="L205" s="697"/>
      <c r="M205" s="721"/>
      <c r="N205" s="217"/>
      <c r="O205" s="218"/>
      <c r="P205" s="464"/>
      <c r="Q205" s="723"/>
      <c r="R205" s="479"/>
      <c r="S205" s="565"/>
      <c r="T205" s="543"/>
      <c r="U205" s="544"/>
      <c r="V205" s="225"/>
      <c r="W205" s="225"/>
    </row>
    <row r="206" spans="1:23">
      <c r="A206" s="112"/>
      <c r="B206" s="141"/>
      <c r="C206" s="210"/>
      <c r="D206" s="163"/>
      <c r="E206" s="210"/>
      <c r="F206" s="211"/>
      <c r="G206" s="211"/>
      <c r="H206" s="212"/>
      <c r="I206" s="351"/>
      <c r="J206" s="678"/>
      <c r="K206" s="696"/>
      <c r="L206" s="697"/>
      <c r="M206" s="721"/>
      <c r="N206" s="217"/>
      <c r="O206" s="218"/>
      <c r="P206" s="464"/>
      <c r="Q206" s="723"/>
      <c r="R206" s="479"/>
      <c r="S206" s="565"/>
      <c r="T206" s="543"/>
      <c r="U206" s="544"/>
      <c r="V206" s="225"/>
      <c r="W206" s="225"/>
    </row>
    <row r="207" spans="1:23">
      <c r="A207" s="112"/>
      <c r="B207" s="141"/>
      <c r="C207" s="210"/>
      <c r="D207" s="163"/>
      <c r="E207" s="210"/>
      <c r="F207" s="211"/>
      <c r="G207" s="211"/>
      <c r="H207" s="212"/>
      <c r="I207" s="351"/>
      <c r="J207" s="678"/>
      <c r="K207" s="696"/>
      <c r="L207" s="697"/>
      <c r="M207" s="721"/>
      <c r="N207" s="217"/>
      <c r="O207" s="218"/>
      <c r="P207" s="464"/>
      <c r="Q207" s="723"/>
      <c r="R207" s="479"/>
      <c r="S207" s="565"/>
      <c r="T207" s="543"/>
      <c r="U207" s="544"/>
      <c r="V207" s="225"/>
      <c r="W207" s="225"/>
    </row>
    <row r="208" spans="1:23">
      <c r="A208" s="112"/>
      <c r="B208" s="141"/>
      <c r="C208" s="210"/>
      <c r="D208" s="163"/>
      <c r="E208" s="210"/>
      <c r="F208" s="211"/>
      <c r="G208" s="211"/>
      <c r="H208" s="212"/>
      <c r="I208" s="351"/>
      <c r="J208" s="678"/>
      <c r="K208" s="696"/>
      <c r="L208" s="697"/>
      <c r="M208" s="721"/>
      <c r="N208" s="217"/>
      <c r="O208" s="218"/>
      <c r="P208" s="664"/>
      <c r="Q208" s="705"/>
      <c r="R208" s="706"/>
      <c r="S208" s="565"/>
      <c r="T208" s="543"/>
      <c r="U208" s="544"/>
      <c r="V208" s="225"/>
      <c r="W208" s="225"/>
    </row>
    <row r="209" spans="1:23">
      <c r="A209" s="112"/>
      <c r="B209" s="141"/>
      <c r="C209" s="210"/>
      <c r="D209" s="163"/>
      <c r="E209" s="210"/>
      <c r="F209" s="211"/>
      <c r="G209" s="211"/>
      <c r="H209" s="212"/>
      <c r="I209" s="258"/>
      <c r="J209" s="678"/>
      <c r="K209" s="696"/>
      <c r="L209" s="697"/>
      <c r="M209" s="262"/>
      <c r="N209" s="217"/>
      <c r="O209" s="218"/>
      <c r="P209" s="436"/>
      <c r="Q209" s="444"/>
      <c r="R209" s="445"/>
      <c r="S209" s="573"/>
      <c r="T209" s="543"/>
      <c r="U209" s="544"/>
      <c r="V209" s="225"/>
      <c r="W209" s="225"/>
    </row>
    <row r="210" spans="1:23" ht="13.8" thickBot="1">
      <c r="A210" s="112"/>
      <c r="B210" s="141"/>
      <c r="C210" s="210"/>
      <c r="D210" s="163"/>
      <c r="E210" s="210"/>
      <c r="F210" s="211"/>
      <c r="G210" s="211"/>
      <c r="H210" s="212"/>
      <c r="I210" s="716" t="s">
        <v>4865</v>
      </c>
      <c r="J210" s="688"/>
      <c r="K210" s="698"/>
      <c r="L210" s="699"/>
      <c r="M210" s="270"/>
      <c r="N210" s="271"/>
      <c r="O210" s="271"/>
      <c r="P210" s="451"/>
      <c r="Q210" s="470">
        <v>94760.33</v>
      </c>
      <c r="R210" s="471">
        <v>114660</v>
      </c>
      <c r="S210" s="560"/>
      <c r="T210" s="567">
        <v>94760.33</v>
      </c>
      <c r="U210" s="574">
        <v>114660</v>
      </c>
      <c r="V210" s="225"/>
      <c r="W210" s="225"/>
    </row>
    <row r="211" spans="1:23" ht="13.8" thickBot="1">
      <c r="A211" s="112"/>
      <c r="B211" s="172" t="s">
        <v>6085</v>
      </c>
      <c r="C211" s="192" t="s">
        <v>6086</v>
      </c>
      <c r="D211" s="242">
        <v>71332111</v>
      </c>
      <c r="E211" s="193" t="s">
        <v>5091</v>
      </c>
      <c r="F211" s="194">
        <v>250000</v>
      </c>
      <c r="G211" s="195">
        <v>302500</v>
      </c>
      <c r="H211" s="196" t="s">
        <v>5445</v>
      </c>
      <c r="I211" s="197"/>
      <c r="J211" s="691"/>
      <c r="K211" s="692"/>
      <c r="L211" s="693"/>
      <c r="M211" s="201"/>
      <c r="N211" s="202"/>
      <c r="O211" s="203"/>
      <c r="P211" s="414">
        <v>45534</v>
      </c>
      <c r="Q211" s="415">
        <f>R211*100/121</f>
        <v>7500</v>
      </c>
      <c r="R211" s="416">
        <v>9075</v>
      </c>
      <c r="S211" s="1417">
        <v>45726</v>
      </c>
      <c r="T211" s="1418">
        <f>U211*100/121</f>
        <v>28500</v>
      </c>
      <c r="U211" s="1419">
        <v>34485</v>
      </c>
      <c r="V211" s="247">
        <f>F211-Q222-T222</f>
        <v>103000</v>
      </c>
      <c r="W211" s="248">
        <f>G211-R222-U222</f>
        <v>124630</v>
      </c>
    </row>
    <row r="212" spans="1:23">
      <c r="A212" s="112"/>
      <c r="B212" s="209"/>
      <c r="C212" s="210"/>
      <c r="D212" s="163"/>
      <c r="E212" s="210"/>
      <c r="F212" s="211"/>
      <c r="G212" s="211"/>
      <c r="H212" s="212"/>
      <c r="I212" s="213"/>
      <c r="J212" s="683"/>
      <c r="K212" s="694"/>
      <c r="L212" s="695"/>
      <c r="M212" s="216"/>
      <c r="N212" s="217"/>
      <c r="O212" s="218"/>
      <c r="P212" s="423">
        <v>45568</v>
      </c>
      <c r="Q212" s="722">
        <f t="shared" ref="Q212:Q213" si="1">R212*100/121</f>
        <v>10500</v>
      </c>
      <c r="R212" s="478">
        <v>12705</v>
      </c>
      <c r="S212" s="1420">
        <v>45750</v>
      </c>
      <c r="T212" s="1421">
        <f t="shared" ref="T212:T217" si="2">U212*100/121</f>
        <v>15000</v>
      </c>
      <c r="U212" s="1422">
        <v>18150</v>
      </c>
      <c r="V212" s="225"/>
      <c r="W212" s="225"/>
    </row>
    <row r="213" spans="1:23">
      <c r="A213" s="112"/>
      <c r="B213" s="141"/>
      <c r="C213" s="210"/>
      <c r="D213" s="163"/>
      <c r="E213" s="210"/>
      <c r="F213" s="211"/>
      <c r="G213" s="211"/>
      <c r="H213" s="212"/>
      <c r="I213" s="351"/>
      <c r="J213" s="678"/>
      <c r="K213" s="696"/>
      <c r="L213" s="697"/>
      <c r="M213" s="721"/>
      <c r="N213" s="217"/>
      <c r="O213" s="218"/>
      <c r="P213" s="464">
        <v>45597</v>
      </c>
      <c r="Q213" s="723">
        <f t="shared" si="1"/>
        <v>10500</v>
      </c>
      <c r="R213" s="479">
        <v>12705</v>
      </c>
      <c r="S213" s="1423">
        <v>45784</v>
      </c>
      <c r="T213" s="1421">
        <f t="shared" si="2"/>
        <v>3000</v>
      </c>
      <c r="U213" s="1422">
        <v>3630</v>
      </c>
      <c r="V213" s="225"/>
      <c r="W213" s="225"/>
    </row>
    <row r="214" spans="1:23">
      <c r="A214" s="112"/>
      <c r="B214" s="141"/>
      <c r="C214" s="210"/>
      <c r="D214" s="163"/>
      <c r="E214" s="210"/>
      <c r="F214" s="211"/>
      <c r="G214" s="211"/>
      <c r="H214" s="212"/>
      <c r="I214" s="351"/>
      <c r="J214" s="678"/>
      <c r="K214" s="696"/>
      <c r="L214" s="697"/>
      <c r="M214" s="721"/>
      <c r="N214" s="217"/>
      <c r="O214" s="218"/>
      <c r="P214" s="464"/>
      <c r="Q214" s="723"/>
      <c r="R214" s="479"/>
      <c r="S214" s="1423">
        <v>45818</v>
      </c>
      <c r="T214" s="1421">
        <f t="shared" si="2"/>
        <v>22500</v>
      </c>
      <c r="U214" s="1422">
        <v>27225</v>
      </c>
      <c r="V214" s="225"/>
      <c r="W214" s="225"/>
    </row>
    <row r="215" spans="1:23">
      <c r="A215" s="112"/>
      <c r="B215" s="141"/>
      <c r="C215" s="210"/>
      <c r="D215" s="163"/>
      <c r="E215" s="210"/>
      <c r="F215" s="211"/>
      <c r="G215" s="211"/>
      <c r="H215" s="212"/>
      <c r="I215" s="351"/>
      <c r="J215" s="678"/>
      <c r="K215" s="696"/>
      <c r="L215" s="697"/>
      <c r="M215" s="721"/>
      <c r="N215" s="217"/>
      <c r="O215" s="218"/>
      <c r="P215" s="464"/>
      <c r="Q215" s="723"/>
      <c r="R215" s="479"/>
      <c r="S215" s="1423">
        <v>45840</v>
      </c>
      <c r="T215" s="1421">
        <f t="shared" si="2"/>
        <v>3000</v>
      </c>
      <c r="U215" s="1422">
        <v>3630</v>
      </c>
      <c r="V215" s="225"/>
      <c r="W215" s="225"/>
    </row>
    <row r="216" spans="1:23">
      <c r="A216" s="112"/>
      <c r="B216" s="141"/>
      <c r="C216" s="210"/>
      <c r="D216" s="163"/>
      <c r="E216" s="210"/>
      <c r="F216" s="211"/>
      <c r="G216" s="211"/>
      <c r="H216" s="212"/>
      <c r="I216" s="351"/>
      <c r="J216" s="678"/>
      <c r="K216" s="696"/>
      <c r="L216" s="697"/>
      <c r="M216" s="721"/>
      <c r="N216" s="217"/>
      <c r="O216" s="218"/>
      <c r="P216" s="464"/>
      <c r="Q216" s="723"/>
      <c r="R216" s="479"/>
      <c r="S216" s="1423">
        <v>45868</v>
      </c>
      <c r="T216" s="1421">
        <f t="shared" si="2"/>
        <v>18000</v>
      </c>
      <c r="U216" s="1422">
        <v>21780</v>
      </c>
      <c r="V216" s="225"/>
      <c r="W216" s="225"/>
    </row>
    <row r="217" spans="1:23">
      <c r="A217" s="112"/>
      <c r="B217" s="141"/>
      <c r="C217" s="210"/>
      <c r="D217" s="163"/>
      <c r="E217" s="210"/>
      <c r="F217" s="211"/>
      <c r="G217" s="211"/>
      <c r="H217" s="212"/>
      <c r="I217" s="351"/>
      <c r="J217" s="678"/>
      <c r="K217" s="696"/>
      <c r="L217" s="697"/>
      <c r="M217" s="721"/>
      <c r="N217" s="217"/>
      <c r="O217" s="218"/>
      <c r="P217" s="464"/>
      <c r="Q217" s="723"/>
      <c r="R217" s="479"/>
      <c r="S217" s="1423">
        <v>45936</v>
      </c>
      <c r="T217" s="1421">
        <f t="shared" si="2"/>
        <v>3000</v>
      </c>
      <c r="U217" s="1422">
        <v>3630</v>
      </c>
      <c r="V217" s="225"/>
      <c r="W217" s="225"/>
    </row>
    <row r="218" spans="1:23">
      <c r="A218" s="112"/>
      <c r="B218" s="141"/>
      <c r="C218" s="210"/>
      <c r="D218" s="163"/>
      <c r="E218" s="210"/>
      <c r="F218" s="211"/>
      <c r="G218" s="211"/>
      <c r="H218" s="212"/>
      <c r="I218" s="351"/>
      <c r="J218" s="678"/>
      <c r="K218" s="696"/>
      <c r="L218" s="697"/>
      <c r="M218" s="721"/>
      <c r="N218" s="217"/>
      <c r="O218" s="218"/>
      <c r="P218" s="464"/>
      <c r="Q218" s="723"/>
      <c r="R218" s="479"/>
      <c r="S218" s="1423">
        <v>45966</v>
      </c>
      <c r="T218" s="1421">
        <v>9000</v>
      </c>
      <c r="U218" s="1422">
        <v>10890</v>
      </c>
      <c r="V218" s="225"/>
      <c r="W218" s="225"/>
    </row>
    <row r="219" spans="1:23">
      <c r="A219" s="112"/>
      <c r="B219" s="141"/>
      <c r="C219" s="210"/>
      <c r="D219" s="163"/>
      <c r="E219" s="210"/>
      <c r="F219" s="211"/>
      <c r="G219" s="211"/>
      <c r="H219" s="212"/>
      <c r="I219" s="351"/>
      <c r="J219" s="678"/>
      <c r="K219" s="696"/>
      <c r="L219" s="697"/>
      <c r="M219" s="721"/>
      <c r="N219" s="217"/>
      <c r="O219" s="218"/>
      <c r="P219" s="664"/>
      <c r="Q219" s="705"/>
      <c r="R219" s="706"/>
      <c r="S219" s="1423">
        <v>45993</v>
      </c>
      <c r="T219" s="1421">
        <f t="shared" ref="T219:T220" si="3">U219*100/121</f>
        <v>13500</v>
      </c>
      <c r="U219" s="1422">
        <v>16335</v>
      </c>
      <c r="V219" s="225"/>
      <c r="W219" s="225"/>
    </row>
    <row r="220" spans="1:23">
      <c r="A220" s="112"/>
      <c r="B220" s="141"/>
      <c r="C220" s="210"/>
      <c r="D220" s="163"/>
      <c r="E220" s="210"/>
      <c r="F220" s="211"/>
      <c r="G220" s="211"/>
      <c r="H220" s="212"/>
      <c r="I220" s="1642"/>
      <c r="J220" s="678"/>
      <c r="K220" s="696"/>
      <c r="L220" s="697"/>
      <c r="M220" s="262"/>
      <c r="N220" s="217"/>
      <c r="O220" s="218"/>
      <c r="P220" s="1643"/>
      <c r="Q220" s="1644"/>
      <c r="R220" s="1645"/>
      <c r="S220" s="1646">
        <v>46030</v>
      </c>
      <c r="T220" s="1424">
        <f t="shared" si="3"/>
        <v>3000</v>
      </c>
      <c r="U220" s="1425">
        <v>3630</v>
      </c>
      <c r="V220" s="225"/>
      <c r="W220" s="225"/>
    </row>
    <row r="221" spans="1:23">
      <c r="A221" s="112"/>
      <c r="B221" s="141"/>
      <c r="C221" s="210"/>
      <c r="D221" s="163"/>
      <c r="E221" s="210"/>
      <c r="F221" s="211"/>
      <c r="G221" s="211"/>
      <c r="H221" s="212"/>
      <c r="I221" s="258"/>
      <c r="J221" s="678"/>
      <c r="K221" s="696"/>
      <c r="L221" s="697"/>
      <c r="M221" s="262"/>
      <c r="N221" s="217"/>
      <c r="O221" s="218"/>
      <c r="P221" s="436"/>
      <c r="Q221" s="444"/>
      <c r="R221" s="445"/>
      <c r="S221" s="573"/>
      <c r="T221" s="543"/>
      <c r="U221" s="544"/>
      <c r="V221" s="225"/>
      <c r="W221" s="225"/>
    </row>
    <row r="222" spans="1:23" ht="13.8" thickBot="1">
      <c r="A222" s="112"/>
      <c r="B222" s="141"/>
      <c r="C222" s="210"/>
      <c r="D222" s="163"/>
      <c r="E222" s="210"/>
      <c r="F222" s="211"/>
      <c r="G222" s="211"/>
      <c r="H222" s="212"/>
      <c r="I222" s="716" t="s">
        <v>4865</v>
      </c>
      <c r="J222" s="688"/>
      <c r="K222" s="698"/>
      <c r="L222" s="699"/>
      <c r="M222" s="270"/>
      <c r="N222" s="271"/>
      <c r="O222" s="271"/>
      <c r="P222" s="451"/>
      <c r="Q222" s="470">
        <f>SUM(Q211:Q221)</f>
        <v>28500</v>
      </c>
      <c r="R222" s="471">
        <f>SUM(R211:R221)</f>
        <v>34485</v>
      </c>
      <c r="S222" s="560"/>
      <c r="T222" s="567">
        <f>SUM(T211:T221)</f>
        <v>118500</v>
      </c>
      <c r="U222" s="574">
        <f>SUM(U211:U221)</f>
        <v>143385</v>
      </c>
      <c r="V222" s="225"/>
      <c r="W222" s="225"/>
    </row>
    <row r="223" spans="1:23" ht="13.8" thickBot="1">
      <c r="A223" s="112"/>
      <c r="B223" s="172" t="s">
        <v>6091</v>
      </c>
      <c r="C223" s="192" t="s">
        <v>6092</v>
      </c>
      <c r="D223" s="242">
        <v>71332111</v>
      </c>
      <c r="E223" s="193" t="s">
        <v>5091</v>
      </c>
      <c r="F223" s="194">
        <v>50000</v>
      </c>
      <c r="G223" s="195">
        <v>60500</v>
      </c>
      <c r="H223" s="196" t="s">
        <v>5445</v>
      </c>
      <c r="I223" s="197"/>
      <c r="J223" s="691"/>
      <c r="K223" s="692"/>
      <c r="L223" s="693"/>
      <c r="M223" s="201"/>
      <c r="N223" s="202"/>
      <c r="O223" s="203"/>
      <c r="P223" s="414"/>
      <c r="Q223" s="415"/>
      <c r="R223" s="416"/>
      <c r="S223" s="569">
        <v>45818</v>
      </c>
      <c r="T223" s="563">
        <f>U223*100/121</f>
        <v>13500</v>
      </c>
      <c r="U223" s="564">
        <v>16335</v>
      </c>
      <c r="V223" s="247">
        <f>F223-Q231-T231</f>
        <v>4173.5537190082614</v>
      </c>
      <c r="W223" s="248">
        <f>G223-R231-U231</f>
        <v>5050</v>
      </c>
    </row>
    <row r="224" spans="1:23">
      <c r="A224" s="112"/>
      <c r="B224" s="209"/>
      <c r="C224" s="210"/>
      <c r="D224" s="163"/>
      <c r="E224" s="210"/>
      <c r="F224" s="211"/>
      <c r="G224" s="211"/>
      <c r="H224" s="212"/>
      <c r="I224" s="213"/>
      <c r="J224" s="683"/>
      <c r="K224" s="694"/>
      <c r="L224" s="695"/>
      <c r="M224" s="216"/>
      <c r="N224" s="217"/>
      <c r="O224" s="218"/>
      <c r="P224" s="423"/>
      <c r="Q224" s="722"/>
      <c r="R224" s="478"/>
      <c r="S224" s="570">
        <v>45840</v>
      </c>
      <c r="T224" s="543">
        <f t="shared" ref="T224:T226" si="4">U224*100/121</f>
        <v>16500</v>
      </c>
      <c r="U224" s="544">
        <v>19965</v>
      </c>
      <c r="V224" s="225"/>
      <c r="W224" s="225"/>
    </row>
    <row r="225" spans="1:23">
      <c r="A225" s="112"/>
      <c r="B225" s="141"/>
      <c r="C225" s="210"/>
      <c r="D225" s="163"/>
      <c r="E225" s="210"/>
      <c r="F225" s="211"/>
      <c r="G225" s="211"/>
      <c r="H225" s="212"/>
      <c r="I225" s="351"/>
      <c r="J225" s="678"/>
      <c r="K225" s="696"/>
      <c r="L225" s="697"/>
      <c r="M225" s="721"/>
      <c r="N225" s="217"/>
      <c r="O225" s="218"/>
      <c r="P225" s="464"/>
      <c r="Q225" s="723"/>
      <c r="R225" s="479"/>
      <c r="S225" s="565">
        <v>45868</v>
      </c>
      <c r="T225" s="543">
        <f t="shared" si="4"/>
        <v>15000</v>
      </c>
      <c r="U225" s="544">
        <v>18150</v>
      </c>
      <c r="V225" s="225"/>
      <c r="W225" s="225"/>
    </row>
    <row r="226" spans="1:23">
      <c r="A226" s="112"/>
      <c r="B226" s="141"/>
      <c r="C226" s="210"/>
      <c r="D226" s="163"/>
      <c r="E226" s="210"/>
      <c r="F226" s="211"/>
      <c r="G226" s="211"/>
      <c r="H226" s="212"/>
      <c r="I226" s="351"/>
      <c r="J226" s="678"/>
      <c r="K226" s="696"/>
      <c r="L226" s="697"/>
      <c r="M226" s="721"/>
      <c r="N226" s="217"/>
      <c r="O226" s="218"/>
      <c r="P226" s="464"/>
      <c r="Q226" s="723"/>
      <c r="R226" s="479"/>
      <c r="S226" s="565">
        <v>45868</v>
      </c>
      <c r="T226" s="543">
        <f t="shared" si="4"/>
        <v>826.44628099173553</v>
      </c>
      <c r="U226" s="544">
        <v>1000</v>
      </c>
      <c r="V226" s="225"/>
      <c r="W226" s="225"/>
    </row>
    <row r="227" spans="1:23">
      <c r="A227" s="112"/>
      <c r="B227" s="141"/>
      <c r="C227" s="210"/>
      <c r="D227" s="163"/>
      <c r="E227" s="210"/>
      <c r="F227" s="211"/>
      <c r="G227" s="211"/>
      <c r="H227" s="212"/>
      <c r="I227" s="351"/>
      <c r="J227" s="678"/>
      <c r="K227" s="696"/>
      <c r="L227" s="697"/>
      <c r="M227" s="721"/>
      <c r="N227" s="217"/>
      <c r="O227" s="218"/>
      <c r="P227" s="464"/>
      <c r="Q227" s="723"/>
      <c r="R227" s="479"/>
      <c r="S227" s="565"/>
      <c r="T227" s="543"/>
      <c r="U227" s="544"/>
      <c r="V227" s="225"/>
      <c r="W227" s="225"/>
    </row>
    <row r="228" spans="1:23">
      <c r="A228" s="112"/>
      <c r="B228" s="141"/>
      <c r="C228" s="210"/>
      <c r="D228" s="163"/>
      <c r="E228" s="210"/>
      <c r="F228" s="211"/>
      <c r="G228" s="211"/>
      <c r="H228" s="212"/>
      <c r="I228" s="351"/>
      <c r="J228" s="678"/>
      <c r="K228" s="696"/>
      <c r="L228" s="697"/>
      <c r="M228" s="721"/>
      <c r="N228" s="217"/>
      <c r="O228" s="218"/>
      <c r="P228" s="464"/>
      <c r="Q228" s="723"/>
      <c r="R228" s="479"/>
      <c r="S228" s="565"/>
      <c r="T228" s="543"/>
      <c r="U228" s="544"/>
      <c r="V228" s="225"/>
      <c r="W228" s="225"/>
    </row>
    <row r="229" spans="1:23">
      <c r="A229" s="112"/>
      <c r="B229" s="141"/>
      <c r="C229" s="210"/>
      <c r="D229" s="163"/>
      <c r="E229" s="210"/>
      <c r="F229" s="211"/>
      <c r="G229" s="211"/>
      <c r="H229" s="212"/>
      <c r="I229" s="351"/>
      <c r="J229" s="678"/>
      <c r="K229" s="696"/>
      <c r="L229" s="697"/>
      <c r="M229" s="721"/>
      <c r="N229" s="217"/>
      <c r="O229" s="218"/>
      <c r="P229" s="664"/>
      <c r="Q229" s="705"/>
      <c r="R229" s="706"/>
      <c r="S229" s="565"/>
      <c r="T229" s="543"/>
      <c r="U229" s="544"/>
      <c r="V229" s="225"/>
      <c r="W229" s="225"/>
    </row>
    <row r="230" spans="1:23">
      <c r="A230" s="112"/>
      <c r="B230" s="141"/>
      <c r="C230" s="210"/>
      <c r="D230" s="163"/>
      <c r="E230" s="210"/>
      <c r="F230" s="211"/>
      <c r="G230" s="211"/>
      <c r="H230" s="212"/>
      <c r="I230" s="258"/>
      <c r="J230" s="678"/>
      <c r="K230" s="696"/>
      <c r="L230" s="697"/>
      <c r="M230" s="262"/>
      <c r="N230" s="217"/>
      <c r="O230" s="218"/>
      <c r="P230" s="436"/>
      <c r="Q230" s="444"/>
      <c r="R230" s="445"/>
      <c r="S230" s="573"/>
      <c r="T230" s="543"/>
      <c r="U230" s="544"/>
      <c r="V230" s="225"/>
      <c r="W230" s="225"/>
    </row>
    <row r="231" spans="1:23" ht="13.8" thickBot="1">
      <c r="A231" s="112"/>
      <c r="B231" s="141"/>
      <c r="C231" s="210"/>
      <c r="D231" s="163"/>
      <c r="E231" s="210"/>
      <c r="F231" s="211"/>
      <c r="G231" s="211"/>
      <c r="H231" s="212"/>
      <c r="I231" s="716" t="s">
        <v>4865</v>
      </c>
      <c r="J231" s="688"/>
      <c r="K231" s="698"/>
      <c r="L231" s="699"/>
      <c r="M231" s="270"/>
      <c r="N231" s="271"/>
      <c r="O231" s="271"/>
      <c r="P231" s="451"/>
      <c r="Q231" s="470">
        <f>SUM(Q223:Q230)</f>
        <v>0</v>
      </c>
      <c r="R231" s="471">
        <f>SUM(R223:R230)</f>
        <v>0</v>
      </c>
      <c r="S231" s="560"/>
      <c r="T231" s="567">
        <f>SUM(T223:T230)</f>
        <v>45826.446280991739</v>
      </c>
      <c r="U231" s="574">
        <f>SUM(U223:U230)</f>
        <v>55450</v>
      </c>
      <c r="V231" s="225"/>
      <c r="W231" s="225"/>
    </row>
    <row r="232" spans="1:23" ht="13.8" thickBot="1">
      <c r="A232" s="112"/>
      <c r="B232" s="172" t="s">
        <v>6103</v>
      </c>
      <c r="C232" s="192" t="s">
        <v>6113</v>
      </c>
      <c r="D232" s="242">
        <v>71332111</v>
      </c>
      <c r="E232" s="193" t="s">
        <v>5091</v>
      </c>
      <c r="F232" s="194">
        <v>250000</v>
      </c>
      <c r="G232" s="195">
        <v>302500</v>
      </c>
      <c r="H232" s="196" t="s">
        <v>5445</v>
      </c>
      <c r="I232" s="197"/>
      <c r="J232" s="691"/>
      <c r="K232" s="692"/>
      <c r="L232" s="693"/>
      <c r="M232" s="201"/>
      <c r="N232" s="202"/>
      <c r="O232" s="203"/>
      <c r="P232" s="414">
        <v>45379</v>
      </c>
      <c r="Q232" s="415">
        <f>R232*100/121</f>
        <v>16500</v>
      </c>
      <c r="R232" s="416">
        <v>19965</v>
      </c>
      <c r="S232" s="569">
        <v>45716</v>
      </c>
      <c r="T232" s="563">
        <f>U232*100/121</f>
        <v>9000</v>
      </c>
      <c r="U232" s="564">
        <v>10890</v>
      </c>
      <c r="V232" s="247">
        <f>F232-Q242-T242</f>
        <v>79000</v>
      </c>
      <c r="W232" s="248">
        <f>G232-R242-U242</f>
        <v>95590</v>
      </c>
    </row>
    <row r="233" spans="1:23">
      <c r="A233" s="112"/>
      <c r="B233" s="209"/>
      <c r="C233" s="210"/>
      <c r="D233" s="163"/>
      <c r="E233" s="210"/>
      <c r="F233" s="211"/>
      <c r="G233" s="211"/>
      <c r="H233" s="212"/>
      <c r="I233" s="213"/>
      <c r="J233" s="683"/>
      <c r="K233" s="694"/>
      <c r="L233" s="695"/>
      <c r="M233" s="216"/>
      <c r="N233" s="217"/>
      <c r="O233" s="218"/>
      <c r="P233" s="423">
        <v>45411</v>
      </c>
      <c r="Q233" s="722">
        <f t="shared" ref="Q233:Q239" si="5">R233*100/121</f>
        <v>6000</v>
      </c>
      <c r="R233" s="478">
        <v>7260</v>
      </c>
      <c r="S233" s="570">
        <v>45750</v>
      </c>
      <c r="T233" s="543">
        <f t="shared" ref="T233:T238" si="6">U233*100/121</f>
        <v>13500</v>
      </c>
      <c r="U233" s="544">
        <v>16335</v>
      </c>
      <c r="V233" s="225"/>
      <c r="W233" s="225"/>
    </row>
    <row r="234" spans="1:23">
      <c r="A234" s="112"/>
      <c r="B234" s="141"/>
      <c r="C234" s="210"/>
      <c r="D234" s="163"/>
      <c r="E234" s="210"/>
      <c r="F234" s="211"/>
      <c r="G234" s="211"/>
      <c r="H234" s="212"/>
      <c r="I234" s="351"/>
      <c r="J234" s="678"/>
      <c r="K234" s="696"/>
      <c r="L234" s="697"/>
      <c r="M234" s="721"/>
      <c r="N234" s="217"/>
      <c r="O234" s="218"/>
      <c r="P234" s="464">
        <v>45450</v>
      </c>
      <c r="Q234" s="723">
        <f t="shared" si="5"/>
        <v>6000</v>
      </c>
      <c r="R234" s="479">
        <v>7260</v>
      </c>
      <c r="S234" s="565">
        <v>45784</v>
      </c>
      <c r="T234" s="543">
        <f t="shared" si="6"/>
        <v>18000</v>
      </c>
      <c r="U234" s="544">
        <v>21780</v>
      </c>
      <c r="V234" s="225"/>
      <c r="W234" s="225"/>
    </row>
    <row r="235" spans="1:23">
      <c r="A235" s="112"/>
      <c r="B235" s="141"/>
      <c r="C235" s="210"/>
      <c r="D235" s="163"/>
      <c r="E235" s="210"/>
      <c r="F235" s="211"/>
      <c r="G235" s="211"/>
      <c r="H235" s="212"/>
      <c r="I235" s="351"/>
      <c r="J235" s="678"/>
      <c r="K235" s="696"/>
      <c r="L235" s="697"/>
      <c r="M235" s="721"/>
      <c r="N235" s="217"/>
      <c r="O235" s="218"/>
      <c r="P235" s="464">
        <v>45477</v>
      </c>
      <c r="Q235" s="723">
        <f t="shared" si="5"/>
        <v>24000</v>
      </c>
      <c r="R235" s="479">
        <v>29040</v>
      </c>
      <c r="S235" s="565">
        <v>45818</v>
      </c>
      <c r="T235" s="543">
        <f t="shared" si="6"/>
        <v>12000</v>
      </c>
      <c r="U235" s="544">
        <v>14520</v>
      </c>
      <c r="V235" s="225"/>
      <c r="W235" s="225"/>
    </row>
    <row r="236" spans="1:23">
      <c r="A236" s="112"/>
      <c r="B236" s="141"/>
      <c r="C236" s="210"/>
      <c r="D236" s="163"/>
      <c r="E236" s="210"/>
      <c r="F236" s="211"/>
      <c r="G236" s="211"/>
      <c r="H236" s="212"/>
      <c r="I236" s="351"/>
      <c r="J236" s="678"/>
      <c r="K236" s="696"/>
      <c r="L236" s="697"/>
      <c r="M236" s="721"/>
      <c r="N236" s="217"/>
      <c r="O236" s="218"/>
      <c r="P236" s="464">
        <v>45506</v>
      </c>
      <c r="Q236" s="723">
        <f t="shared" si="5"/>
        <v>30000</v>
      </c>
      <c r="R236" s="479">
        <v>36300</v>
      </c>
      <c r="S236" s="565">
        <v>45840</v>
      </c>
      <c r="T236" s="543">
        <f t="shared" si="6"/>
        <v>1500</v>
      </c>
      <c r="U236" s="544">
        <v>1815</v>
      </c>
      <c r="V236" s="225"/>
      <c r="W236" s="225"/>
    </row>
    <row r="237" spans="1:23">
      <c r="A237" s="112"/>
      <c r="B237" s="141"/>
      <c r="C237" s="210"/>
      <c r="D237" s="163"/>
      <c r="E237" s="210"/>
      <c r="F237" s="211"/>
      <c r="G237" s="211"/>
      <c r="H237" s="212"/>
      <c r="I237" s="351"/>
      <c r="J237" s="678"/>
      <c r="K237" s="696"/>
      <c r="L237" s="697"/>
      <c r="M237" s="721"/>
      <c r="N237" s="217"/>
      <c r="O237" s="218"/>
      <c r="P237" s="464">
        <v>45568</v>
      </c>
      <c r="Q237" s="723">
        <f t="shared" si="5"/>
        <v>3000</v>
      </c>
      <c r="R237" s="479">
        <v>3630</v>
      </c>
      <c r="S237" s="565">
        <v>45868</v>
      </c>
      <c r="T237" s="543">
        <f t="shared" si="6"/>
        <v>12000</v>
      </c>
      <c r="U237" s="544">
        <v>14520</v>
      </c>
      <c r="V237" s="225"/>
      <c r="W237" s="225"/>
    </row>
    <row r="238" spans="1:23">
      <c r="A238" s="112"/>
      <c r="B238" s="141"/>
      <c r="C238" s="210"/>
      <c r="D238" s="163"/>
      <c r="E238" s="210"/>
      <c r="F238" s="211"/>
      <c r="G238" s="211"/>
      <c r="H238" s="212"/>
      <c r="I238" s="351"/>
      <c r="J238" s="678"/>
      <c r="K238" s="696"/>
      <c r="L238" s="697"/>
      <c r="M238" s="721"/>
      <c r="N238" s="217"/>
      <c r="O238" s="218"/>
      <c r="P238" s="464">
        <v>45597</v>
      </c>
      <c r="Q238" s="723">
        <f t="shared" si="5"/>
        <v>7500</v>
      </c>
      <c r="R238" s="479">
        <v>9075</v>
      </c>
      <c r="S238" s="565">
        <v>45910</v>
      </c>
      <c r="T238" s="543">
        <f t="shared" si="6"/>
        <v>6000</v>
      </c>
      <c r="U238" s="544">
        <v>7260</v>
      </c>
      <c r="V238" s="225"/>
      <c r="W238" s="225"/>
    </row>
    <row r="239" spans="1:23">
      <c r="A239" s="112"/>
      <c r="B239" s="141"/>
      <c r="C239" s="210"/>
      <c r="D239" s="163"/>
      <c r="E239" s="210"/>
      <c r="F239" s="211"/>
      <c r="G239" s="211"/>
      <c r="H239" s="212"/>
      <c r="I239" s="351"/>
      <c r="J239" s="678"/>
      <c r="K239" s="696"/>
      <c r="L239" s="697"/>
      <c r="M239" s="721"/>
      <c r="N239" s="217"/>
      <c r="O239" s="218"/>
      <c r="P239" s="464">
        <v>45629</v>
      </c>
      <c r="Q239" s="723">
        <f t="shared" si="5"/>
        <v>6000</v>
      </c>
      <c r="R239" s="479">
        <v>7260</v>
      </c>
      <c r="S239" s="565"/>
      <c r="T239" s="543"/>
      <c r="U239" s="544"/>
      <c r="V239" s="225"/>
      <c r="W239" s="225"/>
    </row>
    <row r="240" spans="1:23">
      <c r="A240" s="112"/>
      <c r="B240" s="141"/>
      <c r="C240" s="210"/>
      <c r="D240" s="163"/>
      <c r="E240" s="210"/>
      <c r="F240" s="211"/>
      <c r="G240" s="211"/>
      <c r="H240" s="212"/>
      <c r="I240" s="351"/>
      <c r="J240" s="678"/>
      <c r="K240" s="696"/>
      <c r="L240" s="697"/>
      <c r="M240" s="721"/>
      <c r="N240" s="217"/>
      <c r="O240" s="218"/>
      <c r="P240" s="664"/>
      <c r="Q240" s="705"/>
      <c r="R240" s="706"/>
      <c r="S240" s="565"/>
      <c r="T240" s="543"/>
      <c r="U240" s="544"/>
      <c r="V240" s="225"/>
      <c r="W240" s="225"/>
    </row>
    <row r="241" spans="1:23">
      <c r="A241" s="112"/>
      <c r="B241" s="141"/>
      <c r="C241" s="210"/>
      <c r="D241" s="163"/>
      <c r="E241" s="210"/>
      <c r="F241" s="211"/>
      <c r="G241" s="211"/>
      <c r="H241" s="212"/>
      <c r="I241" s="258"/>
      <c r="J241" s="678"/>
      <c r="K241" s="696"/>
      <c r="L241" s="697"/>
      <c r="M241" s="262"/>
      <c r="N241" s="217"/>
      <c r="O241" s="218"/>
      <c r="P241" s="436"/>
      <c r="Q241" s="444"/>
      <c r="R241" s="445"/>
      <c r="S241" s="573"/>
      <c r="T241" s="543"/>
      <c r="U241" s="544"/>
      <c r="V241" s="225"/>
      <c r="W241" s="225"/>
    </row>
    <row r="242" spans="1:23" ht="13.8" thickBot="1">
      <c r="A242" s="112"/>
      <c r="B242" s="141"/>
      <c r="C242" s="210"/>
      <c r="D242" s="163"/>
      <c r="E242" s="210"/>
      <c r="F242" s="211"/>
      <c r="G242" s="211"/>
      <c r="H242" s="212"/>
      <c r="I242" s="716" t="s">
        <v>4865</v>
      </c>
      <c r="J242" s="688"/>
      <c r="K242" s="698"/>
      <c r="L242" s="699"/>
      <c r="M242" s="270"/>
      <c r="N242" s="271"/>
      <c r="O242" s="271"/>
      <c r="P242" s="451"/>
      <c r="Q242" s="470">
        <f>SUM(Q232:Q241)</f>
        <v>99000</v>
      </c>
      <c r="R242" s="471">
        <f>SUM(R232:R241)</f>
        <v>119790</v>
      </c>
      <c r="S242" s="560"/>
      <c r="T242" s="567">
        <f>SUM(T232:T241)</f>
        <v>72000</v>
      </c>
      <c r="U242" s="574">
        <f>SUM(U232:U241)</f>
        <v>87120</v>
      </c>
      <c r="V242" s="225"/>
      <c r="W242" s="225"/>
    </row>
    <row r="250" spans="1:23" ht="13.8" thickBot="1"/>
    <row r="251" spans="1:23" ht="14.4" thickBot="1">
      <c r="B251" s="1730" t="s">
        <v>5976</v>
      </c>
      <c r="C251" s="1731"/>
      <c r="D251" s="1731"/>
      <c r="E251" s="1731"/>
      <c r="F251" s="1732"/>
    </row>
    <row r="253" spans="1:23" ht="13.8" thickBot="1"/>
    <row r="254" spans="1:23" ht="13.8" thickBot="1">
      <c r="B254" s="852" t="s">
        <v>730</v>
      </c>
      <c r="C254" s="853" t="s">
        <v>731</v>
      </c>
      <c r="D254" s="854">
        <v>27922677</v>
      </c>
      <c r="E254" s="855" t="s">
        <v>4946</v>
      </c>
      <c r="F254" s="856">
        <v>438000</v>
      </c>
      <c r="G254" s="857">
        <v>529980</v>
      </c>
      <c r="H254" s="858">
        <v>45821</v>
      </c>
      <c r="I254" s="923"/>
      <c r="J254" s="924"/>
      <c r="K254" s="925"/>
      <c r="L254" s="926"/>
      <c r="M254" s="927"/>
      <c r="N254" s="925"/>
      <c r="O254" s="926"/>
      <c r="P254" s="928">
        <v>45302</v>
      </c>
      <c r="Q254" s="925">
        <v>65700</v>
      </c>
      <c r="R254" s="959">
        <v>79497</v>
      </c>
      <c r="S254" s="928">
        <v>45663</v>
      </c>
      <c r="T254" s="925">
        <v>65700</v>
      </c>
      <c r="U254" s="959">
        <v>79497</v>
      </c>
      <c r="V254" s="929">
        <f>SUM(F254-Q257-T257)</f>
        <v>0</v>
      </c>
      <c r="W254" s="930">
        <f>SUM(G254-R257-U257)</f>
        <v>0</v>
      </c>
    </row>
    <row r="255" spans="1:23">
      <c r="B255" s="834" t="s">
        <v>5312</v>
      </c>
      <c r="C255" s="937"/>
      <c r="D255" s="946"/>
      <c r="E255" s="947"/>
      <c r="F255" s="938"/>
      <c r="G255" s="938"/>
      <c r="H255" s="948"/>
      <c r="I255" s="949"/>
      <c r="J255" s="960"/>
      <c r="K255" s="961"/>
      <c r="L255" s="962"/>
      <c r="M255" s="963"/>
      <c r="N255" s="961"/>
      <c r="O255" s="962"/>
      <c r="P255" s="935">
        <v>45435</v>
      </c>
      <c r="Q255" s="932">
        <v>153300</v>
      </c>
      <c r="R255" s="933">
        <v>185493</v>
      </c>
      <c r="S255" s="935">
        <v>45804</v>
      </c>
      <c r="T255" s="932">
        <v>153300</v>
      </c>
      <c r="U255" s="933">
        <v>185493</v>
      </c>
      <c r="V255" s="964"/>
      <c r="W255" s="965"/>
    </row>
    <row r="256" spans="1:23">
      <c r="B256" s="937"/>
      <c r="C256" s="936"/>
      <c r="D256" s="946"/>
      <c r="E256" s="937"/>
      <c r="F256" s="938"/>
      <c r="G256" s="938"/>
      <c r="H256" s="948"/>
      <c r="I256" s="949"/>
      <c r="J256" s="931"/>
      <c r="K256" s="932"/>
      <c r="L256" s="933"/>
      <c r="M256" s="934"/>
      <c r="N256" s="932"/>
      <c r="O256" s="933"/>
      <c r="P256" s="935"/>
      <c r="Q256" s="932"/>
      <c r="R256" s="933"/>
      <c r="S256" s="935"/>
      <c r="T256" s="932"/>
      <c r="U256" s="933"/>
      <c r="V256" s="966"/>
      <c r="W256" s="967"/>
    </row>
    <row r="257" spans="2:23" ht="13.8" thickBot="1">
      <c r="B257" s="945"/>
      <c r="C257" s="937"/>
      <c r="D257" s="946"/>
      <c r="E257" s="937"/>
      <c r="F257" s="938"/>
      <c r="G257" s="938"/>
      <c r="H257" s="948"/>
      <c r="I257" s="950" t="s">
        <v>4865</v>
      </c>
      <c r="J257" s="939"/>
      <c r="K257" s="940"/>
      <c r="L257" s="941"/>
      <c r="M257" s="942"/>
      <c r="N257" s="940"/>
      <c r="O257" s="941"/>
      <c r="P257" s="942"/>
      <c r="Q257" s="943">
        <f>SUM(Q254:Q256)</f>
        <v>219000</v>
      </c>
      <c r="R257" s="944">
        <f>SUM(R254:R256)</f>
        <v>264990</v>
      </c>
      <c r="S257" s="942"/>
      <c r="T257" s="943">
        <f>SUM(T254:T256)</f>
        <v>219000</v>
      </c>
      <c r="U257" s="944">
        <f>SUM(U254:U256)</f>
        <v>264990</v>
      </c>
      <c r="V257" s="968"/>
      <c r="W257" s="969"/>
    </row>
    <row r="258" spans="2:23" ht="13.8" thickBot="1">
      <c r="B258" s="852" t="s">
        <v>909</v>
      </c>
      <c r="C258" s="853" t="s">
        <v>910</v>
      </c>
      <c r="D258" s="854">
        <v>9275525</v>
      </c>
      <c r="E258" s="1019" t="s">
        <v>4948</v>
      </c>
      <c r="F258" s="856">
        <v>245000</v>
      </c>
      <c r="G258" s="857">
        <v>296450</v>
      </c>
      <c r="H258" s="858">
        <v>46030</v>
      </c>
      <c r="I258" s="923"/>
      <c r="J258" s="924"/>
      <c r="K258" s="925"/>
      <c r="L258" s="926"/>
      <c r="M258" s="927"/>
      <c r="N258" s="925"/>
      <c r="O258" s="926"/>
      <c r="P258" s="928">
        <v>45954</v>
      </c>
      <c r="Q258" s="925">
        <v>138150</v>
      </c>
      <c r="R258" s="926">
        <f>Q258*1.21</f>
        <v>167161.5</v>
      </c>
      <c r="S258" s="928">
        <v>45868</v>
      </c>
      <c r="T258" s="925">
        <v>106850</v>
      </c>
      <c r="U258" s="926">
        <v>129288.5</v>
      </c>
      <c r="V258" s="929">
        <f>SUM(F258-Q262-T262)</f>
        <v>0</v>
      </c>
      <c r="W258" s="930">
        <f>SUM(G258-R262-U262)</f>
        <v>0</v>
      </c>
    </row>
    <row r="259" spans="2:23">
      <c r="B259" s="834" t="s">
        <v>5312</v>
      </c>
      <c r="C259" s="937"/>
      <c r="D259" s="946"/>
      <c r="E259" s="947"/>
      <c r="F259" s="938"/>
      <c r="G259" s="938"/>
      <c r="H259" s="948"/>
      <c r="I259" s="949"/>
      <c r="J259" s="931"/>
      <c r="K259" s="932"/>
      <c r="L259" s="933"/>
      <c r="M259" s="934"/>
      <c r="N259" s="932"/>
      <c r="O259" s="933"/>
      <c r="P259" s="934"/>
      <c r="Q259" s="932"/>
      <c r="R259" s="933"/>
      <c r="S259" s="934"/>
      <c r="T259" s="932"/>
      <c r="U259" s="933"/>
      <c r="V259" s="1020"/>
      <c r="W259" s="1021"/>
    </row>
    <row r="260" spans="2:23">
      <c r="B260" s="945"/>
      <c r="C260" s="937"/>
      <c r="D260" s="946"/>
      <c r="E260" s="947"/>
      <c r="F260" s="938"/>
      <c r="G260" s="938"/>
      <c r="H260" s="948"/>
      <c r="I260" s="949"/>
      <c r="J260" s="1022"/>
      <c r="K260" s="1023"/>
      <c r="L260" s="1024"/>
      <c r="M260" s="1025"/>
      <c r="N260" s="1023"/>
      <c r="O260" s="1024"/>
      <c r="P260" s="1025"/>
      <c r="Q260" s="1023"/>
      <c r="R260" s="1024"/>
      <c r="S260" s="1025"/>
      <c r="T260" s="1023"/>
      <c r="U260" s="1024"/>
      <c r="V260" s="966"/>
      <c r="W260" s="967"/>
    </row>
    <row r="261" spans="2:23">
      <c r="B261" s="945"/>
      <c r="C261" s="937"/>
      <c r="D261" s="946"/>
      <c r="E261" s="947"/>
      <c r="F261" s="938"/>
      <c r="G261" s="938"/>
      <c r="H261" s="948"/>
      <c r="I261" s="1026"/>
      <c r="J261" s="1022"/>
      <c r="K261" s="1023"/>
      <c r="L261" s="1024"/>
      <c r="M261" s="1025"/>
      <c r="N261" s="1023"/>
      <c r="O261" s="1024"/>
      <c r="P261" s="1025"/>
      <c r="Q261" s="1023"/>
      <c r="R261" s="1024"/>
      <c r="S261" s="1025"/>
      <c r="T261" s="1023"/>
      <c r="U261" s="1024"/>
      <c r="V261" s="966"/>
      <c r="W261" s="967"/>
    </row>
    <row r="262" spans="2:23" ht="13.8" thickBot="1">
      <c r="B262" s="945"/>
      <c r="C262" s="937"/>
      <c r="D262" s="946"/>
      <c r="E262" s="947"/>
      <c r="F262" s="938"/>
      <c r="G262" s="938"/>
      <c r="H262" s="948"/>
      <c r="I262" s="1178" t="s">
        <v>4865</v>
      </c>
      <c r="J262" s="939"/>
      <c r="K262" s="940"/>
      <c r="L262" s="941"/>
      <c r="M262" s="942"/>
      <c r="N262" s="940"/>
      <c r="O262" s="941"/>
      <c r="P262" s="942"/>
      <c r="Q262" s="943">
        <v>138150</v>
      </c>
      <c r="R262" s="944">
        <v>167161.5</v>
      </c>
      <c r="S262" s="942"/>
      <c r="T262" s="940">
        <v>106850</v>
      </c>
      <c r="U262" s="941">
        <v>129288.5</v>
      </c>
      <c r="V262" s="968"/>
      <c r="W262" s="969"/>
    </row>
  </sheetData>
  <mergeCells count="6">
    <mergeCell ref="B251:F251"/>
    <mergeCell ref="V3:W3"/>
    <mergeCell ref="J3:L3"/>
    <mergeCell ref="M3:O3"/>
    <mergeCell ref="P3:R3"/>
    <mergeCell ref="S3:U3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36C0-CB9A-4D4F-A0DD-C8459C7617EB}">
  <sheetPr codeName="List5"/>
  <dimension ref="A2:T131"/>
  <sheetViews>
    <sheetView zoomScale="90" zoomScaleNormal="90" workbookViewId="0">
      <selection activeCell="B10" sqref="B10"/>
    </sheetView>
  </sheetViews>
  <sheetFormatPr defaultColWidth="8.88671875" defaultRowHeight="13.2"/>
  <cols>
    <col min="1" max="1" width="8.88671875" style="112"/>
    <col min="2" max="2" width="20.44140625" style="112" bestFit="1" customWidth="1"/>
    <col min="3" max="3" width="37.88671875" style="112" bestFit="1" customWidth="1"/>
    <col min="4" max="4" width="9.6640625" style="112" bestFit="1" customWidth="1"/>
    <col min="5" max="5" width="21.5546875" style="112" bestFit="1" customWidth="1"/>
    <col min="6" max="6" width="16.44140625" style="112" bestFit="1" customWidth="1"/>
    <col min="7" max="7" width="16.33203125" style="112" customWidth="1"/>
    <col min="8" max="8" width="10.6640625" style="112" bestFit="1" customWidth="1"/>
    <col min="9" max="9" width="8.88671875" style="112"/>
    <col min="10" max="10" width="10.6640625" style="112" bestFit="1" customWidth="1"/>
    <col min="11" max="11" width="13.88671875" style="112" bestFit="1" customWidth="1"/>
    <col min="12" max="12" width="15" style="112" bestFit="1" customWidth="1"/>
    <col min="13" max="13" width="10.6640625" style="112" bestFit="1" customWidth="1"/>
    <col min="14" max="15" width="16.33203125" style="112" bestFit="1" customWidth="1"/>
    <col min="16" max="16" width="11.33203125" style="112" customWidth="1"/>
    <col min="17" max="18" width="16.33203125" style="112" bestFit="1" customWidth="1"/>
    <col min="19" max="20" width="16.88671875" style="112" bestFit="1" customWidth="1"/>
    <col min="21" max="16384" width="8.88671875" style="112"/>
  </cols>
  <sheetData>
    <row r="2" spans="1:20" ht="13.8" thickBot="1"/>
    <row r="3" spans="1:20" ht="40.200000000000003" thickBot="1">
      <c r="B3" s="173" t="s">
        <v>4856</v>
      </c>
      <c r="C3" s="174" t="s">
        <v>4857</v>
      </c>
      <c r="D3" s="174" t="s">
        <v>3068</v>
      </c>
      <c r="E3" s="174" t="s">
        <v>4858</v>
      </c>
      <c r="F3" s="175" t="s">
        <v>4859</v>
      </c>
      <c r="G3" s="175" t="s">
        <v>4860</v>
      </c>
      <c r="H3" s="174" t="s">
        <v>4861</v>
      </c>
      <c r="I3" s="576"/>
      <c r="J3" s="1762">
        <v>2023</v>
      </c>
      <c r="K3" s="1763"/>
      <c r="L3" s="1764"/>
      <c r="M3" s="1765">
        <v>2024</v>
      </c>
      <c r="N3" s="1766"/>
      <c r="O3" s="1767"/>
      <c r="P3" s="1759">
        <v>2025</v>
      </c>
      <c r="Q3" s="1760"/>
      <c r="R3" s="1761"/>
      <c r="S3" s="1768" t="s">
        <v>4862</v>
      </c>
      <c r="T3" s="1769"/>
    </row>
    <row r="4" spans="1:20" ht="13.8" thickBot="1">
      <c r="B4" s="177"/>
      <c r="C4" s="163"/>
      <c r="D4" s="178"/>
      <c r="E4" s="163"/>
      <c r="F4" s="179"/>
      <c r="G4" s="179"/>
      <c r="H4" s="163"/>
      <c r="I4" s="180"/>
      <c r="J4" s="184"/>
      <c r="K4" s="185" t="s">
        <v>4863</v>
      </c>
      <c r="L4" s="186" t="s">
        <v>4864</v>
      </c>
      <c r="M4" s="187"/>
      <c r="N4" s="188" t="s">
        <v>4863</v>
      </c>
      <c r="O4" s="189" t="s">
        <v>4864</v>
      </c>
      <c r="P4" s="553"/>
      <c r="Q4" s="521" t="s">
        <v>4863</v>
      </c>
      <c r="R4" s="522" t="s">
        <v>4864</v>
      </c>
      <c r="S4" s="190" t="s">
        <v>4863</v>
      </c>
      <c r="T4" s="191" t="s">
        <v>4864</v>
      </c>
    </row>
    <row r="5" spans="1:20" ht="13.8" thickBot="1">
      <c r="A5" s="112" t="s">
        <v>5445</v>
      </c>
      <c r="B5" s="172" t="s">
        <v>5970</v>
      </c>
      <c r="C5" s="192" t="s">
        <v>5971</v>
      </c>
      <c r="D5" s="1104">
        <v>48586285</v>
      </c>
      <c r="E5" s="193" t="s">
        <v>3278</v>
      </c>
      <c r="F5" s="1189">
        <v>354879</v>
      </c>
      <c r="G5" s="1190">
        <v>397464.48</v>
      </c>
      <c r="H5" s="196">
        <v>46606</v>
      </c>
      <c r="I5" s="197"/>
      <c r="J5" s="201"/>
      <c r="K5" s="202"/>
      <c r="L5" s="203"/>
      <c r="M5" s="204"/>
      <c r="N5" s="205"/>
      <c r="O5" s="206"/>
      <c r="P5" s="523">
        <v>45932</v>
      </c>
      <c r="Q5" s="524">
        <f>R5/112*100</f>
        <v>25536.999999999996</v>
      </c>
      <c r="R5" s="525">
        <v>28601.439999999999</v>
      </c>
      <c r="S5" s="207">
        <f>SUM(F5-K21-N21-Q21)</f>
        <v>287655.63392857142</v>
      </c>
      <c r="T5" s="208">
        <f>SUM(G5-L21-O21-R21)</f>
        <v>322174.31</v>
      </c>
    </row>
    <row r="6" spans="1:20">
      <c r="B6" s="209"/>
      <c r="C6" s="210"/>
      <c r="D6" s="163"/>
      <c r="E6" s="210"/>
      <c r="F6" s="211"/>
      <c r="G6" s="211"/>
      <c r="H6" s="212"/>
      <c r="I6" s="213"/>
      <c r="J6" s="216"/>
      <c r="K6" s="217"/>
      <c r="L6" s="218"/>
      <c r="M6" s="219"/>
      <c r="N6" s="205"/>
      <c r="O6" s="220"/>
      <c r="P6" s="526">
        <v>45951</v>
      </c>
      <c r="Q6" s="524">
        <f>R6/112*100</f>
        <v>11586.098214285714</v>
      </c>
      <c r="R6" s="525">
        <v>12976.43</v>
      </c>
      <c r="S6" s="221"/>
      <c r="T6" s="221"/>
    </row>
    <row r="7" spans="1:20">
      <c r="B7" s="1100"/>
      <c r="C7" s="210"/>
      <c r="D7" s="163"/>
      <c r="E7" s="210"/>
      <c r="F7" s="211"/>
      <c r="G7" s="211"/>
      <c r="H7" s="212"/>
      <c r="I7" s="213"/>
      <c r="J7" s="216"/>
      <c r="K7" s="217"/>
      <c r="L7" s="218"/>
      <c r="M7" s="219"/>
      <c r="N7" s="205"/>
      <c r="O7" s="220"/>
      <c r="P7" s="526">
        <v>45987</v>
      </c>
      <c r="Q7" s="524">
        <f>R7/112*100</f>
        <v>21838.678571428572</v>
      </c>
      <c r="R7" s="525">
        <v>24459.32</v>
      </c>
      <c r="S7" s="225"/>
      <c r="T7" s="225"/>
    </row>
    <row r="8" spans="1:20">
      <c r="B8" s="141"/>
      <c r="C8" s="210"/>
      <c r="D8" s="163"/>
      <c r="E8" s="210"/>
      <c r="F8" s="211"/>
      <c r="G8" s="211"/>
      <c r="H8" s="212"/>
      <c r="I8" s="213"/>
      <c r="J8" s="216"/>
      <c r="K8" s="217"/>
      <c r="L8" s="218"/>
      <c r="M8" s="219"/>
      <c r="N8" s="205"/>
      <c r="O8" s="220"/>
      <c r="P8" s="526">
        <v>46022</v>
      </c>
      <c r="Q8" s="524">
        <f>R8/112*100</f>
        <v>8261.5892857142862</v>
      </c>
      <c r="R8" s="525">
        <v>9252.98</v>
      </c>
      <c r="S8" s="225"/>
      <c r="T8" s="225"/>
    </row>
    <row r="9" spans="1:20">
      <c r="B9" s="141"/>
      <c r="C9" s="210"/>
      <c r="D9" s="163"/>
      <c r="E9" s="210"/>
      <c r="F9" s="211"/>
      <c r="G9" s="211"/>
      <c r="H9" s="212"/>
      <c r="I9" s="213"/>
      <c r="J9" s="216"/>
      <c r="K9" s="217"/>
      <c r="L9" s="218"/>
      <c r="M9" s="219"/>
      <c r="N9" s="205"/>
      <c r="O9" s="220"/>
      <c r="P9" s="526"/>
      <c r="Q9" s="524"/>
      <c r="R9" s="525"/>
      <c r="S9" s="225"/>
      <c r="T9" s="225"/>
    </row>
    <row r="10" spans="1:20">
      <c r="B10" s="141"/>
      <c r="C10" s="210"/>
      <c r="D10" s="163"/>
      <c r="E10" s="210"/>
      <c r="F10" s="211"/>
      <c r="G10" s="211"/>
      <c r="H10" s="212"/>
      <c r="I10" s="213"/>
      <c r="J10" s="216"/>
      <c r="K10" s="217"/>
      <c r="L10" s="218"/>
      <c r="M10" s="219"/>
      <c r="N10" s="205"/>
      <c r="O10" s="220"/>
      <c r="P10" s="528"/>
      <c r="Q10" s="524"/>
      <c r="R10" s="529"/>
      <c r="S10" s="225"/>
      <c r="T10" s="225"/>
    </row>
    <row r="11" spans="1:20">
      <c r="B11" s="141"/>
      <c r="C11" s="210"/>
      <c r="D11" s="163"/>
      <c r="E11" s="210"/>
      <c r="F11" s="211"/>
      <c r="G11" s="211"/>
      <c r="H11" s="212"/>
      <c r="I11" s="213"/>
      <c r="J11" s="216"/>
      <c r="K11" s="217"/>
      <c r="L11" s="218"/>
      <c r="M11" s="219"/>
      <c r="N11" s="205"/>
      <c r="O11" s="220"/>
      <c r="P11" s="528"/>
      <c r="Q11" s="524"/>
      <c r="R11" s="529"/>
      <c r="S11" s="225"/>
      <c r="T11" s="225"/>
    </row>
    <row r="12" spans="1:20">
      <c r="B12" s="141"/>
      <c r="C12" s="210"/>
      <c r="D12" s="163"/>
      <c r="E12" s="210"/>
      <c r="F12" s="211"/>
      <c r="G12" s="211"/>
      <c r="H12" s="212"/>
      <c r="I12" s="213"/>
      <c r="J12" s="216"/>
      <c r="K12" s="217"/>
      <c r="L12" s="218"/>
      <c r="M12" s="219"/>
      <c r="N12" s="205"/>
      <c r="O12" s="220"/>
      <c r="P12" s="528"/>
      <c r="Q12" s="524"/>
      <c r="R12" s="529"/>
      <c r="S12" s="225"/>
      <c r="T12" s="225"/>
    </row>
    <row r="13" spans="1:20">
      <c r="B13" s="141"/>
      <c r="C13" s="210"/>
      <c r="D13" s="163"/>
      <c r="E13" s="210"/>
      <c r="F13" s="211"/>
      <c r="G13" s="211"/>
      <c r="H13" s="212"/>
      <c r="I13" s="213"/>
      <c r="J13" s="222"/>
      <c r="K13" s="223"/>
      <c r="L13" s="224"/>
      <c r="M13" s="219"/>
      <c r="N13" s="205"/>
      <c r="O13" s="220"/>
      <c r="P13" s="528"/>
      <c r="Q13" s="524"/>
      <c r="R13" s="529"/>
      <c r="S13" s="225"/>
      <c r="T13" s="225"/>
    </row>
    <row r="14" spans="1:20">
      <c r="B14" s="141"/>
      <c r="C14" s="210"/>
      <c r="D14" s="163"/>
      <c r="E14" s="210"/>
      <c r="F14" s="211"/>
      <c r="G14" s="211"/>
      <c r="H14" s="212"/>
      <c r="I14" s="213"/>
      <c r="J14" s="222"/>
      <c r="K14" s="223"/>
      <c r="L14" s="224"/>
      <c r="M14" s="219"/>
      <c r="N14" s="205"/>
      <c r="O14" s="220"/>
      <c r="P14" s="530"/>
      <c r="Q14" s="524"/>
      <c r="R14" s="529"/>
      <c r="S14" s="225"/>
      <c r="T14" s="225"/>
    </row>
    <row r="15" spans="1:20">
      <c r="B15" s="141"/>
      <c r="C15" s="210"/>
      <c r="D15" s="163"/>
      <c r="E15" s="210"/>
      <c r="F15" s="211"/>
      <c r="G15" s="211"/>
      <c r="H15" s="212"/>
      <c r="I15" s="213"/>
      <c r="J15" s="222"/>
      <c r="K15" s="223"/>
      <c r="L15" s="224"/>
      <c r="M15" s="219"/>
      <c r="N15" s="205"/>
      <c r="O15" s="220"/>
      <c r="P15" s="526"/>
      <c r="Q15" s="527"/>
      <c r="R15" s="525"/>
      <c r="S15" s="225"/>
      <c r="T15" s="225"/>
    </row>
    <row r="16" spans="1:20">
      <c r="B16" s="141"/>
      <c r="C16" s="210"/>
      <c r="D16" s="163"/>
      <c r="E16" s="210"/>
      <c r="F16" s="211"/>
      <c r="G16" s="211"/>
      <c r="H16" s="212"/>
      <c r="I16" s="213"/>
      <c r="J16" s="222"/>
      <c r="K16" s="223"/>
      <c r="L16" s="224"/>
      <c r="M16" s="219"/>
      <c r="N16" s="205"/>
      <c r="O16" s="220"/>
      <c r="P16" s="526"/>
      <c r="Q16" s="527"/>
      <c r="R16" s="525"/>
      <c r="S16" s="225"/>
      <c r="T16" s="225"/>
    </row>
    <row r="17" spans="1:20">
      <c r="B17" s="141"/>
      <c r="C17" s="210"/>
      <c r="D17" s="163"/>
      <c r="E17" s="210"/>
      <c r="F17" s="211"/>
      <c r="G17" s="211"/>
      <c r="H17" s="212"/>
      <c r="I17" s="213"/>
      <c r="J17" s="222"/>
      <c r="K17" s="223"/>
      <c r="L17" s="224"/>
      <c r="M17" s="219"/>
      <c r="N17" s="205"/>
      <c r="O17" s="220"/>
      <c r="P17" s="526"/>
      <c r="Q17" s="527"/>
      <c r="R17" s="525"/>
      <c r="S17" s="225"/>
      <c r="T17" s="225"/>
    </row>
    <row r="18" spans="1:20">
      <c r="B18" s="141"/>
      <c r="C18" s="210"/>
      <c r="D18" s="163"/>
      <c r="E18" s="210"/>
      <c r="F18" s="211"/>
      <c r="G18" s="211"/>
      <c r="H18" s="212"/>
      <c r="I18" s="213"/>
      <c r="J18" s="222"/>
      <c r="K18" s="223"/>
      <c r="L18" s="224"/>
      <c r="M18" s="219"/>
      <c r="N18" s="205"/>
      <c r="O18" s="220"/>
      <c r="P18" s="526"/>
      <c r="Q18" s="527"/>
      <c r="R18" s="525"/>
      <c r="S18" s="225"/>
      <c r="T18" s="225"/>
    </row>
    <row r="19" spans="1:20">
      <c r="B19" s="141"/>
      <c r="C19" s="210"/>
      <c r="D19" s="163"/>
      <c r="E19" s="210"/>
      <c r="F19" s="211"/>
      <c r="G19" s="211"/>
      <c r="H19" s="212"/>
      <c r="I19" s="213"/>
      <c r="J19" s="222"/>
      <c r="K19" s="223"/>
      <c r="L19" s="224"/>
      <c r="M19" s="219"/>
      <c r="N19" s="205"/>
      <c r="O19" s="220"/>
      <c r="P19" s="526"/>
      <c r="Q19" s="527"/>
      <c r="R19" s="525"/>
      <c r="S19" s="225"/>
      <c r="T19" s="225"/>
    </row>
    <row r="20" spans="1:20">
      <c r="B20" s="141"/>
      <c r="C20" s="210"/>
      <c r="D20" s="163"/>
      <c r="E20" s="210"/>
      <c r="F20" s="211"/>
      <c r="G20" s="211"/>
      <c r="H20" s="212"/>
      <c r="I20" s="213"/>
      <c r="J20" s="222"/>
      <c r="K20" s="223"/>
      <c r="L20" s="224"/>
      <c r="M20" s="231"/>
      <c r="N20" s="205"/>
      <c r="O20" s="220"/>
      <c r="P20" s="526"/>
      <c r="Q20" s="527"/>
      <c r="R20" s="525"/>
      <c r="S20" s="225"/>
      <c r="T20" s="225"/>
    </row>
    <row r="21" spans="1:20" ht="13.8" thickBot="1">
      <c r="B21" s="141"/>
      <c r="C21" s="210"/>
      <c r="D21" s="163"/>
      <c r="E21" s="210"/>
      <c r="F21" s="211"/>
      <c r="G21" s="211"/>
      <c r="H21" s="212"/>
      <c r="I21" s="232" t="s">
        <v>4865</v>
      </c>
      <c r="J21" s="236"/>
      <c r="K21" s="237">
        <f>SUM(K5:K20)</f>
        <v>0</v>
      </c>
      <c r="L21" s="238">
        <f>SUM(L5:L20)</f>
        <v>0</v>
      </c>
      <c r="M21" s="239"/>
      <c r="N21" s="240">
        <f>SUM(N5:N20)</f>
        <v>0</v>
      </c>
      <c r="O21" s="241">
        <f>SUM(O5:O20)</f>
        <v>0</v>
      </c>
      <c r="P21" s="531"/>
      <c r="Q21" s="532">
        <f>SUM(Q5:Q20)</f>
        <v>67223.366071428565</v>
      </c>
      <c r="R21" s="533">
        <f>SUM(R5:R20)</f>
        <v>75290.17</v>
      </c>
      <c r="S21" s="225"/>
      <c r="T21" s="225"/>
    </row>
    <row r="22" spans="1:20" ht="13.8" thickBot="1">
      <c r="A22" s="112" t="s">
        <v>5445</v>
      </c>
      <c r="B22" s="172" t="s">
        <v>5967</v>
      </c>
      <c r="C22" s="192" t="s">
        <v>5969</v>
      </c>
      <c r="D22" s="1104">
        <v>49689011</v>
      </c>
      <c r="E22" s="193" t="s">
        <v>5984</v>
      </c>
      <c r="F22" s="1189">
        <v>2328591</v>
      </c>
      <c r="G22" s="1190">
        <v>2608021.92</v>
      </c>
      <c r="H22" s="196">
        <v>46606</v>
      </c>
      <c r="I22" s="197"/>
      <c r="J22" s="201"/>
      <c r="K22" s="202"/>
      <c r="L22" s="203"/>
      <c r="M22" s="1188"/>
      <c r="N22" s="246"/>
      <c r="O22" s="206"/>
      <c r="P22" s="523">
        <v>45947</v>
      </c>
      <c r="Q22" s="534">
        <f>R22*100/112</f>
        <v>237625.19642857139</v>
      </c>
      <c r="R22" s="535">
        <v>266140.21999999997</v>
      </c>
      <c r="S22" s="207">
        <f>SUM(F22-K38-N38-Q38)</f>
        <v>1896259.7946428573</v>
      </c>
      <c r="T22" s="208">
        <f>SUM(G22-L38-O38-R38)</f>
        <v>2123810.9699999997</v>
      </c>
    </row>
    <row r="23" spans="1:20">
      <c r="B23" s="209"/>
      <c r="C23" s="210"/>
      <c r="D23" s="163"/>
      <c r="E23" s="210"/>
      <c r="F23" s="211"/>
      <c r="G23" s="211"/>
      <c r="H23" s="212"/>
      <c r="I23" s="213"/>
      <c r="J23" s="216"/>
      <c r="K23" s="217"/>
      <c r="L23" s="218"/>
      <c r="M23" s="219"/>
      <c r="N23" s="205"/>
      <c r="O23" s="220"/>
      <c r="P23" s="526">
        <v>46010</v>
      </c>
      <c r="Q23" s="524">
        <f>R23*100/112</f>
        <v>194706.00892857142</v>
      </c>
      <c r="R23" s="525">
        <v>218070.73</v>
      </c>
      <c r="S23" s="221"/>
      <c r="T23" s="221"/>
    </row>
    <row r="24" spans="1:20">
      <c r="B24" s="1100"/>
      <c r="C24" s="210"/>
      <c r="D24" s="163"/>
      <c r="E24" s="210"/>
      <c r="F24" s="211"/>
      <c r="G24" s="211"/>
      <c r="H24" s="212"/>
      <c r="I24" s="213"/>
      <c r="J24" s="216"/>
      <c r="K24" s="217"/>
      <c r="L24" s="218"/>
      <c r="M24" s="219"/>
      <c r="N24" s="205"/>
      <c r="O24" s="220"/>
      <c r="P24" s="526"/>
      <c r="Q24" s="524"/>
      <c r="R24" s="525"/>
      <c r="S24" s="225"/>
      <c r="T24" s="225"/>
    </row>
    <row r="25" spans="1:20">
      <c r="B25" s="141"/>
      <c r="C25" s="210"/>
      <c r="D25" s="163"/>
      <c r="E25" s="210"/>
      <c r="F25" s="211"/>
      <c r="G25" s="211"/>
      <c r="H25" s="212"/>
      <c r="I25" s="213"/>
      <c r="J25" s="216"/>
      <c r="K25" s="217"/>
      <c r="L25" s="218"/>
      <c r="M25" s="219"/>
      <c r="N25" s="205"/>
      <c r="O25" s="220"/>
      <c r="P25" s="526"/>
      <c r="Q25" s="524"/>
      <c r="R25" s="525"/>
      <c r="S25" s="225"/>
      <c r="T25" s="225"/>
    </row>
    <row r="26" spans="1:20">
      <c r="B26" s="141"/>
      <c r="C26" s="210"/>
      <c r="D26" s="163"/>
      <c r="E26" s="210"/>
      <c r="F26" s="211"/>
      <c r="G26" s="211"/>
      <c r="H26" s="212"/>
      <c r="I26" s="213"/>
      <c r="J26" s="216"/>
      <c r="K26" s="217"/>
      <c r="L26" s="218"/>
      <c r="M26" s="219"/>
      <c r="N26" s="205"/>
      <c r="O26" s="220"/>
      <c r="P26" s="526"/>
      <c r="Q26" s="524"/>
      <c r="R26" s="525"/>
      <c r="S26" s="225"/>
      <c r="T26" s="225"/>
    </row>
    <row r="27" spans="1:20">
      <c r="B27" s="141"/>
      <c r="C27" s="210"/>
      <c r="D27" s="163"/>
      <c r="E27" s="210"/>
      <c r="F27" s="211"/>
      <c r="G27" s="211"/>
      <c r="H27" s="212"/>
      <c r="I27" s="213"/>
      <c r="J27" s="216"/>
      <c r="K27" s="217"/>
      <c r="L27" s="218"/>
      <c r="M27" s="219"/>
      <c r="N27" s="205"/>
      <c r="O27" s="220"/>
      <c r="P27" s="528"/>
      <c r="Q27" s="524"/>
      <c r="R27" s="529"/>
      <c r="S27" s="225"/>
      <c r="T27" s="225"/>
    </row>
    <row r="28" spans="1:20">
      <c r="B28" s="141"/>
      <c r="C28" s="210"/>
      <c r="D28" s="163"/>
      <c r="E28" s="210"/>
      <c r="F28" s="211"/>
      <c r="G28" s="211"/>
      <c r="H28" s="212"/>
      <c r="I28" s="213"/>
      <c r="J28" s="216"/>
      <c r="K28" s="217"/>
      <c r="L28" s="218"/>
      <c r="M28" s="219"/>
      <c r="N28" s="205"/>
      <c r="O28" s="220"/>
      <c r="P28" s="528"/>
      <c r="Q28" s="524"/>
      <c r="R28" s="529"/>
      <c r="S28" s="225"/>
      <c r="T28" s="225"/>
    </row>
    <row r="29" spans="1:20">
      <c r="B29" s="141"/>
      <c r="C29" s="210"/>
      <c r="D29" s="163"/>
      <c r="E29" s="210"/>
      <c r="F29" s="211"/>
      <c r="G29" s="211"/>
      <c r="H29" s="212"/>
      <c r="I29" s="213"/>
      <c r="J29" s="216"/>
      <c r="K29" s="217"/>
      <c r="L29" s="218"/>
      <c r="M29" s="219"/>
      <c r="N29" s="205"/>
      <c r="O29" s="220"/>
      <c r="P29" s="528"/>
      <c r="Q29" s="524"/>
      <c r="R29" s="529"/>
      <c r="S29" s="225"/>
      <c r="T29" s="225"/>
    </row>
    <row r="30" spans="1:20">
      <c r="B30" s="141"/>
      <c r="C30" s="210"/>
      <c r="D30" s="163"/>
      <c r="E30" s="210"/>
      <c r="F30" s="211"/>
      <c r="G30" s="211"/>
      <c r="H30" s="212"/>
      <c r="I30" s="213"/>
      <c r="J30" s="222"/>
      <c r="K30" s="223"/>
      <c r="L30" s="224"/>
      <c r="M30" s="219"/>
      <c r="N30" s="205"/>
      <c r="O30" s="220"/>
      <c r="P30" s="528"/>
      <c r="Q30" s="524"/>
      <c r="R30" s="529"/>
      <c r="S30" s="225"/>
      <c r="T30" s="225"/>
    </row>
    <row r="31" spans="1:20">
      <c r="B31" s="141"/>
      <c r="C31" s="210"/>
      <c r="D31" s="163"/>
      <c r="E31" s="210"/>
      <c r="F31" s="211"/>
      <c r="G31" s="211"/>
      <c r="H31" s="212"/>
      <c r="I31" s="213"/>
      <c r="J31" s="222"/>
      <c r="K31" s="223"/>
      <c r="L31" s="224"/>
      <c r="M31" s="219"/>
      <c r="N31" s="205"/>
      <c r="O31" s="220"/>
      <c r="P31" s="530"/>
      <c r="Q31" s="524"/>
      <c r="R31" s="529"/>
      <c r="S31" s="225"/>
      <c r="T31" s="225"/>
    </row>
    <row r="32" spans="1:20">
      <c r="B32" s="141"/>
      <c r="C32" s="210"/>
      <c r="D32" s="163"/>
      <c r="E32" s="210"/>
      <c r="F32" s="211"/>
      <c r="G32" s="211"/>
      <c r="H32" s="212"/>
      <c r="I32" s="213"/>
      <c r="J32" s="222"/>
      <c r="K32" s="223"/>
      <c r="L32" s="224"/>
      <c r="M32" s="219"/>
      <c r="N32" s="205"/>
      <c r="O32" s="220"/>
      <c r="P32" s="526"/>
      <c r="Q32" s="527"/>
      <c r="R32" s="525"/>
      <c r="S32" s="225"/>
      <c r="T32" s="225"/>
    </row>
    <row r="33" spans="1:20">
      <c r="B33" s="141"/>
      <c r="C33" s="210"/>
      <c r="D33" s="163"/>
      <c r="E33" s="210"/>
      <c r="F33" s="211"/>
      <c r="G33" s="211"/>
      <c r="H33" s="212"/>
      <c r="I33" s="213"/>
      <c r="J33" s="222"/>
      <c r="K33" s="223"/>
      <c r="L33" s="224"/>
      <c r="M33" s="219"/>
      <c r="N33" s="205"/>
      <c r="O33" s="220"/>
      <c r="P33" s="526"/>
      <c r="Q33" s="527"/>
      <c r="R33" s="525"/>
      <c r="S33" s="225"/>
      <c r="T33" s="225"/>
    </row>
    <row r="34" spans="1:20">
      <c r="B34" s="141"/>
      <c r="C34" s="210"/>
      <c r="D34" s="163"/>
      <c r="E34" s="210"/>
      <c r="F34" s="211"/>
      <c r="G34" s="211"/>
      <c r="H34" s="212"/>
      <c r="I34" s="213"/>
      <c r="J34" s="222"/>
      <c r="K34" s="223"/>
      <c r="L34" s="224"/>
      <c r="M34" s="219"/>
      <c r="N34" s="205"/>
      <c r="O34" s="220"/>
      <c r="P34" s="526"/>
      <c r="Q34" s="527"/>
      <c r="R34" s="525"/>
      <c r="S34" s="225"/>
      <c r="T34" s="225"/>
    </row>
    <row r="35" spans="1:20">
      <c r="B35" s="141"/>
      <c r="C35" s="210"/>
      <c r="D35" s="163"/>
      <c r="E35" s="210"/>
      <c r="F35" s="211"/>
      <c r="G35" s="211"/>
      <c r="H35" s="212"/>
      <c r="I35" s="213"/>
      <c r="J35" s="222"/>
      <c r="K35" s="223"/>
      <c r="L35" s="224"/>
      <c r="M35" s="219"/>
      <c r="N35" s="205"/>
      <c r="O35" s="220"/>
      <c r="P35" s="526"/>
      <c r="Q35" s="527"/>
      <c r="R35" s="525"/>
      <c r="S35" s="225"/>
      <c r="T35" s="225"/>
    </row>
    <row r="36" spans="1:20">
      <c r="B36" s="141"/>
      <c r="C36" s="210"/>
      <c r="D36" s="163"/>
      <c r="E36" s="210"/>
      <c r="F36" s="211"/>
      <c r="G36" s="211"/>
      <c r="H36" s="212"/>
      <c r="I36" s="213"/>
      <c r="J36" s="222"/>
      <c r="K36" s="223"/>
      <c r="L36" s="224"/>
      <c r="M36" s="219"/>
      <c r="N36" s="205"/>
      <c r="O36" s="220"/>
      <c r="P36" s="526"/>
      <c r="Q36" s="527"/>
      <c r="R36" s="525"/>
      <c r="S36" s="225"/>
      <c r="T36" s="225"/>
    </row>
    <row r="37" spans="1:20">
      <c r="B37" s="141"/>
      <c r="C37" s="210"/>
      <c r="D37" s="163"/>
      <c r="E37" s="210"/>
      <c r="F37" s="211"/>
      <c r="G37" s="211"/>
      <c r="H37" s="212"/>
      <c r="I37" s="213"/>
      <c r="J37" s="222"/>
      <c r="K37" s="223"/>
      <c r="L37" s="224"/>
      <c r="M37" s="231"/>
      <c r="N37" s="205"/>
      <c r="O37" s="220"/>
      <c r="P37" s="526"/>
      <c r="Q37" s="527"/>
      <c r="R37" s="525"/>
      <c r="S37" s="225"/>
      <c r="T37" s="225"/>
    </row>
    <row r="38" spans="1:20" ht="13.8" thickBot="1">
      <c r="B38" s="141"/>
      <c r="C38" s="210"/>
      <c r="D38" s="163"/>
      <c r="E38" s="210"/>
      <c r="F38" s="211"/>
      <c r="G38" s="211"/>
      <c r="H38" s="212"/>
      <c r="I38" s="232" t="s">
        <v>4865</v>
      </c>
      <c r="J38" s="236"/>
      <c r="K38" s="237">
        <f>SUM(K22:K37)</f>
        <v>0</v>
      </c>
      <c r="L38" s="238">
        <f>SUM(L22:L37)</f>
        <v>0</v>
      </c>
      <c r="M38" s="239"/>
      <c r="N38" s="240">
        <f>SUM(N22:N37)</f>
        <v>0</v>
      </c>
      <c r="O38" s="241">
        <f>SUM(O22:O37)</f>
        <v>0</v>
      </c>
      <c r="P38" s="531"/>
      <c r="Q38" s="532">
        <f>SUM(Q22:Q37)</f>
        <v>432331.20535714284</v>
      </c>
      <c r="R38" s="533">
        <f>SUM(R22:R37)</f>
        <v>484210.94999999995</v>
      </c>
      <c r="S38" s="225"/>
      <c r="T38" s="225"/>
    </row>
    <row r="39" spans="1:20" ht="13.8" thickBot="1">
      <c r="A39" s="112" t="s">
        <v>5445</v>
      </c>
      <c r="B39" s="172" t="s">
        <v>4618</v>
      </c>
      <c r="C39" s="192" t="s">
        <v>4892</v>
      </c>
      <c r="D39" s="242">
        <v>25277961</v>
      </c>
      <c r="E39" s="193" t="s">
        <v>4619</v>
      </c>
      <c r="F39" s="194">
        <v>5400000</v>
      </c>
      <c r="G39" s="195">
        <v>6048000</v>
      </c>
      <c r="H39" s="196">
        <v>46247</v>
      </c>
      <c r="I39" s="197"/>
      <c r="J39" s="201"/>
      <c r="K39" s="202"/>
      <c r="L39" s="203"/>
      <c r="M39" s="490">
        <v>45554</v>
      </c>
      <c r="N39" s="246">
        <f>56766.83*100/112</f>
        <v>50684.669642857145</v>
      </c>
      <c r="O39" s="206">
        <v>56766.83</v>
      </c>
      <c r="P39" s="523">
        <v>45664</v>
      </c>
      <c r="Q39" s="534">
        <f>R39*100/112</f>
        <v>65645.678571428565</v>
      </c>
      <c r="R39" s="535">
        <v>73523.16</v>
      </c>
      <c r="S39" s="247">
        <f>SUM(F39-N84-Q84)</f>
        <v>1160380.0446428582</v>
      </c>
      <c r="T39" s="248">
        <f>SUM(G39-O84-R84)</f>
        <v>1299625.6499999999</v>
      </c>
    </row>
    <row r="40" spans="1:20">
      <c r="B40" s="209"/>
      <c r="C40" s="210"/>
      <c r="D40" s="163"/>
      <c r="E40" s="210"/>
      <c r="F40" s="211"/>
      <c r="G40" s="211"/>
      <c r="H40" s="212"/>
      <c r="I40" s="213"/>
      <c r="J40" s="216"/>
      <c r="K40" s="217"/>
      <c r="L40" s="218"/>
      <c r="M40" s="231">
        <v>45561</v>
      </c>
      <c r="N40" s="205">
        <f>109264.17*100/112</f>
        <v>97557.294642857145</v>
      </c>
      <c r="O40" s="220">
        <v>109264.17</v>
      </c>
      <c r="P40" s="526">
        <v>45667</v>
      </c>
      <c r="Q40" s="543">
        <f t="shared" ref="Q40:Q56" si="0">R40*100/112</f>
        <v>55351.526785714283</v>
      </c>
      <c r="R40" s="525">
        <v>61993.71</v>
      </c>
      <c r="S40" s="225"/>
      <c r="T40" s="225"/>
    </row>
    <row r="41" spans="1:20">
      <c r="B41" s="141"/>
      <c r="C41" s="210"/>
      <c r="D41" s="163"/>
      <c r="E41" s="210"/>
      <c r="F41" s="211"/>
      <c r="G41" s="211"/>
      <c r="H41" s="212"/>
      <c r="I41" s="351"/>
      <c r="J41" s="216"/>
      <c r="K41" s="217"/>
      <c r="L41" s="218"/>
      <c r="M41" s="491">
        <v>45579</v>
      </c>
      <c r="N41" s="205">
        <f>101621.41*100/112</f>
        <v>90733.40178571429</v>
      </c>
      <c r="O41" s="492">
        <v>101621.41</v>
      </c>
      <c r="P41" s="526">
        <v>45685</v>
      </c>
      <c r="Q41" s="543">
        <f t="shared" si="0"/>
        <v>68102.419642857145</v>
      </c>
      <c r="R41" s="525">
        <v>76274.710000000006</v>
      </c>
      <c r="S41" s="225"/>
      <c r="T41" s="225"/>
    </row>
    <row r="42" spans="1:20">
      <c r="B42" s="141"/>
      <c r="C42" s="210"/>
      <c r="D42" s="163"/>
      <c r="E42" s="210"/>
      <c r="F42" s="211"/>
      <c r="G42" s="211"/>
      <c r="H42" s="212"/>
      <c r="I42" s="351"/>
      <c r="J42" s="520"/>
      <c r="K42" s="217"/>
      <c r="L42" s="218"/>
      <c r="M42" s="491">
        <v>45594</v>
      </c>
      <c r="N42" s="205">
        <f>134316.2*100/112</f>
        <v>119925.17857142859</v>
      </c>
      <c r="O42" s="492">
        <v>134316.20000000001</v>
      </c>
      <c r="P42" s="528">
        <v>45699</v>
      </c>
      <c r="Q42" s="613">
        <f t="shared" si="0"/>
        <v>146488.36607142858</v>
      </c>
      <c r="R42" s="529">
        <v>164066.97</v>
      </c>
      <c r="S42" s="225"/>
      <c r="T42" s="225"/>
    </row>
    <row r="43" spans="1:20">
      <c r="B43" s="141"/>
      <c r="C43" s="210"/>
      <c r="D43" s="163"/>
      <c r="E43" s="210"/>
      <c r="F43" s="211"/>
      <c r="G43" s="211"/>
      <c r="H43" s="212"/>
      <c r="I43" s="351"/>
      <c r="J43" s="520"/>
      <c r="K43" s="217"/>
      <c r="L43" s="218"/>
      <c r="M43" s="491">
        <v>45611</v>
      </c>
      <c r="N43" s="205">
        <f>158843.72*100/112</f>
        <v>141824.75</v>
      </c>
      <c r="O43" s="492">
        <v>158843.72</v>
      </c>
      <c r="P43" s="528">
        <v>45713</v>
      </c>
      <c r="Q43" s="613">
        <f t="shared" si="0"/>
        <v>31941.678571428572</v>
      </c>
      <c r="R43" s="529">
        <v>35774.68</v>
      </c>
      <c r="S43" s="225"/>
      <c r="T43" s="225"/>
    </row>
    <row r="44" spans="1:20">
      <c r="B44" s="141"/>
      <c r="C44" s="210"/>
      <c r="D44" s="163"/>
      <c r="E44" s="210"/>
      <c r="F44" s="211"/>
      <c r="G44" s="211"/>
      <c r="H44" s="212"/>
      <c r="I44" s="351"/>
      <c r="J44" s="520"/>
      <c r="K44" s="217"/>
      <c r="L44" s="218"/>
      <c r="M44" s="491">
        <v>45624</v>
      </c>
      <c r="N44" s="205">
        <f>185854.1*100/112</f>
        <v>165941.16071428571</v>
      </c>
      <c r="O44" s="492">
        <v>185854.1</v>
      </c>
      <c r="P44" s="528">
        <v>45715</v>
      </c>
      <c r="Q44" s="613">
        <f t="shared" si="0"/>
        <v>32305.232142857141</v>
      </c>
      <c r="R44" s="529">
        <v>36181.86</v>
      </c>
      <c r="S44" s="225"/>
      <c r="T44" s="225"/>
    </row>
    <row r="45" spans="1:20">
      <c r="B45" s="141"/>
      <c r="C45" s="210"/>
      <c r="D45" s="163"/>
      <c r="E45" s="210"/>
      <c r="F45" s="211"/>
      <c r="G45" s="211"/>
      <c r="H45" s="212"/>
      <c r="I45" s="351"/>
      <c r="J45" s="520"/>
      <c r="K45" s="217"/>
      <c r="L45" s="218"/>
      <c r="M45" s="491">
        <v>45637</v>
      </c>
      <c r="N45" s="205">
        <f>160458.3*100/112</f>
        <v>143266.33928571426</v>
      </c>
      <c r="O45" s="492">
        <v>160458.29999999999</v>
      </c>
      <c r="P45" s="528">
        <v>45742</v>
      </c>
      <c r="Q45" s="613">
        <f t="shared" si="0"/>
        <v>249266.03571428574</v>
      </c>
      <c r="R45" s="529">
        <v>279177.96000000002</v>
      </c>
      <c r="S45" s="225"/>
      <c r="T45" s="225"/>
    </row>
    <row r="46" spans="1:20">
      <c r="B46" s="141"/>
      <c r="C46" s="210"/>
      <c r="D46" s="163"/>
      <c r="E46" s="210"/>
      <c r="F46" s="211"/>
      <c r="G46" s="211"/>
      <c r="H46" s="212"/>
      <c r="I46" s="351"/>
      <c r="J46" s="520"/>
      <c r="K46" s="217"/>
      <c r="L46" s="218"/>
      <c r="M46" s="491">
        <v>45646</v>
      </c>
      <c r="N46" s="205">
        <f>95903.26*100/112</f>
        <v>85627.91071428571</v>
      </c>
      <c r="O46" s="492">
        <v>95903.26</v>
      </c>
      <c r="P46" s="528">
        <v>45776</v>
      </c>
      <c r="Q46" s="613">
        <f t="shared" si="0"/>
        <v>343525.67857142858</v>
      </c>
      <c r="R46" s="529">
        <v>384748.76</v>
      </c>
      <c r="S46" s="225"/>
      <c r="T46" s="225"/>
    </row>
    <row r="47" spans="1:20">
      <c r="B47" s="141"/>
      <c r="C47" s="210"/>
      <c r="D47" s="163"/>
      <c r="E47" s="210"/>
      <c r="F47" s="211"/>
      <c r="G47" s="211"/>
      <c r="H47" s="212"/>
      <c r="I47" s="351"/>
      <c r="J47" s="262"/>
      <c r="K47" s="217"/>
      <c r="L47" s="218"/>
      <c r="M47" s="491">
        <v>45649</v>
      </c>
      <c r="N47" s="205">
        <f>79804.57*100/112</f>
        <v>71254.08035714287</v>
      </c>
      <c r="O47" s="492">
        <v>79804.570000000007</v>
      </c>
      <c r="P47" s="566">
        <v>45784</v>
      </c>
      <c r="Q47" s="613">
        <f t="shared" si="0"/>
        <v>82111.625</v>
      </c>
      <c r="R47" s="616">
        <v>91965.02</v>
      </c>
      <c r="S47" s="225"/>
      <c r="T47" s="225"/>
    </row>
    <row r="48" spans="1:20">
      <c r="B48" s="141"/>
      <c r="C48" s="210"/>
      <c r="D48" s="163"/>
      <c r="E48" s="210"/>
      <c r="F48" s="211"/>
      <c r="G48" s="211"/>
      <c r="H48" s="212"/>
      <c r="I48" s="351"/>
      <c r="J48" s="262"/>
      <c r="K48" s="217"/>
      <c r="L48" s="218"/>
      <c r="M48" s="758"/>
      <c r="N48" s="759"/>
      <c r="O48" s="265"/>
      <c r="P48" s="566">
        <v>45804</v>
      </c>
      <c r="Q48" s="613">
        <f t="shared" si="0"/>
        <v>71964.330357142855</v>
      </c>
      <c r="R48" s="616">
        <v>80600.05</v>
      </c>
      <c r="S48" s="225"/>
      <c r="T48" s="225"/>
    </row>
    <row r="49" spans="2:20">
      <c r="B49" s="141"/>
      <c r="C49" s="210"/>
      <c r="D49" s="163"/>
      <c r="E49" s="210"/>
      <c r="F49" s="211"/>
      <c r="G49" s="211"/>
      <c r="H49" s="212"/>
      <c r="I49" s="351"/>
      <c r="J49" s="262"/>
      <c r="K49" s="217"/>
      <c r="L49" s="218"/>
      <c r="M49" s="758"/>
      <c r="N49" s="759"/>
      <c r="O49" s="265"/>
      <c r="P49" s="566">
        <v>45793</v>
      </c>
      <c r="Q49" s="613">
        <f t="shared" si="0"/>
        <v>47364.258928571428</v>
      </c>
      <c r="R49" s="616">
        <v>53047.97</v>
      </c>
      <c r="S49" s="225"/>
      <c r="T49" s="225"/>
    </row>
    <row r="50" spans="2:20">
      <c r="B50" s="141"/>
      <c r="C50" s="210"/>
      <c r="D50" s="163"/>
      <c r="E50" s="210"/>
      <c r="F50" s="211"/>
      <c r="G50" s="211"/>
      <c r="H50" s="212"/>
      <c r="I50" s="351"/>
      <c r="J50" s="262"/>
      <c r="K50" s="217"/>
      <c r="L50" s="218"/>
      <c r="M50" s="758"/>
      <c r="N50" s="759"/>
      <c r="O50" s="265"/>
      <c r="P50" s="566">
        <v>45807</v>
      </c>
      <c r="Q50" s="613">
        <f t="shared" si="0"/>
        <v>41974.598214285717</v>
      </c>
      <c r="R50" s="616">
        <v>47011.55</v>
      </c>
      <c r="S50" s="225"/>
      <c r="T50" s="225"/>
    </row>
    <row r="51" spans="2:20">
      <c r="B51" s="141"/>
      <c r="C51" s="210"/>
      <c r="D51" s="163"/>
      <c r="E51" s="210"/>
      <c r="F51" s="211"/>
      <c r="G51" s="211"/>
      <c r="H51" s="212"/>
      <c r="I51" s="351"/>
      <c r="J51" s="262"/>
      <c r="K51" s="217"/>
      <c r="L51" s="218"/>
      <c r="M51" s="758"/>
      <c r="N51" s="759"/>
      <c r="O51" s="265"/>
      <c r="P51" s="566">
        <v>45818</v>
      </c>
      <c r="Q51" s="613">
        <f t="shared" si="0"/>
        <v>40982.339285714283</v>
      </c>
      <c r="R51" s="616">
        <v>45900.22</v>
      </c>
      <c r="S51" s="225"/>
      <c r="T51" s="225"/>
    </row>
    <row r="52" spans="2:20">
      <c r="B52" s="141"/>
      <c r="C52" s="210"/>
      <c r="D52" s="163"/>
      <c r="E52" s="210"/>
      <c r="F52" s="211"/>
      <c r="G52" s="211"/>
      <c r="H52" s="212"/>
      <c r="I52" s="351"/>
      <c r="J52" s="262"/>
      <c r="K52" s="217"/>
      <c r="L52" s="218"/>
      <c r="M52" s="758"/>
      <c r="N52" s="759"/>
      <c r="O52" s="265"/>
      <c r="P52" s="566">
        <v>45821</v>
      </c>
      <c r="Q52" s="613">
        <f t="shared" si="0"/>
        <v>65934.34821428571</v>
      </c>
      <c r="R52" s="616">
        <v>73846.47</v>
      </c>
      <c r="S52" s="225"/>
      <c r="T52" s="225"/>
    </row>
    <row r="53" spans="2:20">
      <c r="B53" s="141"/>
      <c r="C53" s="210"/>
      <c r="D53" s="163"/>
      <c r="E53" s="210"/>
      <c r="F53" s="211"/>
      <c r="G53" s="211"/>
      <c r="H53" s="212"/>
      <c r="I53" s="351"/>
      <c r="J53" s="262"/>
      <c r="K53" s="217"/>
      <c r="L53" s="218"/>
      <c r="M53" s="758"/>
      <c r="N53" s="759"/>
      <c r="O53" s="265"/>
      <c r="P53" s="566">
        <v>45832</v>
      </c>
      <c r="Q53" s="613">
        <f t="shared" si="0"/>
        <v>53567.910714285717</v>
      </c>
      <c r="R53" s="616">
        <v>59996.06</v>
      </c>
      <c r="S53" s="225"/>
      <c r="T53" s="225"/>
    </row>
    <row r="54" spans="2:20">
      <c r="B54" s="141"/>
      <c r="C54" s="210"/>
      <c r="D54" s="163"/>
      <c r="E54" s="210"/>
      <c r="F54" s="211"/>
      <c r="G54" s="211"/>
      <c r="H54" s="212"/>
      <c r="I54" s="351"/>
      <c r="J54" s="262"/>
      <c r="K54" s="217"/>
      <c r="L54" s="218"/>
      <c r="M54" s="758"/>
      <c r="N54" s="759"/>
      <c r="O54" s="265"/>
      <c r="P54" s="566">
        <v>45835</v>
      </c>
      <c r="Q54" s="547">
        <f t="shared" si="0"/>
        <v>43753.258928571428</v>
      </c>
      <c r="R54" s="616">
        <v>49003.65</v>
      </c>
      <c r="S54" s="225"/>
      <c r="T54" s="225"/>
    </row>
    <row r="55" spans="2:20">
      <c r="B55" s="141"/>
      <c r="C55" s="210"/>
      <c r="D55" s="163"/>
      <c r="E55" s="210"/>
      <c r="F55" s="211"/>
      <c r="G55" s="211"/>
      <c r="H55" s="212"/>
      <c r="I55" s="351"/>
      <c r="J55" s="262"/>
      <c r="K55" s="217"/>
      <c r="L55" s="218"/>
      <c r="M55" s="758"/>
      <c r="N55" s="759"/>
      <c r="O55" s="265"/>
      <c r="P55" s="1090">
        <v>45847</v>
      </c>
      <c r="Q55" s="547">
        <f t="shared" si="0"/>
        <v>31057.794642857149</v>
      </c>
      <c r="R55" s="1091">
        <v>34784.730000000003</v>
      </c>
      <c r="S55" s="225"/>
      <c r="T55" s="225"/>
    </row>
    <row r="56" spans="2:20">
      <c r="B56" s="141"/>
      <c r="C56" s="210"/>
      <c r="D56" s="163"/>
      <c r="E56" s="210"/>
      <c r="F56" s="211"/>
      <c r="G56" s="211"/>
      <c r="H56" s="212"/>
      <c r="I56" s="351"/>
      <c r="J56" s="262"/>
      <c r="K56" s="217"/>
      <c r="L56" s="218"/>
      <c r="M56" s="758"/>
      <c r="N56" s="759"/>
      <c r="O56" s="265"/>
      <c r="P56" s="1090">
        <v>45847</v>
      </c>
      <c r="Q56" s="547">
        <f t="shared" si="0"/>
        <v>20202.526785714286</v>
      </c>
      <c r="R56" s="1091">
        <v>22626.83</v>
      </c>
      <c r="S56" s="225"/>
      <c r="T56" s="225"/>
    </row>
    <row r="57" spans="2:20">
      <c r="B57" s="141"/>
      <c r="C57" s="210"/>
      <c r="D57" s="163"/>
      <c r="E57" s="210"/>
      <c r="F57" s="211"/>
      <c r="G57" s="211"/>
      <c r="H57" s="212"/>
      <c r="I57" s="351"/>
      <c r="J57" s="262"/>
      <c r="K57" s="217"/>
      <c r="L57" s="218"/>
      <c r="M57" s="758"/>
      <c r="N57" s="759"/>
      <c r="O57" s="265"/>
      <c r="P57" s="566">
        <v>45853</v>
      </c>
      <c r="Q57" s="613">
        <f>R57*100/112</f>
        <v>91910.3125</v>
      </c>
      <c r="R57" s="616">
        <v>102939.55</v>
      </c>
      <c r="S57" s="225"/>
      <c r="T57" s="225"/>
    </row>
    <row r="58" spans="2:20">
      <c r="B58" s="141"/>
      <c r="C58" s="210"/>
      <c r="D58" s="163"/>
      <c r="E58" s="210"/>
      <c r="F58" s="211"/>
      <c r="G58" s="211"/>
      <c r="H58" s="212"/>
      <c r="I58" s="351"/>
      <c r="J58" s="262"/>
      <c r="K58" s="217"/>
      <c r="L58" s="218"/>
      <c r="M58" s="758"/>
      <c r="N58" s="759"/>
      <c r="O58" s="265"/>
      <c r="P58" s="566">
        <v>45868</v>
      </c>
      <c r="Q58" s="547">
        <f>R58*100/112</f>
        <v>17506.544642857145</v>
      </c>
      <c r="R58" s="616">
        <v>19607.330000000002</v>
      </c>
      <c r="S58" s="225"/>
      <c r="T58" s="225"/>
    </row>
    <row r="59" spans="2:20">
      <c r="B59" s="141"/>
      <c r="C59" s="210"/>
      <c r="D59" s="163"/>
      <c r="E59" s="210"/>
      <c r="F59" s="211"/>
      <c r="G59" s="211"/>
      <c r="H59" s="212"/>
      <c r="I59" s="351"/>
      <c r="J59" s="262"/>
      <c r="K59" s="217"/>
      <c r="L59" s="218"/>
      <c r="M59" s="758"/>
      <c r="N59" s="759"/>
      <c r="O59" s="265"/>
      <c r="P59" s="566">
        <v>45873</v>
      </c>
      <c r="Q59" s="547">
        <f>R59*100/112</f>
        <v>95622.72321428571</v>
      </c>
      <c r="R59" s="616">
        <v>107097.45</v>
      </c>
      <c r="S59" s="225"/>
      <c r="T59" s="225"/>
    </row>
    <row r="60" spans="2:20">
      <c r="B60" s="141"/>
      <c r="C60" s="210"/>
      <c r="D60" s="163"/>
      <c r="E60" s="210"/>
      <c r="F60" s="211"/>
      <c r="G60" s="211"/>
      <c r="H60" s="212"/>
      <c r="I60" s="351"/>
      <c r="J60" s="262"/>
      <c r="K60" s="217"/>
      <c r="L60" s="218"/>
      <c r="M60" s="758"/>
      <c r="N60" s="759"/>
      <c r="O60" s="265"/>
      <c r="P60" s="566">
        <v>45875</v>
      </c>
      <c r="Q60" s="547">
        <f t="shared" ref="Q60:Q81" si="1">R60*100/112</f>
        <v>122239.11607142857</v>
      </c>
      <c r="R60" s="616">
        <v>136907.81</v>
      </c>
      <c r="S60" s="225"/>
      <c r="T60" s="225"/>
    </row>
    <row r="61" spans="2:20">
      <c r="B61" s="141"/>
      <c r="C61" s="210"/>
      <c r="D61" s="163"/>
      <c r="E61" s="210"/>
      <c r="F61" s="211"/>
      <c r="G61" s="211"/>
      <c r="H61" s="212"/>
      <c r="I61" s="351"/>
      <c r="J61" s="262"/>
      <c r="K61" s="217"/>
      <c r="L61" s="218"/>
      <c r="M61" s="758"/>
      <c r="N61" s="759"/>
      <c r="O61" s="265"/>
      <c r="P61" s="566">
        <v>45886</v>
      </c>
      <c r="Q61" s="547">
        <f t="shared" si="1"/>
        <v>127490.4375</v>
      </c>
      <c r="R61" s="616">
        <v>142789.29</v>
      </c>
      <c r="S61" s="225"/>
      <c r="T61" s="225"/>
    </row>
    <row r="62" spans="2:20">
      <c r="B62" s="141"/>
      <c r="C62" s="210"/>
      <c r="D62" s="163"/>
      <c r="E62" s="210"/>
      <c r="F62" s="211"/>
      <c r="G62" s="211"/>
      <c r="H62" s="212"/>
      <c r="I62" s="351"/>
      <c r="J62" s="262"/>
      <c r="K62" s="217"/>
      <c r="L62" s="218"/>
      <c r="M62" s="758"/>
      <c r="N62" s="759"/>
      <c r="O62" s="265"/>
      <c r="P62" s="566">
        <v>45896</v>
      </c>
      <c r="Q62" s="547">
        <f t="shared" si="1"/>
        <v>60458.616071428565</v>
      </c>
      <c r="R62" s="616">
        <v>67713.649999999994</v>
      </c>
      <c r="S62" s="225"/>
      <c r="T62" s="225"/>
    </row>
    <row r="63" spans="2:20">
      <c r="B63" s="141"/>
      <c r="C63" s="210"/>
      <c r="D63" s="163"/>
      <c r="E63" s="210"/>
      <c r="F63" s="211"/>
      <c r="G63" s="211"/>
      <c r="H63" s="212"/>
      <c r="I63" s="351"/>
      <c r="J63" s="262"/>
      <c r="K63" s="217"/>
      <c r="L63" s="218"/>
      <c r="M63" s="758"/>
      <c r="N63" s="759"/>
      <c r="O63" s="265"/>
      <c r="P63" s="566">
        <v>45896</v>
      </c>
      <c r="Q63" s="547">
        <f t="shared" si="1"/>
        <v>68849.28571428571</v>
      </c>
      <c r="R63" s="616">
        <v>77111.199999999997</v>
      </c>
      <c r="S63" s="225"/>
      <c r="T63" s="225"/>
    </row>
    <row r="64" spans="2:20">
      <c r="B64" s="141"/>
      <c r="C64" s="210"/>
      <c r="D64" s="163"/>
      <c r="E64" s="210"/>
      <c r="F64" s="211"/>
      <c r="G64" s="211"/>
      <c r="H64" s="212"/>
      <c r="I64" s="351"/>
      <c r="J64" s="262"/>
      <c r="K64" s="217"/>
      <c r="L64" s="218"/>
      <c r="M64" s="758"/>
      <c r="N64" s="759"/>
      <c r="O64" s="265"/>
      <c r="P64" s="566">
        <v>45910</v>
      </c>
      <c r="Q64" s="547">
        <f t="shared" si="1"/>
        <v>77159.9375</v>
      </c>
      <c r="R64" s="616">
        <v>86419.13</v>
      </c>
      <c r="S64" s="225"/>
      <c r="T64" s="225"/>
    </row>
    <row r="65" spans="2:20">
      <c r="B65" s="141"/>
      <c r="C65" s="210"/>
      <c r="D65" s="163"/>
      <c r="E65" s="210"/>
      <c r="F65" s="211"/>
      <c r="G65" s="211"/>
      <c r="H65" s="212"/>
      <c r="I65" s="351"/>
      <c r="J65" s="262"/>
      <c r="K65" s="217"/>
      <c r="L65" s="218"/>
      <c r="M65" s="758"/>
      <c r="N65" s="759"/>
      <c r="O65" s="265"/>
      <c r="P65" s="566">
        <v>45911</v>
      </c>
      <c r="Q65" s="547">
        <f t="shared" si="1"/>
        <v>66149.41071428571</v>
      </c>
      <c r="R65" s="616">
        <v>74087.34</v>
      </c>
      <c r="S65" s="225"/>
      <c r="T65" s="225"/>
    </row>
    <row r="66" spans="2:20">
      <c r="B66" s="141"/>
      <c r="C66" s="210"/>
      <c r="D66" s="163"/>
      <c r="E66" s="210"/>
      <c r="F66" s="211"/>
      <c r="G66" s="211"/>
      <c r="H66" s="212"/>
      <c r="I66" s="351"/>
      <c r="J66" s="262"/>
      <c r="K66" s="217"/>
      <c r="L66" s="218"/>
      <c r="M66" s="758"/>
      <c r="N66" s="759"/>
      <c r="O66" s="265"/>
      <c r="P66" s="566">
        <v>45926</v>
      </c>
      <c r="Q66" s="547">
        <f t="shared" si="1"/>
        <v>117409.19642857141</v>
      </c>
      <c r="R66" s="616">
        <v>131498.29999999999</v>
      </c>
      <c r="S66" s="225"/>
      <c r="T66" s="225"/>
    </row>
    <row r="67" spans="2:20">
      <c r="B67" s="141"/>
      <c r="C67" s="210"/>
      <c r="D67" s="163"/>
      <c r="E67" s="210"/>
      <c r="F67" s="211"/>
      <c r="G67" s="211"/>
      <c r="H67" s="212"/>
      <c r="I67" s="351"/>
      <c r="J67" s="262"/>
      <c r="K67" s="217"/>
      <c r="L67" s="218"/>
      <c r="M67" s="758"/>
      <c r="N67" s="759"/>
      <c r="O67" s="265"/>
      <c r="P67" s="566">
        <v>45917</v>
      </c>
      <c r="Q67" s="547">
        <f t="shared" si="1"/>
        <v>46561.446428571428</v>
      </c>
      <c r="R67" s="616">
        <v>52148.82</v>
      </c>
      <c r="S67" s="225"/>
      <c r="T67" s="225"/>
    </row>
    <row r="68" spans="2:20">
      <c r="B68" s="141"/>
      <c r="C68" s="210"/>
      <c r="D68" s="163"/>
      <c r="E68" s="210"/>
      <c r="F68" s="211"/>
      <c r="G68" s="211"/>
      <c r="H68" s="212"/>
      <c r="I68" s="351"/>
      <c r="J68" s="262"/>
      <c r="K68" s="217"/>
      <c r="L68" s="218"/>
      <c r="M68" s="758"/>
      <c r="N68" s="759"/>
      <c r="O68" s="265"/>
      <c r="P68" s="566">
        <v>45932</v>
      </c>
      <c r="Q68" s="547">
        <f t="shared" si="1"/>
        <v>28117.375</v>
      </c>
      <c r="R68" s="616">
        <v>31491.46</v>
      </c>
      <c r="S68" s="225"/>
      <c r="T68" s="225"/>
    </row>
    <row r="69" spans="2:20">
      <c r="B69" s="141"/>
      <c r="C69" s="210"/>
      <c r="D69" s="163"/>
      <c r="E69" s="210"/>
      <c r="F69" s="211"/>
      <c r="G69" s="211"/>
      <c r="H69" s="212"/>
      <c r="I69" s="351"/>
      <c r="J69" s="262"/>
      <c r="K69" s="217"/>
      <c r="L69" s="218"/>
      <c r="M69" s="758"/>
      <c r="N69" s="759"/>
      <c r="O69" s="265"/>
      <c r="P69" s="566">
        <v>45945</v>
      </c>
      <c r="Q69" s="547">
        <f t="shared" si="1"/>
        <v>73763.767857142855</v>
      </c>
      <c r="R69" s="616">
        <v>82615.42</v>
      </c>
      <c r="S69" s="225"/>
      <c r="T69" s="225"/>
    </row>
    <row r="70" spans="2:20">
      <c r="B70" s="141"/>
      <c r="C70" s="210"/>
      <c r="D70" s="163"/>
      <c r="E70" s="210"/>
      <c r="F70" s="211"/>
      <c r="G70" s="211"/>
      <c r="H70" s="212"/>
      <c r="I70" s="351"/>
      <c r="J70" s="262"/>
      <c r="K70" s="217"/>
      <c r="L70" s="218"/>
      <c r="M70" s="758"/>
      <c r="N70" s="759"/>
      <c r="O70" s="265"/>
      <c r="P70" s="566">
        <v>45951</v>
      </c>
      <c r="Q70" s="547">
        <f t="shared" si="1"/>
        <v>106971.74107142857</v>
      </c>
      <c r="R70" s="616">
        <v>119808.35</v>
      </c>
      <c r="S70" s="225"/>
      <c r="T70" s="225"/>
    </row>
    <row r="71" spans="2:20">
      <c r="B71" s="141"/>
      <c r="C71" s="210"/>
      <c r="D71" s="163"/>
      <c r="E71" s="210"/>
      <c r="F71" s="211"/>
      <c r="G71" s="211"/>
      <c r="H71" s="212"/>
      <c r="I71" s="351"/>
      <c r="J71" s="262"/>
      <c r="K71" s="217"/>
      <c r="L71" s="218"/>
      <c r="M71" s="758"/>
      <c r="N71" s="759"/>
      <c r="O71" s="265"/>
      <c r="P71" s="566">
        <v>45945</v>
      </c>
      <c r="Q71" s="547">
        <f t="shared" si="1"/>
        <v>33170.839285714283</v>
      </c>
      <c r="R71" s="616">
        <v>37151.339999999997</v>
      </c>
      <c r="S71" s="225"/>
      <c r="T71" s="225"/>
    </row>
    <row r="72" spans="2:20">
      <c r="B72" s="141"/>
      <c r="C72" s="210"/>
      <c r="D72" s="163"/>
      <c r="E72" s="210"/>
      <c r="F72" s="211"/>
      <c r="G72" s="211"/>
      <c r="H72" s="212"/>
      <c r="I72" s="351"/>
      <c r="J72" s="262"/>
      <c r="K72" s="217"/>
      <c r="L72" s="218"/>
      <c r="M72" s="758"/>
      <c r="N72" s="759"/>
      <c r="O72" s="265"/>
      <c r="P72" s="566">
        <v>45957</v>
      </c>
      <c r="Q72" s="547">
        <f t="shared" si="1"/>
        <v>55299.330357142855</v>
      </c>
      <c r="R72" s="616">
        <v>61935.25</v>
      </c>
      <c r="S72" s="225"/>
      <c r="T72" s="225"/>
    </row>
    <row r="73" spans="2:20">
      <c r="B73" s="141"/>
      <c r="C73" s="210"/>
      <c r="D73" s="163"/>
      <c r="E73" s="210"/>
      <c r="F73" s="211"/>
      <c r="G73" s="211"/>
      <c r="H73" s="212"/>
      <c r="I73" s="351"/>
      <c r="J73" s="262"/>
      <c r="K73" s="217"/>
      <c r="L73" s="218"/>
      <c r="M73" s="758"/>
      <c r="N73" s="264"/>
      <c r="O73" s="265"/>
      <c r="P73" s="566">
        <v>45972</v>
      </c>
      <c r="Q73" s="547">
        <f t="shared" si="1"/>
        <v>45702.366071428572</v>
      </c>
      <c r="R73" s="616">
        <v>51186.65</v>
      </c>
      <c r="S73" s="225"/>
      <c r="T73" s="225"/>
    </row>
    <row r="74" spans="2:20">
      <c r="B74" s="141"/>
      <c r="C74" s="210"/>
      <c r="D74" s="163"/>
      <c r="E74" s="210"/>
      <c r="F74" s="211"/>
      <c r="G74" s="211"/>
      <c r="H74" s="212"/>
      <c r="I74" s="351"/>
      <c r="J74" s="262"/>
      <c r="K74" s="217"/>
      <c r="L74" s="218"/>
      <c r="M74" s="758"/>
      <c r="N74" s="264"/>
      <c r="O74" s="265"/>
      <c r="P74" s="566">
        <v>45972</v>
      </c>
      <c r="Q74" s="547">
        <f t="shared" si="1"/>
        <v>75063.071428571435</v>
      </c>
      <c r="R74" s="616">
        <v>84070.64</v>
      </c>
      <c r="S74" s="225"/>
      <c r="T74" s="225"/>
    </row>
    <row r="75" spans="2:20">
      <c r="B75" s="141"/>
      <c r="C75" s="210"/>
      <c r="D75" s="163"/>
      <c r="E75" s="210"/>
      <c r="F75" s="211"/>
      <c r="G75" s="211"/>
      <c r="H75" s="212"/>
      <c r="I75" s="351"/>
      <c r="J75" s="262"/>
      <c r="K75" s="217"/>
      <c r="L75" s="218"/>
      <c r="M75" s="758"/>
      <c r="N75" s="264"/>
      <c r="O75" s="265"/>
      <c r="P75" s="566">
        <v>45987</v>
      </c>
      <c r="Q75" s="547">
        <f t="shared" si="1"/>
        <v>76219.47321428571</v>
      </c>
      <c r="R75" s="616">
        <v>85365.81</v>
      </c>
      <c r="S75" s="225"/>
      <c r="T75" s="225"/>
    </row>
    <row r="76" spans="2:20">
      <c r="B76" s="141"/>
      <c r="C76" s="210"/>
      <c r="D76" s="163"/>
      <c r="E76" s="210"/>
      <c r="F76" s="211"/>
      <c r="G76" s="211"/>
      <c r="H76" s="212"/>
      <c r="I76" s="351"/>
      <c r="J76" s="262"/>
      <c r="K76" s="217"/>
      <c r="L76" s="218"/>
      <c r="M76" s="758"/>
      <c r="N76" s="264"/>
      <c r="O76" s="265"/>
      <c r="P76" s="566">
        <v>45987</v>
      </c>
      <c r="Q76" s="547">
        <f t="shared" si="1"/>
        <v>25413.366071428572</v>
      </c>
      <c r="R76" s="616">
        <v>28462.97</v>
      </c>
      <c r="S76" s="225"/>
      <c r="T76" s="225"/>
    </row>
    <row r="77" spans="2:20">
      <c r="B77" s="141"/>
      <c r="C77" s="210"/>
      <c r="D77" s="163"/>
      <c r="E77" s="210"/>
      <c r="F77" s="211"/>
      <c r="G77" s="211"/>
      <c r="H77" s="212"/>
      <c r="I77" s="351"/>
      <c r="J77" s="262"/>
      <c r="K77" s="217"/>
      <c r="L77" s="218"/>
      <c r="M77" s="758"/>
      <c r="N77" s="264"/>
      <c r="O77" s="265"/>
      <c r="P77" s="566">
        <v>46001</v>
      </c>
      <c r="Q77" s="547">
        <f t="shared" si="1"/>
        <v>54439.625</v>
      </c>
      <c r="R77" s="616">
        <v>60972.38</v>
      </c>
      <c r="S77" s="225"/>
      <c r="T77" s="225"/>
    </row>
    <row r="78" spans="2:20">
      <c r="B78" s="141"/>
      <c r="C78" s="210"/>
      <c r="D78" s="163"/>
      <c r="E78" s="210"/>
      <c r="F78" s="211"/>
      <c r="G78" s="211"/>
      <c r="H78" s="212"/>
      <c r="I78" s="351"/>
      <c r="J78" s="262"/>
      <c r="K78" s="217"/>
      <c r="L78" s="218"/>
      <c r="M78" s="758"/>
      <c r="N78" s="264"/>
      <c r="O78" s="265"/>
      <c r="P78" s="566">
        <v>46001</v>
      </c>
      <c r="Q78" s="547">
        <f t="shared" si="1"/>
        <v>49271.339285714283</v>
      </c>
      <c r="R78" s="616">
        <v>55183.9</v>
      </c>
      <c r="S78" s="225"/>
      <c r="T78" s="225"/>
    </row>
    <row r="79" spans="2:20">
      <c r="B79" s="141"/>
      <c r="C79" s="210"/>
      <c r="D79" s="163"/>
      <c r="E79" s="210"/>
      <c r="F79" s="211"/>
      <c r="G79" s="211"/>
      <c r="H79" s="212"/>
      <c r="I79" s="351"/>
      <c r="J79" s="262"/>
      <c r="K79" s="217"/>
      <c r="L79" s="218"/>
      <c r="M79" s="758"/>
      <c r="N79" s="264"/>
      <c r="O79" s="265"/>
      <c r="P79" s="566">
        <v>46010</v>
      </c>
      <c r="Q79" s="547">
        <f t="shared" si="1"/>
        <v>107809.83035714286</v>
      </c>
      <c r="R79" s="616">
        <v>120747.01</v>
      </c>
      <c r="S79" s="225"/>
      <c r="T79" s="225"/>
    </row>
    <row r="80" spans="2:20">
      <c r="B80" s="141"/>
      <c r="C80" s="210"/>
      <c r="D80" s="163"/>
      <c r="E80" s="210"/>
      <c r="F80" s="211"/>
      <c r="G80" s="211"/>
      <c r="H80" s="212"/>
      <c r="I80" s="351"/>
      <c r="J80" s="262"/>
      <c r="K80" s="217"/>
      <c r="L80" s="218"/>
      <c r="M80" s="758"/>
      <c r="N80" s="264"/>
      <c r="O80" s="265"/>
      <c r="P80" s="566">
        <v>46019</v>
      </c>
      <c r="Q80" s="547">
        <f t="shared" si="1"/>
        <v>113856.39285714286</v>
      </c>
      <c r="R80" s="616">
        <v>127519.16</v>
      </c>
      <c r="S80" s="225"/>
      <c r="T80" s="225"/>
    </row>
    <row r="81" spans="1:20">
      <c r="B81" s="141"/>
      <c r="C81" s="210"/>
      <c r="D81" s="163"/>
      <c r="E81" s="210"/>
      <c r="F81" s="211"/>
      <c r="G81" s="211"/>
      <c r="H81" s="212"/>
      <c r="I81" s="351"/>
      <c r="J81" s="262"/>
      <c r="K81" s="217"/>
      <c r="L81" s="218"/>
      <c r="M81" s="758"/>
      <c r="N81" s="264"/>
      <c r="O81" s="265"/>
      <c r="P81" s="566">
        <v>46022</v>
      </c>
      <c r="Q81" s="547">
        <f t="shared" si="1"/>
        <v>44810.017857142855</v>
      </c>
      <c r="R81" s="616">
        <v>50187.22</v>
      </c>
      <c r="S81" s="225"/>
      <c r="T81" s="225"/>
    </row>
    <row r="82" spans="1:20">
      <c r="B82" s="141"/>
      <c r="C82" s="210"/>
      <c r="D82" s="163"/>
      <c r="E82" s="210"/>
      <c r="F82" s="211"/>
      <c r="G82" s="211"/>
      <c r="H82" s="212"/>
      <c r="I82" s="351"/>
      <c r="J82" s="262"/>
      <c r="K82" s="217"/>
      <c r="L82" s="218"/>
      <c r="M82" s="758"/>
      <c r="N82" s="264"/>
      <c r="O82" s="265"/>
      <c r="P82" s="566"/>
      <c r="Q82" s="547"/>
      <c r="R82" s="616"/>
      <c r="S82" s="225"/>
      <c r="T82" s="225"/>
    </row>
    <row r="83" spans="1:20">
      <c r="B83" s="141"/>
      <c r="C83" s="210"/>
      <c r="D83" s="163"/>
      <c r="E83" s="210"/>
      <c r="F83" s="211"/>
      <c r="G83" s="211"/>
      <c r="H83" s="212"/>
      <c r="I83" s="351"/>
      <c r="J83" s="262"/>
      <c r="K83" s="217"/>
      <c r="L83" s="218"/>
      <c r="M83" s="263"/>
      <c r="N83" s="264"/>
      <c r="O83" s="265"/>
      <c r="P83" s="539"/>
      <c r="Q83" s="547"/>
      <c r="R83" s="616"/>
      <c r="S83" s="225"/>
      <c r="T83" s="225"/>
    </row>
    <row r="84" spans="1:20" ht="13.8" thickBot="1">
      <c r="B84" s="266"/>
      <c r="C84" s="210"/>
      <c r="D84" s="163"/>
      <c r="E84" s="210"/>
      <c r="F84" s="211"/>
      <c r="G84" s="211"/>
      <c r="H84" s="212"/>
      <c r="I84" s="232" t="s">
        <v>4865</v>
      </c>
      <c r="J84" s="270"/>
      <c r="K84" s="271"/>
      <c r="L84" s="272"/>
      <c r="M84" s="273"/>
      <c r="N84" s="299">
        <f>SUM(N39:N83)</f>
        <v>966814.78571428556</v>
      </c>
      <c r="O84" s="300">
        <f>SUM(O39:O83)</f>
        <v>1082832.56</v>
      </c>
      <c r="P84" s="540"/>
      <c r="Q84" s="541">
        <f>SUM(Q39:Q83)</f>
        <v>3272805.1696428563</v>
      </c>
      <c r="R84" s="542">
        <f>SUM(R39:R83)</f>
        <v>3665541.7899999996</v>
      </c>
      <c r="S84" s="276"/>
      <c r="T84" s="276"/>
    </row>
    <row r="85" spans="1:20" ht="13.8" thickBot="1">
      <c r="A85" s="112" t="s">
        <v>5445</v>
      </c>
      <c r="B85" s="277"/>
      <c r="C85" s="192"/>
      <c r="D85" s="242"/>
      <c r="E85" s="278"/>
      <c r="F85" s="194"/>
      <c r="G85" s="195"/>
      <c r="H85" s="196"/>
      <c r="I85" s="197"/>
      <c r="J85" s="216"/>
      <c r="K85" s="217"/>
      <c r="L85" s="203"/>
      <c r="M85" s="219"/>
      <c r="N85" s="256"/>
      <c r="O85" s="220"/>
      <c r="P85" s="536"/>
      <c r="Q85" s="543"/>
      <c r="R85" s="544"/>
      <c r="S85" s="247"/>
      <c r="T85" s="248"/>
    </row>
    <row r="86" spans="1:20">
      <c r="B86" s="209"/>
      <c r="C86" s="210"/>
      <c r="D86" s="163"/>
      <c r="E86" s="210"/>
      <c r="F86" s="211"/>
      <c r="G86" s="211"/>
      <c r="H86" s="212"/>
      <c r="I86" s="213"/>
      <c r="J86" s="216"/>
      <c r="K86" s="217"/>
      <c r="L86" s="218"/>
      <c r="M86" s="219"/>
      <c r="N86" s="281"/>
      <c r="O86" s="220"/>
      <c r="P86" s="536"/>
      <c r="Q86" s="543"/>
      <c r="R86" s="544"/>
      <c r="S86" s="221"/>
      <c r="T86" s="221"/>
    </row>
    <row r="87" spans="1:20">
      <c r="B87" s="141"/>
      <c r="C87" s="210"/>
      <c r="D87" s="163"/>
      <c r="E87" s="210"/>
      <c r="F87" s="211"/>
      <c r="G87" s="211"/>
      <c r="H87" s="212"/>
      <c r="I87" s="213"/>
      <c r="J87" s="284"/>
      <c r="K87" s="285"/>
      <c r="L87" s="286"/>
      <c r="M87" s="287"/>
      <c r="N87" s="256"/>
      <c r="O87" s="257"/>
      <c r="P87" s="531"/>
      <c r="Q87" s="545"/>
      <c r="R87" s="546"/>
      <c r="S87" s="225"/>
      <c r="T87" s="225"/>
    </row>
    <row r="88" spans="1:20">
      <c r="B88" s="141"/>
      <c r="C88" s="210"/>
      <c r="D88" s="163"/>
      <c r="E88" s="210"/>
      <c r="F88" s="211"/>
      <c r="G88" s="211"/>
      <c r="H88" s="212"/>
      <c r="I88" s="213"/>
      <c r="J88" s="290"/>
      <c r="K88" s="291"/>
      <c r="L88" s="292"/>
      <c r="M88" s="263"/>
      <c r="N88" s="264"/>
      <c r="O88" s="265"/>
      <c r="P88" s="539"/>
      <c r="Q88" s="547"/>
      <c r="R88" s="548"/>
      <c r="S88" s="225"/>
      <c r="T88" s="225"/>
    </row>
    <row r="89" spans="1:20" ht="13.8" thickBot="1">
      <c r="B89" s="266"/>
      <c r="C89" s="210"/>
      <c r="D89" s="163"/>
      <c r="E89" s="210"/>
      <c r="F89" s="211"/>
      <c r="G89" s="211"/>
      <c r="H89" s="212"/>
      <c r="I89" s="293" t="s">
        <v>4865</v>
      </c>
      <c r="J89" s="270"/>
      <c r="K89" s="296"/>
      <c r="L89" s="297"/>
      <c r="M89" s="298"/>
      <c r="N89" s="299"/>
      <c r="O89" s="300"/>
      <c r="P89" s="540"/>
      <c r="Q89" s="549"/>
      <c r="R89" s="550"/>
      <c r="S89" s="225"/>
      <c r="T89" s="225"/>
    </row>
    <row r="90" spans="1:20" ht="13.8" thickBot="1">
      <c r="A90" s="112" t="s">
        <v>5445</v>
      </c>
      <c r="B90" s="277"/>
      <c r="C90" s="192"/>
      <c r="D90" s="242"/>
      <c r="E90" s="278"/>
      <c r="F90" s="194"/>
      <c r="G90" s="195"/>
      <c r="H90" s="196"/>
      <c r="I90" s="350"/>
      <c r="J90" s="302"/>
      <c r="K90" s="217"/>
      <c r="L90" s="218"/>
      <c r="M90" s="219"/>
      <c r="N90" s="205"/>
      <c r="O90" s="303"/>
      <c r="P90" s="555"/>
      <c r="Q90" s="543"/>
      <c r="R90" s="544"/>
      <c r="S90" s="304"/>
      <c r="T90" s="305"/>
    </row>
    <row r="91" spans="1:20">
      <c r="B91" s="209"/>
      <c r="C91" s="210"/>
      <c r="D91" s="163"/>
      <c r="E91" s="316"/>
      <c r="F91" s="211"/>
      <c r="G91" s="211"/>
      <c r="H91" s="212"/>
      <c r="I91" s="351"/>
      <c r="J91" s="302"/>
      <c r="K91" s="217"/>
      <c r="L91" s="218"/>
      <c r="M91" s="219"/>
      <c r="N91" s="205"/>
      <c r="O91" s="303"/>
      <c r="P91" s="556"/>
      <c r="Q91" s="543"/>
      <c r="R91" s="544"/>
      <c r="S91" s="487"/>
      <c r="T91" s="349"/>
    </row>
    <row r="92" spans="1:20">
      <c r="B92" s="141"/>
      <c r="C92" s="210"/>
      <c r="D92" s="163"/>
      <c r="E92" s="316"/>
      <c r="F92" s="211"/>
      <c r="G92" s="211"/>
      <c r="H92" s="212"/>
      <c r="I92" s="213"/>
      <c r="J92" s="302"/>
      <c r="K92" s="217"/>
      <c r="L92" s="218"/>
      <c r="M92" s="219"/>
      <c r="N92" s="205"/>
      <c r="O92" s="303"/>
      <c r="P92" s="556"/>
      <c r="Q92" s="543"/>
      <c r="R92" s="544"/>
      <c r="S92" s="489"/>
      <c r="T92" s="488"/>
    </row>
    <row r="93" spans="1:20">
      <c r="B93" s="141"/>
      <c r="C93" s="210"/>
      <c r="D93" s="163"/>
      <c r="E93" s="210"/>
      <c r="F93" s="211"/>
      <c r="G93" s="211"/>
      <c r="H93" s="212"/>
      <c r="I93" s="213"/>
      <c r="J93" s="302"/>
      <c r="K93" s="217"/>
      <c r="L93" s="218"/>
      <c r="M93" s="219"/>
      <c r="N93" s="205"/>
      <c r="O93" s="303"/>
      <c r="P93" s="556"/>
      <c r="Q93" s="543"/>
      <c r="R93" s="544"/>
      <c r="S93" s="225"/>
      <c r="T93" s="225"/>
    </row>
    <row r="94" spans="1:20" ht="13.8" thickBot="1">
      <c r="B94" s="141"/>
      <c r="C94" s="210"/>
      <c r="D94" s="163"/>
      <c r="E94" s="210"/>
      <c r="F94" s="211"/>
      <c r="G94" s="211"/>
      <c r="H94" s="212"/>
      <c r="I94" s="232" t="s">
        <v>4865</v>
      </c>
      <c r="J94" s="309"/>
      <c r="K94" s="310"/>
      <c r="L94" s="311"/>
      <c r="M94" s="312"/>
      <c r="N94" s="313"/>
      <c r="O94" s="518"/>
      <c r="P94" s="557"/>
      <c r="Q94" s="551"/>
      <c r="R94" s="552"/>
      <c r="S94" s="225"/>
      <c r="T94" s="225"/>
    </row>
    <row r="95" spans="1:20">
      <c r="B95" s="141"/>
      <c r="C95" s="210"/>
      <c r="D95" s="163"/>
      <c r="E95" s="316"/>
      <c r="F95" s="211"/>
      <c r="G95" s="211"/>
      <c r="H95" s="212"/>
      <c r="I95" s="1181"/>
      <c r="J95" s="221"/>
      <c r="K95" s="1182"/>
      <c r="L95" s="1182"/>
      <c r="M95" s="1183"/>
      <c r="N95" s="1182"/>
      <c r="O95" s="1184"/>
      <c r="P95" s="221"/>
      <c r="Q95" s="1182"/>
      <c r="R95" s="1182"/>
      <c r="S95" s="488"/>
      <c r="T95" s="488"/>
    </row>
    <row r="96" spans="1:20">
      <c r="B96" s="141"/>
      <c r="C96" s="210"/>
      <c r="D96" s="163"/>
      <c r="E96" s="316"/>
      <c r="F96" s="211"/>
      <c r="G96" s="211"/>
      <c r="H96" s="212"/>
      <c r="I96" s="717"/>
      <c r="J96" s="225"/>
      <c r="K96" s="1185"/>
      <c r="L96" s="1185"/>
      <c r="M96" s="1186"/>
      <c r="N96" s="1185"/>
      <c r="O96" s="1187"/>
      <c r="P96" s="225"/>
      <c r="Q96" s="1185"/>
      <c r="R96" s="1185"/>
      <c r="S96" s="225"/>
      <c r="T96" s="225"/>
    </row>
    <row r="97" spans="1:20">
      <c r="B97" s="141"/>
      <c r="C97" s="210"/>
      <c r="D97" s="163"/>
      <c r="E97" s="316"/>
      <c r="F97" s="211"/>
      <c r="G97" s="211"/>
      <c r="H97" s="212"/>
      <c r="I97" s="717"/>
      <c r="J97" s="225"/>
      <c r="K97" s="1185"/>
      <c r="L97" s="1185"/>
      <c r="M97" s="1186"/>
      <c r="N97" s="1185"/>
      <c r="O97" s="1187"/>
      <c r="P97" s="225"/>
      <c r="Q97" s="1185"/>
      <c r="R97" s="1185"/>
      <c r="S97" s="225"/>
      <c r="T97" s="225"/>
    </row>
    <row r="98" spans="1:20" ht="13.8" thickBot="1">
      <c r="B98" s="141"/>
      <c r="C98" s="210"/>
      <c r="D98" s="163"/>
      <c r="E98" s="316"/>
      <c r="F98" s="211"/>
      <c r="G98" s="211"/>
      <c r="H98" s="212"/>
      <c r="I98" s="717"/>
      <c r="J98" s="225"/>
      <c r="K98" s="1185"/>
      <c r="L98" s="1185"/>
      <c r="M98" s="1186"/>
      <c r="N98" s="1185"/>
      <c r="O98" s="1187"/>
      <c r="P98" s="225"/>
      <c r="Q98" s="1185"/>
      <c r="R98" s="1185"/>
      <c r="S98" s="225"/>
      <c r="T98" s="225"/>
    </row>
    <row r="99" spans="1:20" s="96" customFormat="1" ht="14.4" thickBot="1">
      <c r="B99" s="1730" t="s">
        <v>5976</v>
      </c>
      <c r="C99" s="1731"/>
      <c r="D99" s="1731"/>
      <c r="E99" s="1731"/>
      <c r="F99" s="1732"/>
    </row>
    <row r="100" spans="1:20" s="163" customFormat="1" ht="13.8" thickBot="1">
      <c r="B100" s="141"/>
      <c r="C100" s="210"/>
      <c r="E100" s="316"/>
      <c r="F100" s="211"/>
      <c r="G100" s="211"/>
      <c r="H100" s="212"/>
      <c r="I100" s="717"/>
      <c r="J100" s="225"/>
      <c r="K100" s="1185"/>
      <c r="L100" s="1185"/>
      <c r="M100" s="1186"/>
      <c r="N100" s="1185"/>
      <c r="O100" s="1187"/>
      <c r="P100" s="225"/>
      <c r="Q100" s="1185"/>
      <c r="R100" s="1185"/>
      <c r="S100" s="225"/>
      <c r="T100" s="225"/>
    </row>
    <row r="101" spans="1:20" ht="13.8" thickBot="1">
      <c r="A101" s="112" t="s">
        <v>5445</v>
      </c>
      <c r="B101" s="1094" t="s">
        <v>715</v>
      </c>
      <c r="C101" s="1095" t="s">
        <v>4893</v>
      </c>
      <c r="D101" s="1191">
        <v>19010290</v>
      </c>
      <c r="E101" s="1096" t="s">
        <v>4891</v>
      </c>
      <c r="F101" s="1097">
        <v>1990000</v>
      </c>
      <c r="G101" s="1098">
        <v>2407900</v>
      </c>
      <c r="H101" s="1099">
        <v>45830</v>
      </c>
      <c r="I101" s="1192"/>
      <c r="J101" s="1125">
        <v>45168</v>
      </c>
      <c r="K101" s="1126">
        <v>97747.18</v>
      </c>
      <c r="L101" s="1127">
        <v>118274.09</v>
      </c>
      <c r="M101" s="1125">
        <v>45317</v>
      </c>
      <c r="N101" s="1126">
        <f>109338.51*100/121</f>
        <v>90362.404958677682</v>
      </c>
      <c r="O101" s="1127">
        <v>109338.51</v>
      </c>
      <c r="P101" s="1125">
        <v>45663</v>
      </c>
      <c r="Q101" s="1193">
        <f>19981.38/121*100</f>
        <v>16513.537190082643</v>
      </c>
      <c r="R101" s="1194">
        <v>19981.38</v>
      </c>
      <c r="S101" s="1212">
        <f>SUM(F101-K117-N117-Q117)</f>
        <v>187217.08834710752</v>
      </c>
      <c r="T101" s="1213">
        <f>SUM(G101-L117-O117-R117)</f>
        <v>226532.65999999997</v>
      </c>
    </row>
    <row r="102" spans="1:20">
      <c r="B102" s="209"/>
      <c r="C102" s="210"/>
      <c r="D102" s="163"/>
      <c r="E102" s="210"/>
      <c r="F102" s="211"/>
      <c r="G102" s="211"/>
      <c r="H102" s="212"/>
      <c r="I102" s="1138"/>
      <c r="J102" s="1139">
        <v>45198</v>
      </c>
      <c r="K102" s="1140">
        <v>83723.850000000006</v>
      </c>
      <c r="L102" s="1141">
        <v>101305.86</v>
      </c>
      <c r="M102" s="1139">
        <v>45350</v>
      </c>
      <c r="N102" s="1140">
        <f>7346.94*100/121</f>
        <v>6071.8512396694214</v>
      </c>
      <c r="O102" s="1141">
        <v>7346.94</v>
      </c>
      <c r="P102" s="1139">
        <v>45686</v>
      </c>
      <c r="Q102" s="1195">
        <f>117286.79/121*100</f>
        <v>96931.231404958671</v>
      </c>
      <c r="R102" s="1196">
        <v>117286.79</v>
      </c>
      <c r="S102" s="221"/>
      <c r="T102" s="221"/>
    </row>
    <row r="103" spans="1:20">
      <c r="B103" s="1100" t="s">
        <v>5908</v>
      </c>
      <c r="C103" s="210"/>
      <c r="D103" s="163"/>
      <c r="E103" s="210"/>
      <c r="F103" s="211"/>
      <c r="G103" s="211"/>
      <c r="H103" s="212"/>
      <c r="I103" s="1138"/>
      <c r="J103" s="1139">
        <v>45229</v>
      </c>
      <c r="K103" s="1140">
        <v>78840.320000000007</v>
      </c>
      <c r="L103" s="1141">
        <v>95396.79</v>
      </c>
      <c r="M103" s="1139">
        <v>45351</v>
      </c>
      <c r="N103" s="1140">
        <f>70924.73*100/121</f>
        <v>58615.479338842975</v>
      </c>
      <c r="O103" s="1141">
        <v>70924.73</v>
      </c>
      <c r="P103" s="1139">
        <v>45715</v>
      </c>
      <c r="Q103" s="1195">
        <f>75864.65/121*100</f>
        <v>62698.057851239661</v>
      </c>
      <c r="R103" s="1196">
        <v>75864.649999999994</v>
      </c>
      <c r="S103" s="225"/>
      <c r="T103" s="225"/>
    </row>
    <row r="104" spans="1:20">
      <c r="B104" s="141"/>
      <c r="C104" s="210"/>
      <c r="D104" s="163"/>
      <c r="E104" s="210"/>
      <c r="F104" s="211"/>
      <c r="G104" s="211"/>
      <c r="H104" s="212"/>
      <c r="I104" s="1138"/>
      <c r="J104" s="1139">
        <v>45260</v>
      </c>
      <c r="K104" s="1140">
        <v>80120.789999999994</v>
      </c>
      <c r="L104" s="1141">
        <v>96946.16</v>
      </c>
      <c r="M104" s="1139">
        <v>45379</v>
      </c>
      <c r="N104" s="1140">
        <f>61114.09*100/121</f>
        <v>50507.512396694212</v>
      </c>
      <c r="O104" s="1141">
        <v>61114.09</v>
      </c>
      <c r="P104" s="1139">
        <v>45716</v>
      </c>
      <c r="Q104" s="1195">
        <f>13618.73/121*100</f>
        <v>11255.14876033058</v>
      </c>
      <c r="R104" s="1196">
        <v>13618.73</v>
      </c>
      <c r="S104" s="225"/>
      <c r="T104" s="225"/>
    </row>
    <row r="105" spans="1:20">
      <c r="B105" s="141"/>
      <c r="C105" s="210"/>
      <c r="D105" s="163"/>
      <c r="E105" s="210"/>
      <c r="F105" s="211"/>
      <c r="G105" s="211"/>
      <c r="H105" s="212"/>
      <c r="I105" s="1138"/>
      <c r="J105" s="1139">
        <v>45288</v>
      </c>
      <c r="K105" s="1140">
        <v>92785.36</v>
      </c>
      <c r="L105" s="1141">
        <v>112270.29</v>
      </c>
      <c r="M105" s="1139">
        <v>45412</v>
      </c>
      <c r="N105" s="1140">
        <f>128974.28*100/121</f>
        <v>106590.31404958677</v>
      </c>
      <c r="O105" s="1141">
        <v>128974.28</v>
      </c>
      <c r="P105" s="1139">
        <v>45743</v>
      </c>
      <c r="Q105" s="1195">
        <f>105120.69/121*100</f>
        <v>86876.603305785131</v>
      </c>
      <c r="R105" s="1196">
        <v>105120.69</v>
      </c>
      <c r="S105" s="225"/>
      <c r="T105" s="225"/>
    </row>
    <row r="106" spans="1:20">
      <c r="B106" s="141"/>
      <c r="C106" s="210"/>
      <c r="D106" s="163"/>
      <c r="E106" s="210"/>
      <c r="F106" s="211"/>
      <c r="G106" s="211"/>
      <c r="H106" s="212"/>
      <c r="I106" s="1138"/>
      <c r="J106" s="1139"/>
      <c r="K106" s="1140"/>
      <c r="L106" s="1141"/>
      <c r="M106" s="1139">
        <v>45443</v>
      </c>
      <c r="N106" s="1140">
        <f>128016.51*100/121</f>
        <v>105798.76859504133</v>
      </c>
      <c r="O106" s="1141">
        <v>128016.51</v>
      </c>
      <c r="P106" s="1154">
        <v>45776</v>
      </c>
      <c r="Q106" s="1195">
        <f>77780.04/121*100</f>
        <v>64281.024793388431</v>
      </c>
      <c r="R106" s="1197">
        <v>77780.039999999994</v>
      </c>
      <c r="S106" s="225"/>
      <c r="T106" s="225"/>
    </row>
    <row r="107" spans="1:20">
      <c r="B107" s="141"/>
      <c r="C107" s="210"/>
      <c r="D107" s="163"/>
      <c r="E107" s="210"/>
      <c r="F107" s="211"/>
      <c r="G107" s="211"/>
      <c r="H107" s="212"/>
      <c r="I107" s="1138"/>
      <c r="J107" s="1139"/>
      <c r="K107" s="1140"/>
      <c r="L107" s="1141"/>
      <c r="M107" s="1139">
        <v>45474</v>
      </c>
      <c r="N107" s="1140">
        <f>93276.51*100/121</f>
        <v>77088.024793388424</v>
      </c>
      <c r="O107" s="1141">
        <v>93276.51</v>
      </c>
      <c r="P107" s="1154" t="s">
        <v>5445</v>
      </c>
      <c r="Q107" s="1195" t="s">
        <v>5445</v>
      </c>
      <c r="R107" s="1197" t="s">
        <v>5445</v>
      </c>
      <c r="S107" s="225"/>
      <c r="T107" s="225"/>
    </row>
    <row r="108" spans="1:20">
      <c r="B108" s="141"/>
      <c r="C108" s="210"/>
      <c r="D108" s="163"/>
      <c r="E108" s="210"/>
      <c r="F108" s="211"/>
      <c r="G108" s="211"/>
      <c r="H108" s="212"/>
      <c r="I108" s="1138"/>
      <c r="J108" s="1139"/>
      <c r="K108" s="1140"/>
      <c r="L108" s="1141"/>
      <c r="M108" s="1139">
        <v>45503</v>
      </c>
      <c r="N108" s="1140">
        <f>138232.54*100/121</f>
        <v>114241.76859504133</v>
      </c>
      <c r="O108" s="1141">
        <v>138232.54</v>
      </c>
      <c r="P108" s="1154" t="s">
        <v>5445</v>
      </c>
      <c r="Q108" s="1195" t="s">
        <v>5445</v>
      </c>
      <c r="R108" s="1197"/>
      <c r="S108" s="225"/>
      <c r="T108" s="225"/>
    </row>
    <row r="109" spans="1:20">
      <c r="B109" s="141"/>
      <c r="C109" s="210"/>
      <c r="D109" s="163"/>
      <c r="E109" s="210"/>
      <c r="F109" s="211"/>
      <c r="G109" s="211"/>
      <c r="H109" s="212"/>
      <c r="I109" s="1138"/>
      <c r="J109" s="1198"/>
      <c r="K109" s="1199"/>
      <c r="L109" s="1200"/>
      <c r="M109" s="1139">
        <v>45534</v>
      </c>
      <c r="N109" s="1140">
        <f>143491*100/121</f>
        <v>118587.60330578513</v>
      </c>
      <c r="O109" s="1141">
        <v>143491</v>
      </c>
      <c r="P109" s="1154"/>
      <c r="Q109" s="1195"/>
      <c r="R109" s="1197"/>
      <c r="S109" s="225"/>
      <c r="T109" s="225"/>
    </row>
    <row r="110" spans="1:20">
      <c r="B110" s="141"/>
      <c r="C110" s="210"/>
      <c r="D110" s="163"/>
      <c r="E110" s="210"/>
      <c r="F110" s="211"/>
      <c r="G110" s="211"/>
      <c r="H110" s="212"/>
      <c r="I110" s="1138"/>
      <c r="J110" s="1198"/>
      <c r="K110" s="1199"/>
      <c r="L110" s="1200"/>
      <c r="M110" s="1139">
        <v>45562</v>
      </c>
      <c r="N110" s="1140">
        <f>118265.61*100/121</f>
        <v>97740.173553719011</v>
      </c>
      <c r="O110" s="1141">
        <v>118265.61</v>
      </c>
      <c r="P110" s="1201"/>
      <c r="Q110" s="1195"/>
      <c r="R110" s="1197"/>
      <c r="S110" s="225"/>
      <c r="T110" s="225"/>
    </row>
    <row r="111" spans="1:20">
      <c r="B111" s="141"/>
      <c r="C111" s="210"/>
      <c r="D111" s="163"/>
      <c r="E111" s="210"/>
      <c r="F111" s="211"/>
      <c r="G111" s="211"/>
      <c r="H111" s="212"/>
      <c r="I111" s="1138"/>
      <c r="J111" s="1198"/>
      <c r="K111" s="1199"/>
      <c r="L111" s="1200"/>
      <c r="M111" s="1139">
        <v>45594</v>
      </c>
      <c r="N111" s="1140">
        <f>107768.88*100/121</f>
        <v>89065.190082644622</v>
      </c>
      <c r="O111" s="1141">
        <v>107768.88</v>
      </c>
      <c r="P111" s="1139"/>
      <c r="Q111" s="1202"/>
      <c r="R111" s="1196"/>
      <c r="S111" s="225"/>
      <c r="T111" s="225"/>
    </row>
    <row r="112" spans="1:20">
      <c r="B112" s="141"/>
      <c r="C112" s="210"/>
      <c r="D112" s="163"/>
      <c r="E112" s="210"/>
      <c r="F112" s="211"/>
      <c r="G112" s="211"/>
      <c r="H112" s="212"/>
      <c r="I112" s="1138"/>
      <c r="J112" s="1198"/>
      <c r="K112" s="1199"/>
      <c r="L112" s="1200"/>
      <c r="M112" s="1139">
        <v>45624</v>
      </c>
      <c r="N112" s="1140">
        <f>131108.11*100/121</f>
        <v>108353.80991735536</v>
      </c>
      <c r="O112" s="1141">
        <v>131108.10999999999</v>
      </c>
      <c r="P112" s="1139"/>
      <c r="Q112" s="1202"/>
      <c r="R112" s="1196"/>
      <c r="S112" s="225"/>
      <c r="T112" s="225"/>
    </row>
    <row r="113" spans="2:20">
      <c r="B113" s="141"/>
      <c r="C113" s="210"/>
      <c r="D113" s="163"/>
      <c r="E113" s="210"/>
      <c r="F113" s="211"/>
      <c r="G113" s="211"/>
      <c r="H113" s="212"/>
      <c r="I113" s="1138"/>
      <c r="J113" s="1198"/>
      <c r="K113" s="1199"/>
      <c r="L113" s="1200"/>
      <c r="M113" s="1139">
        <v>45632</v>
      </c>
      <c r="N113" s="1140">
        <v>-66445.78</v>
      </c>
      <c r="O113" s="1141">
        <v>-80399.39</v>
      </c>
      <c r="P113" s="1139"/>
      <c r="Q113" s="1202"/>
      <c r="R113" s="1196"/>
      <c r="S113" s="225"/>
      <c r="T113" s="225"/>
    </row>
    <row r="114" spans="2:20">
      <c r="B114" s="141"/>
      <c r="C114" s="210"/>
      <c r="D114" s="163"/>
      <c r="E114" s="210"/>
      <c r="F114" s="211"/>
      <c r="G114" s="211"/>
      <c r="H114" s="212"/>
      <c r="I114" s="1138"/>
      <c r="J114" s="1198"/>
      <c r="K114" s="1199"/>
      <c r="L114" s="1200"/>
      <c r="M114" s="1139">
        <v>45639</v>
      </c>
      <c r="N114" s="1140">
        <v>-14508.61</v>
      </c>
      <c r="O114" s="1141">
        <v>-17555.419999999998</v>
      </c>
      <c r="P114" s="1139"/>
      <c r="Q114" s="1202"/>
      <c r="R114" s="1196"/>
      <c r="S114" s="225"/>
      <c r="T114" s="225"/>
    </row>
    <row r="115" spans="2:20">
      <c r="B115" s="141"/>
      <c r="C115" s="210"/>
      <c r="D115" s="163"/>
      <c r="E115" s="210"/>
      <c r="F115" s="211"/>
      <c r="G115" s="211"/>
      <c r="H115" s="212"/>
      <c r="I115" s="1138"/>
      <c r="J115" s="1198"/>
      <c r="K115" s="1199"/>
      <c r="L115" s="1200"/>
      <c r="M115" s="1139">
        <v>45653</v>
      </c>
      <c r="N115" s="1140">
        <f>107618.97*100/121</f>
        <v>88941.297520661159</v>
      </c>
      <c r="O115" s="1141">
        <v>107618.97</v>
      </c>
      <c r="P115" s="1139"/>
      <c r="Q115" s="1202"/>
      <c r="R115" s="1196"/>
      <c r="S115" s="225"/>
      <c r="T115" s="225"/>
    </row>
    <row r="116" spans="2:20">
      <c r="B116" s="141"/>
      <c r="C116" s="210"/>
      <c r="D116" s="163"/>
      <c r="E116" s="210"/>
      <c r="F116" s="211"/>
      <c r="G116" s="211"/>
      <c r="H116" s="212"/>
      <c r="I116" s="1138"/>
      <c r="J116" s="1198"/>
      <c r="K116" s="1199"/>
      <c r="L116" s="1200"/>
      <c r="M116" s="1142"/>
      <c r="N116" s="1140"/>
      <c r="O116" s="1141"/>
      <c r="P116" s="1139"/>
      <c r="Q116" s="1202"/>
      <c r="R116" s="1196"/>
      <c r="S116" s="225"/>
      <c r="T116" s="225"/>
    </row>
    <row r="117" spans="2:20" ht="13.8" thickBot="1">
      <c r="B117" s="141"/>
      <c r="C117" s="210"/>
      <c r="D117" s="163"/>
      <c r="E117" s="210"/>
      <c r="F117" s="211"/>
      <c r="G117" s="211"/>
      <c r="H117" s="212"/>
      <c r="I117" s="1203" t="s">
        <v>4865</v>
      </c>
      <c r="J117" s="1204"/>
      <c r="K117" s="1205">
        <f>SUM(K101:K116)</f>
        <v>433217.5</v>
      </c>
      <c r="L117" s="1206">
        <f>SUM(L101:L116)</f>
        <v>524193.19</v>
      </c>
      <c r="M117" s="1207"/>
      <c r="N117" s="1208">
        <f>SUM(N101:N116)</f>
        <v>1031009.8083471074</v>
      </c>
      <c r="O117" s="1209">
        <f>SUM(O101:O116)</f>
        <v>1247521.8700000001</v>
      </c>
      <c r="P117" s="1207"/>
      <c r="Q117" s="1210">
        <f>SUM(Q101:Q116)</f>
        <v>338555.6033057851</v>
      </c>
      <c r="R117" s="1211">
        <f>SUM(R101:R116)</f>
        <v>409652.27999999997</v>
      </c>
      <c r="S117" s="225"/>
      <c r="T117" s="225"/>
    </row>
    <row r="118" spans="2:20" s="163" customFormat="1">
      <c r="B118" s="141"/>
      <c r="C118" s="210"/>
      <c r="E118" s="316"/>
      <c r="F118" s="211"/>
      <c r="G118" s="211"/>
      <c r="H118" s="212"/>
      <c r="I118" s="717"/>
      <c r="J118" s="225"/>
      <c r="K118" s="1185"/>
      <c r="L118" s="1185"/>
      <c r="M118" s="1186"/>
      <c r="N118" s="1185"/>
      <c r="O118" s="1187"/>
      <c r="P118" s="225"/>
      <c r="Q118" s="1185"/>
      <c r="R118" s="1185"/>
      <c r="S118" s="225"/>
      <c r="T118" s="225"/>
    </row>
    <row r="119" spans="2:20" s="163" customFormat="1">
      <c r="B119" s="141"/>
      <c r="C119" s="210"/>
      <c r="E119" s="316"/>
      <c r="F119" s="211"/>
      <c r="G119" s="211"/>
      <c r="H119" s="212"/>
      <c r="I119" s="717"/>
      <c r="J119" s="225"/>
      <c r="K119" s="1185"/>
      <c r="L119" s="1185"/>
      <c r="M119" s="1186"/>
      <c r="N119" s="1185"/>
      <c r="O119" s="1187"/>
      <c r="P119" s="225"/>
      <c r="Q119" s="1185"/>
      <c r="R119" s="1185"/>
      <c r="S119" s="225"/>
      <c r="T119" s="225"/>
    </row>
    <row r="120" spans="2:20" s="163" customFormat="1">
      <c r="B120" s="141"/>
      <c r="C120" s="210"/>
      <c r="E120" s="316"/>
      <c r="F120" s="211"/>
      <c r="G120" s="211"/>
      <c r="H120" s="212"/>
      <c r="I120" s="717"/>
      <c r="J120" s="225"/>
      <c r="K120" s="1185"/>
      <c r="L120" s="1185"/>
      <c r="M120" s="225"/>
      <c r="N120" s="1185"/>
      <c r="O120" s="1185"/>
      <c r="P120" s="225"/>
      <c r="Q120" s="1185"/>
      <c r="R120" s="1185"/>
      <c r="S120" s="225"/>
      <c r="T120" s="225"/>
    </row>
    <row r="121" spans="2:20" s="163" customFormat="1">
      <c r="B121" s="141"/>
      <c r="C121" s="210"/>
      <c r="E121" s="316"/>
      <c r="F121" s="211"/>
      <c r="G121" s="211"/>
      <c r="H121" s="212"/>
      <c r="I121" s="717"/>
      <c r="J121" s="225"/>
      <c r="K121" s="1185"/>
      <c r="L121" s="1185"/>
      <c r="M121" s="225"/>
      <c r="N121" s="488"/>
      <c r="O121" s="488"/>
      <c r="P121" s="225"/>
      <c r="Q121" s="1185"/>
      <c r="R121" s="1185"/>
      <c r="S121" s="225"/>
      <c r="T121" s="225"/>
    </row>
    <row r="122" spans="2:20" s="163" customFormat="1">
      <c r="B122" s="141"/>
      <c r="C122" s="210"/>
      <c r="E122" s="316"/>
      <c r="F122" s="211"/>
      <c r="G122" s="211"/>
      <c r="H122" s="212"/>
      <c r="I122" s="717"/>
      <c r="J122" s="225"/>
      <c r="K122" s="1185"/>
      <c r="L122" s="1185"/>
      <c r="M122" s="1186"/>
      <c r="N122" s="1185"/>
      <c r="O122" s="1187"/>
      <c r="P122" s="225"/>
      <c r="Q122" s="1185"/>
      <c r="R122" s="1185"/>
      <c r="S122" s="225"/>
      <c r="T122" s="225"/>
    </row>
    <row r="123" spans="2:20" s="163" customFormat="1">
      <c r="B123" s="141"/>
      <c r="C123" s="210"/>
      <c r="E123" s="316"/>
      <c r="F123" s="211"/>
      <c r="G123" s="211"/>
      <c r="H123" s="212"/>
      <c r="I123" s="717"/>
      <c r="J123" s="225"/>
      <c r="K123" s="1185"/>
      <c r="L123" s="1185"/>
      <c r="M123" s="1186"/>
      <c r="N123" s="1185"/>
      <c r="O123" s="1187"/>
      <c r="P123" s="225"/>
      <c r="Q123" s="1185"/>
      <c r="R123" s="1185"/>
      <c r="S123" s="225"/>
      <c r="T123" s="225"/>
    </row>
    <row r="124" spans="2:20" s="163" customFormat="1">
      <c r="B124" s="141"/>
      <c r="C124" s="210"/>
      <c r="E124" s="316"/>
      <c r="F124" s="211"/>
      <c r="G124" s="211"/>
      <c r="H124" s="212"/>
      <c r="I124" s="717"/>
      <c r="J124" s="225"/>
      <c r="K124" s="1185"/>
      <c r="L124" s="1185"/>
      <c r="M124" s="1186"/>
      <c r="N124" s="1185"/>
      <c r="O124" s="1187"/>
      <c r="P124" s="225"/>
      <c r="Q124" s="1185"/>
      <c r="R124" s="1185"/>
      <c r="S124" s="225"/>
      <c r="T124" s="225"/>
    </row>
    <row r="125" spans="2:20" s="163" customFormat="1">
      <c r="B125" s="141"/>
      <c r="C125" s="210"/>
      <c r="E125" s="316"/>
      <c r="F125" s="211"/>
      <c r="G125" s="211"/>
      <c r="H125" s="212"/>
      <c r="I125" s="717"/>
      <c r="J125" s="225"/>
      <c r="K125" s="1185"/>
      <c r="L125" s="1185"/>
      <c r="M125" s="1186"/>
      <c r="N125" s="1185"/>
      <c r="O125" s="1187"/>
      <c r="P125" s="225"/>
      <c r="Q125" s="1185"/>
      <c r="R125" s="1185"/>
      <c r="S125" s="225"/>
      <c r="T125" s="225"/>
    </row>
    <row r="126" spans="2:20" s="163" customFormat="1">
      <c r="B126" s="141"/>
      <c r="C126" s="210"/>
      <c r="E126" s="316"/>
      <c r="F126" s="211"/>
      <c r="G126" s="211"/>
      <c r="H126" s="212"/>
      <c r="I126" s="717"/>
      <c r="J126" s="225"/>
      <c r="K126" s="1185"/>
      <c r="L126" s="1185"/>
      <c r="M126" s="1186"/>
      <c r="N126" s="1185"/>
      <c r="O126" s="1187"/>
      <c r="P126" s="225"/>
      <c r="Q126" s="1185"/>
      <c r="R126" s="1185"/>
      <c r="S126" s="225"/>
      <c r="T126" s="225"/>
    </row>
    <row r="127" spans="2:20">
      <c r="B127" s="135"/>
      <c r="C127" s="164"/>
      <c r="D127" s="165"/>
      <c r="E127" s="166"/>
      <c r="F127" s="127"/>
      <c r="G127" s="127"/>
      <c r="H127" s="128"/>
      <c r="I127" s="167"/>
      <c r="J127" s="137"/>
      <c r="K127" s="168"/>
      <c r="L127" s="168"/>
      <c r="M127" s="169"/>
      <c r="N127" s="168"/>
      <c r="O127" s="170"/>
      <c r="P127" s="137"/>
      <c r="Q127" s="168"/>
      <c r="R127" s="168"/>
      <c r="S127" s="137"/>
      <c r="T127" s="137"/>
    </row>
    <row r="128" spans="2:20">
      <c r="B128" s="135"/>
      <c r="C128" s="164"/>
      <c r="D128" s="165"/>
      <c r="E128" s="166"/>
      <c r="F128" s="127"/>
      <c r="G128" s="127"/>
      <c r="H128" s="128"/>
      <c r="I128" s="167"/>
      <c r="J128" s="137"/>
      <c r="K128" s="168"/>
      <c r="L128" s="168"/>
      <c r="M128" s="169"/>
      <c r="N128" s="168"/>
      <c r="O128" s="170"/>
      <c r="P128" s="137"/>
      <c r="Q128" s="168"/>
      <c r="R128" s="168"/>
      <c r="S128" s="137"/>
      <c r="T128" s="137"/>
    </row>
    <row r="129" spans="2:20">
      <c r="B129" s="135"/>
      <c r="C129" s="164"/>
      <c r="D129" s="165"/>
      <c r="E129" s="166"/>
      <c r="F129" s="127"/>
      <c r="G129" s="127"/>
      <c r="H129" s="128"/>
      <c r="I129" s="167"/>
      <c r="J129" s="137"/>
      <c r="K129" s="168"/>
      <c r="L129" s="168"/>
      <c r="M129" s="169"/>
      <c r="N129" s="168"/>
      <c r="O129" s="170"/>
      <c r="P129" s="137"/>
      <c r="Q129" s="168"/>
      <c r="R129" s="168"/>
      <c r="S129" s="137"/>
      <c r="T129" s="137"/>
    </row>
    <row r="130" spans="2:20">
      <c r="B130" s="135"/>
      <c r="C130" s="164"/>
      <c r="D130" s="165"/>
      <c r="E130" s="166"/>
      <c r="F130" s="127"/>
      <c r="G130" s="127"/>
      <c r="H130" s="128"/>
      <c r="I130" s="167"/>
      <c r="J130" s="137"/>
      <c r="K130" s="168"/>
      <c r="L130" s="168"/>
      <c r="M130" s="137"/>
      <c r="N130" s="168"/>
      <c r="O130" s="168"/>
      <c r="P130" s="137"/>
      <c r="Q130" s="168"/>
      <c r="R130" s="168"/>
      <c r="S130" s="137"/>
      <c r="T130" s="137"/>
    </row>
    <row r="131" spans="2:20">
      <c r="B131" s="135"/>
      <c r="C131" s="164"/>
      <c r="D131" s="165"/>
      <c r="E131" s="166"/>
      <c r="F131" s="127"/>
      <c r="G131" s="127"/>
      <c r="H131" s="128"/>
      <c r="I131" s="167"/>
      <c r="J131" s="137"/>
      <c r="K131" s="168"/>
      <c r="L131" s="168"/>
      <c r="M131" s="137"/>
      <c r="N131" s="171"/>
      <c r="O131" s="171"/>
      <c r="P131" s="137"/>
      <c r="Q131" s="168"/>
      <c r="R131" s="168"/>
      <c r="S131" s="163"/>
      <c r="T131" s="137"/>
    </row>
  </sheetData>
  <mergeCells count="5">
    <mergeCell ref="B99:F99"/>
    <mergeCell ref="P3:R3"/>
    <mergeCell ref="J3:L3"/>
    <mergeCell ref="M3:O3"/>
    <mergeCell ref="S3:T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CF3D-D797-4AFF-AF65-D03C0D8DE79F}">
  <sheetPr codeName="List6"/>
  <dimension ref="A2:T56"/>
  <sheetViews>
    <sheetView zoomScale="90" zoomScaleNormal="90" workbookViewId="0">
      <selection activeCell="B10" sqref="B10"/>
    </sheetView>
  </sheetViews>
  <sheetFormatPr defaultColWidth="8.88671875" defaultRowHeight="13.2"/>
  <cols>
    <col min="1" max="1" width="8.6640625" style="112" customWidth="1"/>
    <col min="2" max="2" width="21" style="112" customWidth="1"/>
    <col min="3" max="3" width="71.33203125" style="112" bestFit="1" customWidth="1"/>
    <col min="4" max="4" width="9.6640625" style="112" customWidth="1"/>
    <col min="5" max="5" width="21.6640625" style="112" bestFit="1" customWidth="1"/>
    <col min="6" max="6" width="16.44140625" style="112" bestFit="1" customWidth="1"/>
    <col min="7" max="7" width="14.44140625" style="112" bestFit="1" customWidth="1"/>
    <col min="8" max="8" width="10.6640625" style="112" bestFit="1" customWidth="1"/>
    <col min="9" max="9" width="7.6640625" style="112" bestFit="1" customWidth="1"/>
    <col min="10" max="10" width="10.109375" style="112" bestFit="1" customWidth="1"/>
    <col min="11" max="11" width="8.5546875" style="112" bestFit="1" customWidth="1"/>
    <col min="12" max="12" width="7.88671875" style="112" bestFit="1" customWidth="1"/>
    <col min="13" max="13" width="10.6640625" style="112" bestFit="1" customWidth="1"/>
    <col min="14" max="14" width="13.44140625" style="112" bestFit="1" customWidth="1"/>
    <col min="15" max="15" width="14.88671875" style="112" bestFit="1" customWidth="1"/>
    <col min="16" max="16" width="13.6640625" style="112" bestFit="1" customWidth="1"/>
    <col min="17" max="17" width="14.5546875" style="112" bestFit="1" customWidth="1"/>
    <col min="18" max="18" width="14.88671875" style="112" bestFit="1" customWidth="1"/>
    <col min="19" max="20" width="16.33203125" style="112" bestFit="1" customWidth="1"/>
    <col min="21" max="16384" width="8.88671875" style="112"/>
  </cols>
  <sheetData>
    <row r="2" spans="1:20" ht="13.8" thickBot="1"/>
    <row r="3" spans="1:20" ht="40.200000000000003" thickBot="1">
      <c r="B3" s="173" t="s">
        <v>4856</v>
      </c>
      <c r="C3" s="174" t="s">
        <v>4857</v>
      </c>
      <c r="D3" s="174" t="s">
        <v>3068</v>
      </c>
      <c r="E3" s="174" t="s">
        <v>4858</v>
      </c>
      <c r="F3" s="175" t="s">
        <v>4859</v>
      </c>
      <c r="G3" s="175" t="s">
        <v>4860</v>
      </c>
      <c r="H3" s="174" t="s">
        <v>4861</v>
      </c>
      <c r="I3" s="176"/>
      <c r="J3" s="1770">
        <v>2023</v>
      </c>
      <c r="K3" s="1763"/>
      <c r="L3" s="1764"/>
      <c r="M3" s="1765">
        <v>2024</v>
      </c>
      <c r="N3" s="1766"/>
      <c r="O3" s="1767"/>
      <c r="P3" s="1771">
        <v>2025</v>
      </c>
      <c r="Q3" s="1760"/>
      <c r="R3" s="1761"/>
      <c r="S3" s="1768" t="s">
        <v>4862</v>
      </c>
      <c r="T3" s="1769"/>
    </row>
    <row r="4" spans="1:20" ht="13.8" thickBot="1">
      <c r="B4" s="177"/>
      <c r="C4" s="163"/>
      <c r="D4" s="178"/>
      <c r="E4" s="163"/>
      <c r="F4" s="179"/>
      <c r="G4" s="179"/>
      <c r="H4" s="163"/>
      <c r="I4" s="180"/>
      <c r="J4" s="184"/>
      <c r="K4" s="185" t="s">
        <v>4863</v>
      </c>
      <c r="L4" s="186" t="s">
        <v>4864</v>
      </c>
      <c r="M4" s="187"/>
      <c r="N4" s="188" t="s">
        <v>4863</v>
      </c>
      <c r="O4" s="189" t="s">
        <v>4864</v>
      </c>
      <c r="P4" s="568"/>
      <c r="Q4" s="561" t="s">
        <v>4863</v>
      </c>
      <c r="R4" s="562" t="s">
        <v>4864</v>
      </c>
      <c r="S4" s="190" t="s">
        <v>4863</v>
      </c>
      <c r="T4" s="191" t="s">
        <v>4864</v>
      </c>
    </row>
    <row r="5" spans="1:20" ht="13.8" thickBot="1">
      <c r="A5" s="112">
        <v>1</v>
      </c>
      <c r="B5" s="172" t="s">
        <v>4521</v>
      </c>
      <c r="C5" s="192" t="s">
        <v>4523</v>
      </c>
      <c r="D5" s="178">
        <v>24715299</v>
      </c>
      <c r="E5" s="193" t="s">
        <v>3613</v>
      </c>
      <c r="F5" s="348"/>
      <c r="G5" s="195">
        <v>864000</v>
      </c>
      <c r="H5" s="196">
        <v>46934</v>
      </c>
      <c r="I5" s="197"/>
      <c r="J5" s="201"/>
      <c r="K5" s="202"/>
      <c r="L5" s="203"/>
      <c r="M5" s="204">
        <v>45541</v>
      </c>
      <c r="N5" s="493"/>
      <c r="O5" s="513">
        <v>53800</v>
      </c>
      <c r="P5" s="569">
        <v>45670</v>
      </c>
      <c r="Q5" s="760"/>
      <c r="R5" s="564">
        <v>68340</v>
      </c>
      <c r="S5" s="496"/>
      <c r="T5" s="208">
        <f>(O19+R19)</f>
        <v>1179940</v>
      </c>
    </row>
    <row r="6" spans="1:20">
      <c r="B6" s="209"/>
      <c r="C6" s="210"/>
      <c r="D6" s="163"/>
      <c r="E6" s="210"/>
      <c r="F6" s="211"/>
      <c r="G6" s="211"/>
      <c r="H6" s="212"/>
      <c r="I6" s="213"/>
      <c r="J6" s="216"/>
      <c r="K6" s="217"/>
      <c r="L6" s="218"/>
      <c r="M6" s="219">
        <v>45568</v>
      </c>
      <c r="N6" s="494"/>
      <c r="O6" s="303">
        <v>54580</v>
      </c>
      <c r="P6" s="570">
        <v>45699</v>
      </c>
      <c r="Q6" s="784"/>
      <c r="R6" s="544">
        <v>66420</v>
      </c>
      <c r="S6" s="221" t="s">
        <v>5726</v>
      </c>
      <c r="T6" s="221"/>
    </row>
    <row r="7" spans="1:20">
      <c r="B7" s="141"/>
      <c r="C7" s="210"/>
      <c r="D7" s="163"/>
      <c r="E7" s="210"/>
      <c r="F7" s="211"/>
      <c r="G7" s="211"/>
      <c r="H7" s="212"/>
      <c r="I7" s="213"/>
      <c r="J7" s="222"/>
      <c r="K7" s="223"/>
      <c r="L7" s="224"/>
      <c r="M7" s="219">
        <v>45601</v>
      </c>
      <c r="N7" s="494"/>
      <c r="O7" s="303">
        <v>63860</v>
      </c>
      <c r="P7" s="570">
        <v>45727</v>
      </c>
      <c r="Q7" s="784"/>
      <c r="R7" s="544">
        <v>68980</v>
      </c>
      <c r="S7" s="225"/>
      <c r="T7" s="225"/>
    </row>
    <row r="8" spans="1:20">
      <c r="B8" s="141"/>
      <c r="C8" s="210"/>
      <c r="D8" s="163"/>
      <c r="E8" s="210"/>
      <c r="F8" s="211"/>
      <c r="G8" s="211"/>
      <c r="H8" s="212"/>
      <c r="I8" s="213"/>
      <c r="J8" s="222"/>
      <c r="K8" s="223"/>
      <c r="L8" s="224"/>
      <c r="M8" s="219">
        <v>45631</v>
      </c>
      <c r="N8" s="494"/>
      <c r="O8" s="303">
        <v>67380</v>
      </c>
      <c r="P8" s="570">
        <v>45755</v>
      </c>
      <c r="Q8" s="784"/>
      <c r="R8" s="544">
        <v>75240</v>
      </c>
      <c r="S8" s="225"/>
      <c r="T8" s="225"/>
    </row>
    <row r="9" spans="1:20">
      <c r="B9" s="141"/>
      <c r="C9" s="210"/>
      <c r="D9" s="163"/>
      <c r="E9" s="210"/>
      <c r="F9" s="211"/>
      <c r="G9" s="211"/>
      <c r="H9" s="212"/>
      <c r="I9" s="213"/>
      <c r="J9" s="222"/>
      <c r="K9" s="223"/>
      <c r="L9" s="224"/>
      <c r="M9" s="219"/>
      <c r="N9" s="759"/>
      <c r="O9" s="303"/>
      <c r="P9" s="570">
        <v>45783</v>
      </c>
      <c r="Q9" s="784"/>
      <c r="R9" s="544">
        <v>76200</v>
      </c>
      <c r="S9" s="225"/>
      <c r="T9" s="225"/>
    </row>
    <row r="10" spans="1:20">
      <c r="B10" s="141"/>
      <c r="C10" s="210"/>
      <c r="D10" s="163"/>
      <c r="E10" s="210"/>
      <c r="F10" s="211"/>
      <c r="G10" s="211"/>
      <c r="H10" s="212"/>
      <c r="I10" s="213"/>
      <c r="J10" s="222"/>
      <c r="K10" s="223"/>
      <c r="L10" s="224"/>
      <c r="M10" s="219"/>
      <c r="N10" s="759"/>
      <c r="O10" s="303"/>
      <c r="P10" s="570">
        <v>45820</v>
      </c>
      <c r="Q10" s="784"/>
      <c r="R10" s="544">
        <v>77100</v>
      </c>
      <c r="S10" s="225"/>
      <c r="T10" s="225"/>
    </row>
    <row r="11" spans="1:20">
      <c r="B11" s="141"/>
      <c r="C11" s="210"/>
      <c r="D11" s="163"/>
      <c r="E11" s="210"/>
      <c r="F11" s="211"/>
      <c r="G11" s="211"/>
      <c r="H11" s="212"/>
      <c r="I11" s="213"/>
      <c r="J11" s="222"/>
      <c r="K11" s="223"/>
      <c r="L11" s="224"/>
      <c r="M11" s="219"/>
      <c r="N11" s="759"/>
      <c r="O11" s="303"/>
      <c r="P11" s="570">
        <v>45847</v>
      </c>
      <c r="Q11" s="784"/>
      <c r="R11" s="544">
        <v>78120</v>
      </c>
      <c r="S11" s="225"/>
      <c r="T11" s="225"/>
    </row>
    <row r="12" spans="1:20">
      <c r="B12" s="141"/>
      <c r="C12" s="210"/>
      <c r="D12" s="163"/>
      <c r="E12" s="210"/>
      <c r="F12" s="211"/>
      <c r="G12" s="211"/>
      <c r="H12" s="212"/>
      <c r="I12" s="213"/>
      <c r="J12" s="222"/>
      <c r="K12" s="223"/>
      <c r="L12" s="224"/>
      <c r="M12" s="219"/>
      <c r="N12" s="759"/>
      <c r="O12" s="303"/>
      <c r="P12" s="570">
        <v>45875</v>
      </c>
      <c r="Q12" s="784"/>
      <c r="R12" s="544">
        <v>79080</v>
      </c>
      <c r="S12" s="225"/>
      <c r="T12" s="225"/>
    </row>
    <row r="13" spans="1:20">
      <c r="B13" s="141"/>
      <c r="C13" s="210"/>
      <c r="D13" s="163"/>
      <c r="E13" s="210"/>
      <c r="F13" s="211"/>
      <c r="G13" s="211"/>
      <c r="H13" s="212"/>
      <c r="I13" s="213"/>
      <c r="J13" s="222"/>
      <c r="K13" s="223"/>
      <c r="L13" s="224"/>
      <c r="M13" s="219"/>
      <c r="N13" s="759"/>
      <c r="O13" s="303"/>
      <c r="P13" s="570">
        <v>45903</v>
      </c>
      <c r="Q13" s="784"/>
      <c r="R13" s="544">
        <v>82600</v>
      </c>
      <c r="S13" s="225"/>
      <c r="T13" s="225"/>
    </row>
    <row r="14" spans="1:20">
      <c r="B14" s="141"/>
      <c r="C14" s="210"/>
      <c r="D14" s="163"/>
      <c r="E14" s="210"/>
      <c r="F14" s="211"/>
      <c r="G14" s="211"/>
      <c r="H14" s="212"/>
      <c r="I14" s="213"/>
      <c r="J14" s="222"/>
      <c r="K14" s="223"/>
      <c r="L14" s="224"/>
      <c r="M14" s="219"/>
      <c r="N14" s="759"/>
      <c r="O14" s="303"/>
      <c r="P14" s="570">
        <v>45937</v>
      </c>
      <c r="Q14" s="784"/>
      <c r="R14" s="544">
        <v>85480</v>
      </c>
      <c r="S14" s="225"/>
      <c r="T14" s="225"/>
    </row>
    <row r="15" spans="1:20">
      <c r="B15" s="141"/>
      <c r="C15" s="210"/>
      <c r="D15" s="163"/>
      <c r="E15" s="210"/>
      <c r="F15" s="211"/>
      <c r="G15" s="211"/>
      <c r="H15" s="212"/>
      <c r="I15" s="213"/>
      <c r="J15" s="222"/>
      <c r="K15" s="223"/>
      <c r="L15" s="224"/>
      <c r="M15" s="219"/>
      <c r="N15" s="759"/>
      <c r="O15" s="303"/>
      <c r="P15" s="570">
        <v>45966</v>
      </c>
      <c r="Q15" s="784"/>
      <c r="R15" s="544">
        <v>89460</v>
      </c>
      <c r="S15" s="225"/>
      <c r="T15" s="225"/>
    </row>
    <row r="16" spans="1:20">
      <c r="B16" s="141"/>
      <c r="C16" s="210"/>
      <c r="D16" s="163"/>
      <c r="E16" s="210"/>
      <c r="F16" s="211"/>
      <c r="G16" s="211"/>
      <c r="H16" s="212"/>
      <c r="I16" s="213"/>
      <c r="J16" s="222"/>
      <c r="K16" s="223"/>
      <c r="L16" s="224"/>
      <c r="M16" s="219"/>
      <c r="N16" s="759"/>
      <c r="O16" s="303"/>
      <c r="P16" s="570">
        <v>46000</v>
      </c>
      <c r="Q16" s="784"/>
      <c r="R16" s="544">
        <v>93300</v>
      </c>
      <c r="S16" s="225"/>
      <c r="T16" s="225"/>
    </row>
    <row r="17" spans="1:20">
      <c r="B17" s="141"/>
      <c r="C17" s="210"/>
      <c r="D17" s="163"/>
      <c r="E17" s="210"/>
      <c r="F17" s="211"/>
      <c r="G17" s="211"/>
      <c r="H17" s="212"/>
      <c r="I17" s="213"/>
      <c r="J17" s="222"/>
      <c r="K17" s="223"/>
      <c r="L17" s="224"/>
      <c r="M17" s="219"/>
      <c r="N17" s="759"/>
      <c r="O17" s="303"/>
      <c r="P17" s="571"/>
      <c r="Q17" s="785"/>
      <c r="R17" s="538"/>
      <c r="S17" s="225"/>
      <c r="T17" s="225"/>
    </row>
    <row r="18" spans="1:20">
      <c r="B18" s="141"/>
      <c r="C18" s="210"/>
      <c r="D18" s="163"/>
      <c r="E18" s="210"/>
      <c r="F18" s="211"/>
      <c r="G18" s="211"/>
      <c r="H18" s="212"/>
      <c r="I18" s="213"/>
      <c r="J18" s="222"/>
      <c r="K18" s="223"/>
      <c r="L18" s="224"/>
      <c r="M18" s="231"/>
      <c r="N18" s="759"/>
      <c r="O18" s="303"/>
      <c r="P18" s="571"/>
      <c r="Q18" s="785"/>
      <c r="R18" s="538"/>
      <c r="S18" s="225"/>
      <c r="T18" s="225"/>
    </row>
    <row r="19" spans="1:20" ht="13.8" thickBot="1">
      <c r="B19" s="141"/>
      <c r="C19" s="210"/>
      <c r="D19" s="163"/>
      <c r="E19" s="210"/>
      <c r="F19" s="211"/>
      <c r="G19" s="211"/>
      <c r="H19" s="212"/>
      <c r="I19" s="232" t="s">
        <v>4865</v>
      </c>
      <c r="J19" s="236"/>
      <c r="K19" s="237"/>
      <c r="L19" s="238"/>
      <c r="M19" s="239"/>
      <c r="N19" s="495"/>
      <c r="O19" s="512">
        <f>SUM(O5:O18)</f>
        <v>239620</v>
      </c>
      <c r="P19" s="572"/>
      <c r="Q19" s="784"/>
      <c r="R19" s="612">
        <f>SUM(R5:R18)</f>
        <v>940320</v>
      </c>
      <c r="S19" s="225"/>
      <c r="T19" s="225"/>
    </row>
    <row r="20" spans="1:20" ht="13.8" thickBot="1">
      <c r="A20" s="112">
        <v>2</v>
      </c>
      <c r="B20" s="172" t="s">
        <v>5476</v>
      </c>
      <c r="C20" s="192" t="s">
        <v>5499</v>
      </c>
      <c r="D20" s="242">
        <v>29055130</v>
      </c>
      <c r="E20" s="193" t="s">
        <v>5498</v>
      </c>
      <c r="F20" s="194">
        <v>750000</v>
      </c>
      <c r="G20" s="195">
        <f>750000*121/100</f>
        <v>907500</v>
      </c>
      <c r="H20" s="196"/>
      <c r="I20" s="197"/>
      <c r="J20" s="201"/>
      <c r="K20" s="202"/>
      <c r="L20" s="203"/>
      <c r="M20" s="490"/>
      <c r="N20" s="246"/>
      <c r="O20" s="513"/>
      <c r="P20" s="569">
        <v>45835</v>
      </c>
      <c r="Q20" s="563">
        <v>128000</v>
      </c>
      <c r="R20" s="564">
        <v>154880</v>
      </c>
      <c r="S20" s="247">
        <f>F20-Q32</f>
        <v>7600</v>
      </c>
      <c r="T20" s="248">
        <f>G20-R32</f>
        <v>9196</v>
      </c>
    </row>
    <row r="21" spans="1:20">
      <c r="B21" s="209"/>
      <c r="C21" s="210"/>
      <c r="D21" s="163"/>
      <c r="E21" s="210"/>
      <c r="F21" s="211"/>
      <c r="G21" s="211"/>
      <c r="H21" s="212"/>
      <c r="I21" s="213"/>
      <c r="J21" s="216"/>
      <c r="K21" s="217"/>
      <c r="L21" s="218"/>
      <c r="M21" s="252"/>
      <c r="N21" s="205"/>
      <c r="O21" s="303"/>
      <c r="P21" s="570">
        <v>45925</v>
      </c>
      <c r="Q21" s="543">
        <f>R21/121*100</f>
        <v>89600</v>
      </c>
      <c r="R21" s="544">
        <v>108416</v>
      </c>
      <c r="S21" s="225"/>
      <c r="T21" s="225"/>
    </row>
    <row r="22" spans="1:20">
      <c r="B22" s="141"/>
      <c r="C22" s="210"/>
      <c r="D22" s="163"/>
      <c r="E22" s="210"/>
      <c r="F22" s="211"/>
      <c r="G22" s="211"/>
      <c r="H22" s="212"/>
      <c r="I22" s="232"/>
      <c r="J22" s="216"/>
      <c r="K22" s="217"/>
      <c r="L22" s="218"/>
      <c r="M22" s="252"/>
      <c r="N22" s="205"/>
      <c r="O22" s="303"/>
      <c r="P22" s="570"/>
      <c r="Q22" s="543"/>
      <c r="R22" s="544"/>
      <c r="S22" s="225"/>
      <c r="T22" s="225"/>
    </row>
    <row r="23" spans="1:20">
      <c r="B23" s="141"/>
      <c r="C23" s="210"/>
      <c r="D23" s="163"/>
      <c r="E23" s="210"/>
      <c r="F23" s="211"/>
      <c r="G23" s="211"/>
      <c r="H23" s="212"/>
      <c r="I23" s="232"/>
      <c r="J23" s="216"/>
      <c r="K23" s="217"/>
      <c r="L23" s="218"/>
      <c r="M23" s="252"/>
      <c r="N23" s="205"/>
      <c r="O23" s="303"/>
      <c r="P23" s="570"/>
      <c r="Q23" s="543"/>
      <c r="R23" s="544"/>
      <c r="S23" s="225"/>
      <c r="T23" s="225"/>
    </row>
    <row r="24" spans="1:20">
      <c r="B24" s="141"/>
      <c r="C24" s="210"/>
      <c r="D24" s="163"/>
      <c r="E24" s="210"/>
      <c r="F24" s="211"/>
      <c r="G24" s="211"/>
      <c r="H24" s="212"/>
      <c r="I24" s="232"/>
      <c r="J24" s="216"/>
      <c r="K24" s="217"/>
      <c r="L24" s="218"/>
      <c r="M24" s="252"/>
      <c r="N24" s="205"/>
      <c r="O24" s="303"/>
      <c r="P24" s="570"/>
      <c r="Q24" s="543"/>
      <c r="R24" s="544"/>
      <c r="S24" s="225"/>
      <c r="T24" s="225"/>
    </row>
    <row r="25" spans="1:20">
      <c r="B25" s="141"/>
      <c r="C25" s="210"/>
      <c r="D25" s="163"/>
      <c r="E25" s="210"/>
      <c r="F25" s="211"/>
      <c r="G25" s="211"/>
      <c r="H25" s="212"/>
      <c r="I25" s="232"/>
      <c r="J25" s="216"/>
      <c r="K25" s="217"/>
      <c r="L25" s="218"/>
      <c r="M25" s="252"/>
      <c r="N25" s="205"/>
      <c r="O25" s="303"/>
      <c r="P25" s="1092" t="s">
        <v>6595</v>
      </c>
      <c r="Q25" s="752">
        <v>96000</v>
      </c>
      <c r="R25" s="1426">
        <f t="shared" ref="R25:R29" si="0">Q25*1.21</f>
        <v>116160</v>
      </c>
      <c r="S25" s="225"/>
      <c r="T25" s="225"/>
    </row>
    <row r="26" spans="1:20">
      <c r="B26" s="141"/>
      <c r="C26" s="210"/>
      <c r="D26" s="163"/>
      <c r="E26" s="210"/>
      <c r="F26" s="211"/>
      <c r="G26" s="211"/>
      <c r="H26" s="212"/>
      <c r="I26" s="232"/>
      <c r="J26" s="216"/>
      <c r="K26" s="217"/>
      <c r="L26" s="218"/>
      <c r="M26" s="252"/>
      <c r="N26" s="205"/>
      <c r="O26" s="303"/>
      <c r="P26" s="1092" t="s">
        <v>6592</v>
      </c>
      <c r="Q26" s="752">
        <v>76800</v>
      </c>
      <c r="R26" s="1426">
        <f t="shared" si="0"/>
        <v>92928</v>
      </c>
      <c r="S26" s="225"/>
      <c r="T26" s="225"/>
    </row>
    <row r="27" spans="1:20">
      <c r="B27" s="141"/>
      <c r="C27" s="210"/>
      <c r="D27" s="163"/>
      <c r="E27" s="210"/>
      <c r="F27" s="211"/>
      <c r="G27" s="211"/>
      <c r="H27" s="212"/>
      <c r="I27" s="232"/>
      <c r="J27" s="216"/>
      <c r="K27" s="217"/>
      <c r="L27" s="218"/>
      <c r="M27" s="252"/>
      <c r="N27" s="205"/>
      <c r="O27" s="303"/>
      <c r="P27" s="1092" t="s">
        <v>6320</v>
      </c>
      <c r="Q27" s="752">
        <v>64000</v>
      </c>
      <c r="R27" s="1426">
        <f t="shared" si="0"/>
        <v>77440</v>
      </c>
      <c r="S27" s="225"/>
      <c r="T27" s="225"/>
    </row>
    <row r="28" spans="1:20">
      <c r="B28" s="141"/>
      <c r="C28" s="210"/>
      <c r="D28" s="163"/>
      <c r="E28" s="210"/>
      <c r="F28" s="211"/>
      <c r="G28" s="211"/>
      <c r="H28" s="212"/>
      <c r="I28" s="826"/>
      <c r="J28" s="216"/>
      <c r="K28" s="217"/>
      <c r="L28" s="218"/>
      <c r="M28" s="252"/>
      <c r="N28" s="205"/>
      <c r="O28" s="303"/>
      <c r="P28" s="1092" t="s">
        <v>6288</v>
      </c>
      <c r="Q28" s="752">
        <v>16000</v>
      </c>
      <c r="R28" s="1426">
        <f t="shared" si="0"/>
        <v>19360</v>
      </c>
      <c r="S28" s="225"/>
      <c r="T28" s="225"/>
    </row>
    <row r="29" spans="1:20">
      <c r="B29" s="141"/>
      <c r="C29" s="210"/>
      <c r="D29" s="163"/>
      <c r="E29" s="210"/>
      <c r="F29" s="211"/>
      <c r="G29" s="211"/>
      <c r="H29" s="212"/>
      <c r="I29" s="827"/>
      <c r="J29" s="520"/>
      <c r="K29" s="755"/>
      <c r="L29" s="828"/>
      <c r="M29" s="829"/>
      <c r="N29" s="281"/>
      <c r="O29" s="514"/>
      <c r="P29" s="1427" t="s">
        <v>6287</v>
      </c>
      <c r="Q29" s="752">
        <v>80000</v>
      </c>
      <c r="R29" s="1426">
        <f t="shared" si="0"/>
        <v>96800</v>
      </c>
      <c r="S29" s="225"/>
      <c r="T29" s="225"/>
    </row>
    <row r="30" spans="1:20">
      <c r="B30" s="141"/>
      <c r="C30" s="210"/>
      <c r="D30" s="163"/>
      <c r="E30" s="210"/>
      <c r="F30" s="211"/>
      <c r="G30" s="211"/>
      <c r="H30" s="212"/>
      <c r="I30" s="830"/>
      <c r="J30" s="262"/>
      <c r="K30" s="755"/>
      <c r="L30" s="828"/>
      <c r="M30" s="263"/>
      <c r="N30" s="264"/>
      <c r="O30" s="515"/>
      <c r="P30" s="1416" t="s">
        <v>6268</v>
      </c>
      <c r="Q30" s="752">
        <v>160000</v>
      </c>
      <c r="R30" s="1426">
        <f>Q30*1.21</f>
        <v>193600</v>
      </c>
      <c r="S30" s="225"/>
      <c r="T30" s="225"/>
    </row>
    <row r="31" spans="1:20">
      <c r="B31" s="141"/>
      <c r="C31" s="210"/>
      <c r="D31" s="163"/>
      <c r="E31" s="210"/>
      <c r="F31" s="211"/>
      <c r="G31" s="211"/>
      <c r="H31" s="212"/>
      <c r="I31" s="258"/>
      <c r="J31" s="262"/>
      <c r="K31" s="217"/>
      <c r="L31" s="218"/>
      <c r="M31" s="263"/>
      <c r="N31" s="264"/>
      <c r="O31" s="515"/>
      <c r="P31" s="1416" t="s">
        <v>6207</v>
      </c>
      <c r="Q31" s="752">
        <v>32000</v>
      </c>
      <c r="R31" s="1426">
        <f>32000*1.21</f>
        <v>38720</v>
      </c>
      <c r="S31" s="225"/>
      <c r="T31" s="225"/>
    </row>
    <row r="32" spans="1:20" ht="13.8" thickBot="1">
      <c r="B32" s="266"/>
      <c r="C32" s="210"/>
      <c r="D32" s="163"/>
      <c r="E32" s="210"/>
      <c r="F32" s="211"/>
      <c r="G32" s="211"/>
      <c r="H32" s="212"/>
      <c r="I32" s="232"/>
      <c r="J32" s="270"/>
      <c r="K32" s="271">
        <v>0</v>
      </c>
      <c r="L32" s="272">
        <v>0</v>
      </c>
      <c r="M32" s="273"/>
      <c r="N32" s="299">
        <v>0</v>
      </c>
      <c r="O32" s="516">
        <v>0</v>
      </c>
      <c r="P32" s="560"/>
      <c r="Q32" s="567">
        <f>SUM(Q20:Q31)</f>
        <v>742400</v>
      </c>
      <c r="R32" s="574">
        <f>SUM(R20:R31)</f>
        <v>898304</v>
      </c>
      <c r="S32" s="276"/>
      <c r="T32" s="276"/>
    </row>
    <row r="33" spans="1:20" ht="13.8" thickBot="1">
      <c r="A33" s="112">
        <v>3</v>
      </c>
      <c r="B33" s="277" t="s">
        <v>5673</v>
      </c>
      <c r="C33" s="192" t="s">
        <v>5727</v>
      </c>
      <c r="D33" s="242">
        <v>29055130</v>
      </c>
      <c r="E33" s="278" t="s">
        <v>5498</v>
      </c>
      <c r="F33" s="194">
        <v>67200</v>
      </c>
      <c r="G33" s="195">
        <v>81312</v>
      </c>
      <c r="H33" s="196"/>
      <c r="I33" s="197"/>
      <c r="J33" s="216"/>
      <c r="K33" s="217"/>
      <c r="L33" s="203"/>
      <c r="M33" s="219"/>
      <c r="N33" s="256"/>
      <c r="O33" s="303"/>
      <c r="P33" s="570">
        <v>45855</v>
      </c>
      <c r="Q33" s="543">
        <v>67200</v>
      </c>
      <c r="R33" s="564">
        <v>81312</v>
      </c>
      <c r="S33" s="247"/>
      <c r="T33" s="248"/>
    </row>
    <row r="34" spans="1:20">
      <c r="B34" s="209"/>
      <c r="C34" s="210"/>
      <c r="D34" s="163"/>
      <c r="E34" s="210"/>
      <c r="F34" s="211"/>
      <c r="G34" s="211"/>
      <c r="H34" s="212"/>
      <c r="I34" s="213"/>
      <c r="J34" s="216"/>
      <c r="K34" s="217"/>
      <c r="L34" s="218"/>
      <c r="M34" s="219"/>
      <c r="N34" s="281"/>
      <c r="O34" s="303"/>
      <c r="P34" s="570"/>
      <c r="Q34" s="543"/>
      <c r="R34" s="544"/>
      <c r="S34" s="221"/>
      <c r="T34" s="221"/>
    </row>
    <row r="35" spans="1:20">
      <c r="B35" s="141"/>
      <c r="C35" s="210"/>
      <c r="D35" s="163"/>
      <c r="E35" s="210"/>
      <c r="F35" s="211"/>
      <c r="G35" s="211"/>
      <c r="H35" s="212"/>
      <c r="I35" s="213"/>
      <c r="J35" s="284"/>
      <c r="K35" s="285"/>
      <c r="L35" s="286"/>
      <c r="M35" s="287"/>
      <c r="N35" s="256"/>
      <c r="O35" s="517"/>
      <c r="P35" s="558"/>
      <c r="Q35" s="545"/>
      <c r="R35" s="546"/>
      <c r="S35" s="225"/>
      <c r="T35" s="225"/>
    </row>
    <row r="36" spans="1:20">
      <c r="B36" s="141"/>
      <c r="C36" s="210"/>
      <c r="D36" s="163"/>
      <c r="E36" s="210"/>
      <c r="F36" s="211"/>
      <c r="G36" s="211"/>
      <c r="H36" s="212"/>
      <c r="I36" s="213"/>
      <c r="J36" s="290"/>
      <c r="K36" s="291"/>
      <c r="L36" s="292"/>
      <c r="M36" s="263"/>
      <c r="N36" s="264"/>
      <c r="O36" s="515"/>
      <c r="P36" s="559"/>
      <c r="Q36" s="547"/>
      <c r="R36" s="548"/>
      <c r="S36" s="225"/>
      <c r="T36" s="225"/>
    </row>
    <row r="37" spans="1:20" ht="13.8" thickBot="1">
      <c r="B37" s="266"/>
      <c r="C37" s="210"/>
      <c r="D37" s="163"/>
      <c r="E37" s="210"/>
      <c r="F37" s="211"/>
      <c r="G37" s="211"/>
      <c r="H37" s="212"/>
      <c r="I37" s="293" t="s">
        <v>4865</v>
      </c>
      <c r="J37" s="270"/>
      <c r="K37" s="296"/>
      <c r="L37" s="297"/>
      <c r="M37" s="298"/>
      <c r="N37" s="299"/>
      <c r="O37" s="516"/>
      <c r="P37" s="560"/>
      <c r="Q37" s="541">
        <v>67200</v>
      </c>
      <c r="R37" s="542">
        <v>81312</v>
      </c>
      <c r="S37" s="225"/>
      <c r="T37" s="225"/>
    </row>
    <row r="38" spans="1:20" ht="13.8" thickBot="1">
      <c r="A38" s="112">
        <v>4</v>
      </c>
      <c r="B38" s="277" t="s">
        <v>6596</v>
      </c>
      <c r="C38" s="192" t="s">
        <v>6613</v>
      </c>
      <c r="D38" s="242">
        <v>29055130</v>
      </c>
      <c r="E38" s="278" t="s">
        <v>5498</v>
      </c>
      <c r="F38" s="194">
        <v>1500000</v>
      </c>
      <c r="G38" s="195">
        <f>1500000*1.21</f>
        <v>1815000</v>
      </c>
      <c r="H38" s="196"/>
      <c r="I38" s="301"/>
      <c r="J38" s="302"/>
      <c r="K38" s="217"/>
      <c r="L38" s="218"/>
      <c r="M38" s="219"/>
      <c r="N38" s="205"/>
      <c r="O38" s="303"/>
      <c r="P38" s="556"/>
      <c r="Q38" s="543"/>
      <c r="R38" s="544"/>
      <c r="S38" s="304">
        <f>F38-Q47</f>
        <v>1436000</v>
      </c>
      <c r="T38" s="305">
        <f>G38-R47</f>
        <v>1737560</v>
      </c>
    </row>
    <row r="39" spans="1:20">
      <c r="B39" s="141"/>
      <c r="C39" s="210"/>
      <c r="D39" s="163"/>
      <c r="E39" s="316"/>
      <c r="F39" s="211"/>
      <c r="G39" s="211"/>
      <c r="H39" s="212"/>
      <c r="I39" s="351"/>
      <c r="J39" s="302"/>
      <c r="K39" s="217"/>
      <c r="L39" s="218"/>
      <c r="M39" s="219"/>
      <c r="N39" s="205"/>
      <c r="O39" s="303"/>
      <c r="P39" s="556"/>
      <c r="Q39" s="543"/>
      <c r="R39" s="544"/>
      <c r="S39" s="487"/>
      <c r="T39" s="349"/>
    </row>
    <row r="40" spans="1:20">
      <c r="B40" s="141"/>
      <c r="C40" s="210"/>
      <c r="D40" s="163"/>
      <c r="E40" s="316"/>
      <c r="F40" s="211"/>
      <c r="G40" s="211"/>
      <c r="H40" s="212"/>
      <c r="I40" s="213"/>
      <c r="J40" s="302"/>
      <c r="K40" s="217"/>
      <c r="L40" s="218"/>
      <c r="M40" s="219"/>
      <c r="N40" s="205"/>
      <c r="O40" s="303"/>
      <c r="P40" s="556"/>
      <c r="Q40" s="543"/>
      <c r="R40" s="544"/>
      <c r="S40" s="489"/>
      <c r="T40" s="488"/>
    </row>
    <row r="41" spans="1:20">
      <c r="B41" s="141"/>
      <c r="C41" s="210"/>
      <c r="D41" s="163"/>
      <c r="E41" s="316"/>
      <c r="F41" s="211"/>
      <c r="G41" s="211"/>
      <c r="H41" s="212"/>
      <c r="I41" s="213"/>
      <c r="J41" s="302"/>
      <c r="K41" s="217"/>
      <c r="L41" s="218"/>
      <c r="M41" s="219"/>
      <c r="N41" s="205"/>
      <c r="O41" s="303"/>
      <c r="P41" s="556"/>
      <c r="Q41" s="543"/>
      <c r="R41" s="544"/>
      <c r="S41" s="489"/>
      <c r="T41" s="488"/>
    </row>
    <row r="42" spans="1:20">
      <c r="B42" s="141"/>
      <c r="C42" s="210"/>
      <c r="D42" s="163"/>
      <c r="E42" s="316"/>
      <c r="F42" s="211"/>
      <c r="G42" s="211"/>
      <c r="H42" s="212"/>
      <c r="I42" s="213"/>
      <c r="J42" s="302"/>
      <c r="K42" s="217"/>
      <c r="L42" s="218"/>
      <c r="M42" s="219"/>
      <c r="N42" s="205"/>
      <c r="O42" s="303"/>
      <c r="P42" s="556"/>
      <c r="Q42" s="543"/>
      <c r="R42" s="544"/>
      <c r="S42" s="489"/>
      <c r="T42" s="488"/>
    </row>
    <row r="43" spans="1:20">
      <c r="B43" s="141"/>
      <c r="C43" s="210"/>
      <c r="D43" s="163"/>
      <c r="E43" s="316"/>
      <c r="F43" s="211"/>
      <c r="G43" s="211"/>
      <c r="H43" s="212"/>
      <c r="I43" s="213"/>
      <c r="J43" s="302"/>
      <c r="K43" s="217"/>
      <c r="L43" s="218"/>
      <c r="M43" s="219"/>
      <c r="N43" s="205"/>
      <c r="O43" s="303"/>
      <c r="P43" s="556"/>
      <c r="Q43" s="543"/>
      <c r="R43" s="544"/>
      <c r="S43" s="489"/>
      <c r="T43" s="488"/>
    </row>
    <row r="44" spans="1:20">
      <c r="B44" s="141"/>
      <c r="C44" s="210"/>
      <c r="D44" s="163"/>
      <c r="E44" s="316"/>
      <c r="F44" s="211"/>
      <c r="G44" s="211"/>
      <c r="H44" s="212"/>
      <c r="I44" s="213"/>
      <c r="J44" s="302"/>
      <c r="K44" s="217"/>
      <c r="L44" s="218"/>
      <c r="M44" s="219"/>
      <c r="N44" s="205"/>
      <c r="O44" s="303"/>
      <c r="P44" s="556"/>
      <c r="Q44" s="543"/>
      <c r="R44" s="544"/>
      <c r="S44" s="489"/>
      <c r="T44" s="488"/>
    </row>
    <row r="45" spans="1:20">
      <c r="B45" s="141"/>
      <c r="C45" s="210"/>
      <c r="D45" s="163"/>
      <c r="E45" s="316"/>
      <c r="F45" s="211"/>
      <c r="G45" s="211"/>
      <c r="H45" s="212"/>
      <c r="I45" s="213"/>
      <c r="J45" s="302"/>
      <c r="K45" s="217"/>
      <c r="L45" s="218"/>
      <c r="M45" s="219"/>
      <c r="N45" s="205"/>
      <c r="O45" s="303"/>
      <c r="P45" s="556"/>
      <c r="Q45" s="543"/>
      <c r="R45" s="544"/>
      <c r="S45" s="489"/>
      <c r="T45" s="488"/>
    </row>
    <row r="46" spans="1:20">
      <c r="B46" s="141"/>
      <c r="C46" s="210"/>
      <c r="D46" s="163"/>
      <c r="E46" s="210"/>
      <c r="F46" s="211"/>
      <c r="G46" s="211"/>
      <c r="H46" s="212"/>
      <c r="I46" s="213"/>
      <c r="J46" s="302"/>
      <c r="K46" s="217"/>
      <c r="L46" s="218"/>
      <c r="M46" s="219"/>
      <c r="N46" s="205"/>
      <c r="O46" s="303"/>
      <c r="P46" s="556" t="s">
        <v>6614</v>
      </c>
      <c r="Q46" s="543">
        <v>64000</v>
      </c>
      <c r="R46" s="544">
        <f>Q46*1.21</f>
        <v>77440</v>
      </c>
      <c r="S46" s="225"/>
      <c r="T46" s="225"/>
    </row>
    <row r="47" spans="1:20" ht="13.8" thickBot="1">
      <c r="B47" s="266"/>
      <c r="C47" s="210"/>
      <c r="D47" s="163"/>
      <c r="E47" s="210"/>
      <c r="F47" s="211"/>
      <c r="G47" s="211"/>
      <c r="H47" s="212"/>
      <c r="I47" s="232" t="s">
        <v>4865</v>
      </c>
      <c r="J47" s="309"/>
      <c r="K47" s="310"/>
      <c r="L47" s="311"/>
      <c r="M47" s="312"/>
      <c r="N47" s="313"/>
      <c r="O47" s="518"/>
      <c r="P47" s="557"/>
      <c r="Q47" s="1636">
        <v>64000</v>
      </c>
      <c r="R47" s="1635">
        <v>77440</v>
      </c>
      <c r="S47" s="276"/>
      <c r="T47" s="276"/>
    </row>
    <row r="48" spans="1:20" ht="13.8" thickBot="1">
      <c r="A48" s="112">
        <v>5</v>
      </c>
      <c r="B48" s="277"/>
      <c r="C48" s="192"/>
      <c r="D48" s="242"/>
      <c r="E48" s="278"/>
      <c r="F48" s="194"/>
      <c r="G48" s="195"/>
      <c r="H48" s="196"/>
      <c r="I48" s="197"/>
      <c r="J48" s="302"/>
      <c r="K48" s="217"/>
      <c r="L48" s="218"/>
      <c r="M48" s="219"/>
      <c r="N48" s="205"/>
      <c r="O48" s="315"/>
      <c r="P48" s="556"/>
      <c r="Q48" s="543"/>
      <c r="R48" s="544"/>
      <c r="S48" s="304"/>
      <c r="T48" s="305"/>
    </row>
    <row r="49" spans="2:20">
      <c r="B49" s="209"/>
      <c r="C49" s="210"/>
      <c r="D49" s="163"/>
      <c r="E49" s="316"/>
      <c r="F49" s="211"/>
      <c r="G49" s="211"/>
      <c r="H49" s="212"/>
      <c r="I49" s="213"/>
      <c r="J49" s="302"/>
      <c r="K49" s="217"/>
      <c r="L49" s="218"/>
      <c r="M49" s="219"/>
      <c r="N49" s="205"/>
      <c r="O49" s="315"/>
      <c r="P49" s="556"/>
      <c r="Q49" s="543"/>
      <c r="R49" s="544"/>
      <c r="S49" s="221"/>
      <c r="T49" s="221"/>
    </row>
    <row r="50" spans="2:20">
      <c r="B50" s="141"/>
      <c r="C50" s="210"/>
      <c r="D50" s="163"/>
      <c r="E50" s="316"/>
      <c r="F50" s="211"/>
      <c r="G50" s="211"/>
      <c r="H50" s="212"/>
      <c r="I50" s="213"/>
      <c r="J50" s="284"/>
      <c r="K50" s="285"/>
      <c r="L50" s="286"/>
      <c r="M50" s="287"/>
      <c r="N50" s="256"/>
      <c r="O50" s="519"/>
      <c r="P50" s="558"/>
      <c r="Q50" s="545"/>
      <c r="R50" s="546"/>
      <c r="S50" s="225"/>
      <c r="T50" s="225"/>
    </row>
    <row r="51" spans="2:20">
      <c r="B51" s="141"/>
      <c r="C51" s="210"/>
      <c r="D51" s="163"/>
      <c r="E51" s="316"/>
      <c r="F51" s="211"/>
      <c r="G51" s="211"/>
      <c r="H51" s="212"/>
      <c r="I51" s="213"/>
      <c r="J51" s="290"/>
      <c r="K51" s="291"/>
      <c r="L51" s="292"/>
      <c r="M51" s="319"/>
      <c r="N51" s="264"/>
      <c r="O51" s="554"/>
      <c r="P51" s="559"/>
      <c r="Q51" s="547"/>
      <c r="R51" s="548"/>
      <c r="S51" s="225"/>
      <c r="T51" s="225"/>
    </row>
    <row r="52" spans="2:20">
      <c r="B52" s="141"/>
      <c r="C52" s="210"/>
      <c r="D52" s="163"/>
      <c r="E52" s="316"/>
      <c r="F52" s="211"/>
      <c r="G52" s="211"/>
      <c r="H52" s="212"/>
      <c r="I52" s="213"/>
      <c r="J52" s="290"/>
      <c r="K52" s="291"/>
      <c r="L52" s="292"/>
      <c r="M52" s="319"/>
      <c r="N52" s="264"/>
      <c r="O52" s="554"/>
      <c r="P52" s="559"/>
      <c r="Q52" s="547"/>
      <c r="R52" s="548"/>
      <c r="S52" s="225"/>
      <c r="T52" s="225"/>
    </row>
    <row r="53" spans="2:20">
      <c r="B53" s="141"/>
      <c r="C53" s="210"/>
      <c r="D53" s="163"/>
      <c r="E53" s="316"/>
      <c r="F53" s="211"/>
      <c r="G53" s="211"/>
      <c r="H53" s="212"/>
      <c r="I53" s="213"/>
      <c r="J53" s="290"/>
      <c r="K53" s="291"/>
      <c r="L53" s="292"/>
      <c r="M53" s="319"/>
      <c r="N53" s="264"/>
      <c r="O53" s="554"/>
      <c r="P53" s="559"/>
      <c r="Q53" s="547"/>
      <c r="R53" s="548"/>
      <c r="S53" s="225"/>
      <c r="T53" s="225"/>
    </row>
    <row r="54" spans="2:20">
      <c r="B54" s="141"/>
      <c r="C54" s="210"/>
      <c r="D54" s="163"/>
      <c r="E54" s="316"/>
      <c r="F54" s="211"/>
      <c r="G54" s="211"/>
      <c r="H54" s="212"/>
      <c r="I54" s="213"/>
      <c r="J54" s="290"/>
      <c r="K54" s="291"/>
      <c r="L54" s="292"/>
      <c r="M54" s="319"/>
      <c r="N54" s="264"/>
      <c r="O54" s="554"/>
      <c r="P54" s="579"/>
      <c r="Q54" s="547"/>
      <c r="R54" s="548"/>
      <c r="S54" s="225"/>
      <c r="T54" s="225"/>
    </row>
    <row r="55" spans="2:20" ht="13.8" thickBot="1">
      <c r="B55" s="141"/>
      <c r="C55" s="210"/>
      <c r="D55" s="163"/>
      <c r="E55" s="316"/>
      <c r="F55" s="211"/>
      <c r="G55" s="211"/>
      <c r="H55" s="212"/>
      <c r="I55" s="213"/>
      <c r="J55" s="290"/>
      <c r="K55" s="291"/>
      <c r="L55" s="292"/>
      <c r="M55" s="263"/>
      <c r="N55" s="264"/>
      <c r="O55" s="265"/>
      <c r="P55" s="539"/>
      <c r="Q55" s="547"/>
      <c r="R55" s="548"/>
      <c r="S55" s="225"/>
      <c r="T55" s="225"/>
    </row>
    <row r="56" spans="2:20" ht="13.8" thickBot="1">
      <c r="B56" s="141"/>
      <c r="C56" s="210"/>
      <c r="D56" s="163"/>
      <c r="E56" s="316"/>
      <c r="F56" s="211"/>
      <c r="G56" s="211"/>
      <c r="H56" s="212"/>
      <c r="I56" s="293" t="s">
        <v>4865</v>
      </c>
      <c r="J56" s="270"/>
      <c r="K56" s="321"/>
      <c r="L56" s="322"/>
      <c r="M56" s="298"/>
      <c r="N56" s="299"/>
      <c r="O56" s="300"/>
      <c r="P56" s="540"/>
      <c r="Q56" s="549"/>
      <c r="R56" s="550"/>
      <c r="S56" s="323"/>
      <c r="T56" s="324"/>
    </row>
  </sheetData>
  <mergeCells count="4">
    <mergeCell ref="J3:L3"/>
    <mergeCell ref="M3:O3"/>
    <mergeCell ref="S3:T3"/>
    <mergeCell ref="P3:R3"/>
  </mergeCells>
  <pageMargins left="0.7" right="0.7" top="0.78740157499999996" bottom="0.78740157499999996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9417-35D2-41E8-9348-B7466F45B3D2}">
  <sheetPr codeName="List7"/>
  <dimension ref="B2:X410"/>
  <sheetViews>
    <sheetView zoomScale="91" zoomScaleNormal="91" workbookViewId="0">
      <selection activeCell="B14" sqref="B14"/>
    </sheetView>
  </sheetViews>
  <sheetFormatPr defaultColWidth="8.88671875" defaultRowHeight="13.2"/>
  <cols>
    <col min="1" max="1" width="8.88671875" style="112"/>
    <col min="2" max="2" width="20.44140625" style="112" bestFit="1" customWidth="1"/>
    <col min="3" max="3" width="76.33203125" style="112" bestFit="1" customWidth="1"/>
    <col min="4" max="4" width="9.6640625" style="112" bestFit="1" customWidth="1"/>
    <col min="5" max="5" width="28.5546875" style="112" customWidth="1"/>
    <col min="6" max="6" width="18.33203125" style="112" customWidth="1"/>
    <col min="7" max="7" width="17.5546875" style="112" customWidth="1"/>
    <col min="8" max="8" width="11.33203125" style="112" customWidth="1"/>
    <col min="9" max="9" width="9.88671875" style="112" customWidth="1"/>
    <col min="10" max="10" width="12" style="112" customWidth="1"/>
    <col min="11" max="11" width="14.88671875" style="112" bestFit="1" customWidth="1"/>
    <col min="12" max="12" width="14.5546875" style="112" bestFit="1" customWidth="1"/>
    <col min="13" max="13" width="12" style="112" customWidth="1"/>
    <col min="14" max="15" width="16" style="112" bestFit="1" customWidth="1"/>
    <col min="16" max="16" width="14.6640625" style="112" customWidth="1"/>
    <col min="17" max="17" width="17.33203125" style="112" customWidth="1"/>
    <col min="18" max="18" width="16.109375" style="112" bestFit="1" customWidth="1"/>
    <col min="19" max="19" width="15.5546875" style="112" customWidth="1"/>
    <col min="20" max="20" width="14.109375" style="112" customWidth="1"/>
    <col min="21" max="21" width="19.109375" style="112" customWidth="1"/>
    <col min="22" max="22" width="19.5546875" style="112" customWidth="1"/>
    <col min="23" max="23" width="21.109375" style="112" customWidth="1"/>
    <col min="24" max="24" width="19.88671875" style="112" customWidth="1"/>
    <col min="25" max="16384" width="8.88671875" style="112"/>
  </cols>
  <sheetData>
    <row r="2" spans="2:24" ht="13.8" thickBot="1"/>
    <row r="3" spans="2:24" ht="27" thickBot="1">
      <c r="B3" s="173" t="s">
        <v>4856</v>
      </c>
      <c r="C3" s="174" t="s">
        <v>4857</v>
      </c>
      <c r="D3" s="174" t="s">
        <v>3068</v>
      </c>
      <c r="E3" s="174" t="s">
        <v>4858</v>
      </c>
      <c r="F3" s="175" t="s">
        <v>4859</v>
      </c>
      <c r="G3" s="175" t="s">
        <v>4860</v>
      </c>
      <c r="H3" s="174" t="s">
        <v>4861</v>
      </c>
      <c r="I3" s="576"/>
      <c r="J3" s="1772">
        <v>2022</v>
      </c>
      <c r="K3" s="1773"/>
      <c r="L3" s="1774"/>
      <c r="M3" s="1762">
        <v>2023</v>
      </c>
      <c r="N3" s="1763"/>
      <c r="O3" s="1764"/>
      <c r="P3" s="1765">
        <v>2024</v>
      </c>
      <c r="Q3" s="1766"/>
      <c r="R3" s="1767"/>
      <c r="S3" s="1771">
        <v>2025</v>
      </c>
      <c r="T3" s="1760"/>
      <c r="U3" s="1760"/>
      <c r="V3" s="1761"/>
      <c r="W3" s="1768" t="s">
        <v>4862</v>
      </c>
      <c r="X3" s="1769"/>
    </row>
    <row r="4" spans="2:24" ht="13.8" thickBot="1">
      <c r="B4" s="177"/>
      <c r="C4" s="163"/>
      <c r="D4" s="178"/>
      <c r="E4" s="163"/>
      <c r="F4" s="179"/>
      <c r="G4" s="179"/>
      <c r="H4" s="163"/>
      <c r="I4" s="180"/>
      <c r="J4" s="1266"/>
      <c r="K4" s="1267" t="s">
        <v>4863</v>
      </c>
      <c r="L4" s="1268" t="s">
        <v>4864</v>
      </c>
      <c r="M4" s="184"/>
      <c r="N4" s="185" t="s">
        <v>4863</v>
      </c>
      <c r="O4" s="186" t="s">
        <v>4864</v>
      </c>
      <c r="P4" s="187"/>
      <c r="Q4" s="1214" t="s">
        <v>4863</v>
      </c>
      <c r="R4" s="189" t="s">
        <v>4864</v>
      </c>
      <c r="S4" s="1591"/>
      <c r="T4" s="1592" t="s">
        <v>6398</v>
      </c>
      <c r="U4" s="1593" t="s">
        <v>4863</v>
      </c>
      <c r="V4" s="1594" t="s">
        <v>4864</v>
      </c>
      <c r="W4" s="1590" t="s">
        <v>4863</v>
      </c>
      <c r="X4" s="191" t="s">
        <v>4864</v>
      </c>
    </row>
    <row r="5" spans="2:24" ht="14.4" thickBot="1">
      <c r="B5" s="172" t="s">
        <v>4788</v>
      </c>
      <c r="C5" s="192" t="s">
        <v>4897</v>
      </c>
      <c r="D5" s="242">
        <v>41193598</v>
      </c>
      <c r="E5" s="278" t="s">
        <v>4898</v>
      </c>
      <c r="F5" s="194">
        <v>50000</v>
      </c>
      <c r="G5" s="195">
        <v>60500</v>
      </c>
      <c r="H5" s="975">
        <v>47349</v>
      </c>
      <c r="I5" s="753"/>
      <c r="J5" s="1269"/>
      <c r="K5" s="1270"/>
      <c r="L5" s="1271"/>
      <c r="M5" s="201"/>
      <c r="N5" s="202"/>
      <c r="O5" s="203"/>
      <c r="P5" s="204"/>
      <c r="Q5" s="1215"/>
      <c r="R5" s="513"/>
      <c r="S5" s="1587">
        <v>45951</v>
      </c>
      <c r="T5" s="1588" t="s">
        <v>6375</v>
      </c>
      <c r="U5" s="1521">
        <f>V5/1.21</f>
        <v>616.24793388429748</v>
      </c>
      <c r="V5" s="1589">
        <v>745.66</v>
      </c>
      <c r="W5" s="247">
        <f>F5-U31</f>
        <v>30879.620247933883</v>
      </c>
      <c r="X5" s="248">
        <f>G5-V31</f>
        <v>36732.840000000011</v>
      </c>
    </row>
    <row r="6" spans="2:24" ht="13.8">
      <c r="B6" s="141"/>
      <c r="C6" s="210"/>
      <c r="D6" s="163"/>
      <c r="E6" s="316"/>
      <c r="F6" s="211"/>
      <c r="G6" s="211"/>
      <c r="H6" s="212"/>
      <c r="I6" s="213"/>
      <c r="J6" s="1272"/>
      <c r="K6" s="1273"/>
      <c r="L6" s="1274"/>
      <c r="M6" s="216"/>
      <c r="N6" s="217"/>
      <c r="O6" s="218"/>
      <c r="P6" s="219"/>
      <c r="Q6" s="759"/>
      <c r="R6" s="303"/>
      <c r="S6" s="1587">
        <v>45981</v>
      </c>
      <c r="T6" s="1588" t="s">
        <v>6376</v>
      </c>
      <c r="U6" s="1521">
        <f t="shared" ref="U6:U27" si="0">V6/1.21</f>
        <v>1704.2479338842975</v>
      </c>
      <c r="V6" s="1589">
        <v>2062.14</v>
      </c>
      <c r="W6" s="973"/>
      <c r="X6" s="973"/>
    </row>
    <row r="7" spans="2:24" ht="13.8">
      <c r="B7" s="141"/>
      <c r="C7" s="210"/>
      <c r="D7" s="163"/>
      <c r="E7" s="316"/>
      <c r="F7" s="211"/>
      <c r="G7" s="211"/>
      <c r="H7" s="212"/>
      <c r="I7" s="213"/>
      <c r="J7" s="1272"/>
      <c r="K7" s="1273"/>
      <c r="L7" s="1274"/>
      <c r="M7" s="216"/>
      <c r="N7" s="217"/>
      <c r="O7" s="218"/>
      <c r="P7" s="219"/>
      <c r="Q7" s="759"/>
      <c r="R7" s="303"/>
      <c r="S7" s="1587">
        <v>45741</v>
      </c>
      <c r="T7" s="1588" t="s">
        <v>6377</v>
      </c>
      <c r="U7" s="1521">
        <f t="shared" si="0"/>
        <v>616.24793388429748</v>
      </c>
      <c r="V7" s="1589">
        <v>745.66</v>
      </c>
      <c r="W7" s="974"/>
      <c r="X7" s="974"/>
    </row>
    <row r="8" spans="2:24" ht="13.8">
      <c r="B8" s="141"/>
      <c r="C8" s="210"/>
      <c r="D8" s="163"/>
      <c r="E8" s="316"/>
      <c r="F8" s="211"/>
      <c r="G8" s="211"/>
      <c r="H8" s="212"/>
      <c r="I8" s="213"/>
      <c r="J8" s="1272"/>
      <c r="K8" s="1273"/>
      <c r="L8" s="1274"/>
      <c r="M8" s="216"/>
      <c r="N8" s="217"/>
      <c r="O8" s="218"/>
      <c r="P8" s="219"/>
      <c r="Q8" s="759"/>
      <c r="R8" s="303"/>
      <c r="S8" s="1587">
        <v>45741</v>
      </c>
      <c r="T8" s="1588" t="s">
        <v>6378</v>
      </c>
      <c r="U8" s="1521">
        <f t="shared" si="0"/>
        <v>616.24793388429748</v>
      </c>
      <c r="V8" s="1589">
        <v>745.66</v>
      </c>
      <c r="W8" s="974"/>
      <c r="X8" s="974"/>
    </row>
    <row r="9" spans="2:24" ht="13.8">
      <c r="B9" s="141"/>
      <c r="C9" s="210"/>
      <c r="D9" s="163"/>
      <c r="E9" s="316"/>
      <c r="F9" s="211"/>
      <c r="G9" s="211"/>
      <c r="H9" s="212"/>
      <c r="I9" s="213"/>
      <c r="J9" s="1272"/>
      <c r="K9" s="1273"/>
      <c r="L9" s="1274"/>
      <c r="M9" s="216"/>
      <c r="N9" s="217"/>
      <c r="O9" s="218"/>
      <c r="P9" s="219"/>
      <c r="Q9" s="759"/>
      <c r="R9" s="303"/>
      <c r="S9" s="1587">
        <v>45770</v>
      </c>
      <c r="T9" s="1588" t="s">
        <v>6379</v>
      </c>
      <c r="U9" s="1521">
        <f t="shared" si="0"/>
        <v>714.85123966942149</v>
      </c>
      <c r="V9" s="1589">
        <v>864.97</v>
      </c>
      <c r="W9" s="974"/>
      <c r="X9" s="974"/>
    </row>
    <row r="10" spans="2:24" ht="13.8">
      <c r="B10" s="141"/>
      <c r="C10" s="210"/>
      <c r="D10" s="163"/>
      <c r="E10" s="316"/>
      <c r="F10" s="211"/>
      <c r="G10" s="211"/>
      <c r="H10" s="212"/>
      <c r="I10" s="213"/>
      <c r="J10" s="1272"/>
      <c r="K10" s="1273"/>
      <c r="L10" s="1274"/>
      <c r="M10" s="216"/>
      <c r="N10" s="217"/>
      <c r="O10" s="218"/>
      <c r="P10" s="219"/>
      <c r="Q10" s="759"/>
      <c r="R10" s="303"/>
      <c r="S10" s="1587">
        <v>45811</v>
      </c>
      <c r="T10" s="1588" t="s">
        <v>6380</v>
      </c>
      <c r="U10" s="1521">
        <f t="shared" si="0"/>
        <v>616.24793388429748</v>
      </c>
      <c r="V10" s="1589">
        <v>745.66</v>
      </c>
      <c r="W10" s="974"/>
      <c r="X10" s="974"/>
    </row>
    <row r="11" spans="2:24" ht="13.8">
      <c r="B11" s="141"/>
      <c r="C11" s="210"/>
      <c r="D11" s="163"/>
      <c r="E11" s="316"/>
      <c r="F11" s="211"/>
      <c r="G11" s="211"/>
      <c r="H11" s="212"/>
      <c r="I11" s="213"/>
      <c r="J11" s="1272"/>
      <c r="K11" s="1273"/>
      <c r="L11" s="1274"/>
      <c r="M11" s="216"/>
      <c r="N11" s="217"/>
      <c r="O11" s="218"/>
      <c r="P11" s="219"/>
      <c r="Q11" s="759"/>
      <c r="R11" s="303"/>
      <c r="S11" s="1587">
        <v>45812</v>
      </c>
      <c r="T11" s="1588" t="s">
        <v>6381</v>
      </c>
      <c r="U11" s="1521">
        <f t="shared" si="0"/>
        <v>536.34710743801656</v>
      </c>
      <c r="V11" s="1589">
        <v>648.98</v>
      </c>
      <c r="W11" s="974"/>
      <c r="X11" s="974"/>
    </row>
    <row r="12" spans="2:24" ht="13.8">
      <c r="B12" s="141"/>
      <c r="C12" s="210"/>
      <c r="D12" s="163"/>
      <c r="E12" s="316"/>
      <c r="F12" s="211"/>
      <c r="G12" s="211"/>
      <c r="H12" s="212"/>
      <c r="I12" s="213"/>
      <c r="J12" s="1272"/>
      <c r="K12" s="1273"/>
      <c r="L12" s="1274"/>
      <c r="M12" s="216"/>
      <c r="N12" s="217"/>
      <c r="O12" s="218"/>
      <c r="P12" s="219"/>
      <c r="Q12" s="759"/>
      <c r="R12" s="303"/>
      <c r="S12" s="1587">
        <v>45817</v>
      </c>
      <c r="T12" s="1588" t="s">
        <v>6382</v>
      </c>
      <c r="U12" s="1521">
        <f t="shared" si="0"/>
        <v>517.65289256198355</v>
      </c>
      <c r="V12" s="1589">
        <v>626.36</v>
      </c>
      <c r="W12" s="974"/>
      <c r="X12" s="974"/>
    </row>
    <row r="13" spans="2:24" ht="13.8">
      <c r="B13" s="141"/>
      <c r="C13" s="210"/>
      <c r="D13" s="163"/>
      <c r="E13" s="316"/>
      <c r="F13" s="211"/>
      <c r="G13" s="211"/>
      <c r="H13" s="212"/>
      <c r="I13" s="213"/>
      <c r="J13" s="1272"/>
      <c r="K13" s="1273"/>
      <c r="L13" s="1274"/>
      <c r="M13" s="216"/>
      <c r="N13" s="217"/>
      <c r="O13" s="218"/>
      <c r="P13" s="219"/>
      <c r="Q13" s="759"/>
      <c r="R13" s="303"/>
      <c r="S13" s="1587">
        <v>45819</v>
      </c>
      <c r="T13" s="1588" t="s">
        <v>6383</v>
      </c>
      <c r="U13" s="1521">
        <f t="shared" si="0"/>
        <v>536.34710743801656</v>
      </c>
      <c r="V13" s="1589">
        <v>648.98</v>
      </c>
      <c r="W13" s="974"/>
      <c r="X13" s="974"/>
    </row>
    <row r="14" spans="2:24" ht="13.8">
      <c r="B14" s="141"/>
      <c r="C14" s="210"/>
      <c r="D14" s="163"/>
      <c r="E14" s="316"/>
      <c r="F14" s="211"/>
      <c r="G14" s="211"/>
      <c r="H14" s="212"/>
      <c r="I14" s="213"/>
      <c r="J14" s="1272"/>
      <c r="K14" s="1273"/>
      <c r="L14" s="1274"/>
      <c r="M14" s="216"/>
      <c r="N14" s="217"/>
      <c r="O14" s="218"/>
      <c r="P14" s="219"/>
      <c r="Q14" s="759"/>
      <c r="R14" s="303"/>
      <c r="S14" s="1587">
        <v>45821</v>
      </c>
      <c r="T14" s="1588" t="s">
        <v>6384</v>
      </c>
      <c r="U14" s="1521">
        <f t="shared" si="0"/>
        <v>536.34710743801656</v>
      </c>
      <c r="V14" s="1589">
        <v>648.98</v>
      </c>
      <c r="W14" s="974"/>
      <c r="X14" s="974"/>
    </row>
    <row r="15" spans="2:24" ht="13.8">
      <c r="B15" s="141"/>
      <c r="C15" s="210"/>
      <c r="D15" s="163"/>
      <c r="E15" s="316"/>
      <c r="F15" s="211"/>
      <c r="G15" s="211"/>
      <c r="H15" s="212"/>
      <c r="I15" s="213"/>
      <c r="J15" s="1272"/>
      <c r="K15" s="1273"/>
      <c r="L15" s="1274"/>
      <c r="M15" s="216"/>
      <c r="N15" s="217"/>
      <c r="O15" s="218"/>
      <c r="P15" s="219"/>
      <c r="Q15" s="759"/>
      <c r="R15" s="303"/>
      <c r="S15" s="1587">
        <v>45824</v>
      </c>
      <c r="T15" s="1588" t="s">
        <v>6385</v>
      </c>
      <c r="U15" s="1521">
        <f t="shared" si="0"/>
        <v>568.65289256198355</v>
      </c>
      <c r="V15" s="1589">
        <v>688.07</v>
      </c>
      <c r="W15" s="974"/>
      <c r="X15" s="974"/>
    </row>
    <row r="16" spans="2:24" ht="13.8">
      <c r="B16" s="141"/>
      <c r="C16" s="210"/>
      <c r="D16" s="163"/>
      <c r="E16" s="316"/>
      <c r="F16" s="211"/>
      <c r="G16" s="211"/>
      <c r="H16" s="212"/>
      <c r="I16" s="213"/>
      <c r="J16" s="1272"/>
      <c r="K16" s="1273"/>
      <c r="L16" s="1274"/>
      <c r="M16" s="216"/>
      <c r="N16" s="217"/>
      <c r="O16" s="218"/>
      <c r="P16" s="219"/>
      <c r="Q16" s="759"/>
      <c r="R16" s="303"/>
      <c r="S16" s="1587">
        <v>45825</v>
      </c>
      <c r="T16" s="1588" t="s">
        <v>6386</v>
      </c>
      <c r="U16" s="1521">
        <f t="shared" si="0"/>
        <v>568.65289256198355</v>
      </c>
      <c r="V16" s="1589">
        <v>688.07</v>
      </c>
      <c r="W16" s="974"/>
      <c r="X16" s="974"/>
    </row>
    <row r="17" spans="2:24" ht="13.8">
      <c r="B17" s="141"/>
      <c r="C17" s="210"/>
      <c r="D17" s="163"/>
      <c r="E17" s="316"/>
      <c r="F17" s="211"/>
      <c r="G17" s="211"/>
      <c r="H17" s="212"/>
      <c r="I17" s="213"/>
      <c r="J17" s="1272"/>
      <c r="K17" s="1273"/>
      <c r="L17" s="1274"/>
      <c r="M17" s="216"/>
      <c r="N17" s="217"/>
      <c r="O17" s="218"/>
      <c r="P17" s="219"/>
      <c r="Q17" s="759"/>
      <c r="R17" s="303"/>
      <c r="S17" s="1587">
        <v>45827</v>
      </c>
      <c r="T17" s="1588" t="s">
        <v>6387</v>
      </c>
      <c r="U17" s="1521">
        <f t="shared" si="0"/>
        <v>437.75206611570246</v>
      </c>
      <c r="V17" s="1589">
        <v>529.67999999999995</v>
      </c>
      <c r="W17" s="974"/>
      <c r="X17" s="974"/>
    </row>
    <row r="18" spans="2:24" ht="13.8">
      <c r="B18" s="141"/>
      <c r="C18" s="210"/>
      <c r="D18" s="163"/>
      <c r="E18" s="316"/>
      <c r="F18" s="211"/>
      <c r="G18" s="211"/>
      <c r="H18" s="212"/>
      <c r="I18" s="213"/>
      <c r="J18" s="1272"/>
      <c r="K18" s="1273"/>
      <c r="L18" s="1274"/>
      <c r="M18" s="216"/>
      <c r="N18" s="217"/>
      <c r="O18" s="218"/>
      <c r="P18" s="219"/>
      <c r="Q18" s="759"/>
      <c r="R18" s="303"/>
      <c r="S18" s="1587">
        <v>45833</v>
      </c>
      <c r="T18" s="1588" t="s">
        <v>6388</v>
      </c>
      <c r="U18" s="1521">
        <f t="shared" si="0"/>
        <v>240.55371900826447</v>
      </c>
      <c r="V18" s="1589">
        <v>291.07</v>
      </c>
      <c r="W18" s="974"/>
      <c r="X18" s="974"/>
    </row>
    <row r="19" spans="2:24" ht="13.8">
      <c r="B19" s="141"/>
      <c r="C19" s="210"/>
      <c r="D19" s="163"/>
      <c r="E19" s="316"/>
      <c r="F19" s="211"/>
      <c r="G19" s="211"/>
      <c r="H19" s="212"/>
      <c r="I19" s="213"/>
      <c r="J19" s="1272"/>
      <c r="K19" s="1273"/>
      <c r="L19" s="1274"/>
      <c r="M19" s="216"/>
      <c r="N19" s="217"/>
      <c r="O19" s="218"/>
      <c r="P19" s="219"/>
      <c r="Q19" s="759"/>
      <c r="R19" s="303"/>
      <c r="S19" s="1587">
        <v>45846</v>
      </c>
      <c r="T19" s="1588" t="s">
        <v>6389</v>
      </c>
      <c r="U19" s="1521">
        <f t="shared" si="0"/>
        <v>98.603305785123965</v>
      </c>
      <c r="V19" s="1589">
        <v>119.31</v>
      </c>
      <c r="W19" s="974"/>
      <c r="X19" s="974"/>
    </row>
    <row r="20" spans="2:24" ht="13.8">
      <c r="B20" s="141"/>
      <c r="C20" s="210"/>
      <c r="D20" s="163"/>
      <c r="E20" s="316"/>
      <c r="F20" s="211"/>
      <c r="G20" s="211"/>
      <c r="H20" s="212"/>
      <c r="I20" s="213"/>
      <c r="J20" s="1272"/>
      <c r="K20" s="1273"/>
      <c r="L20" s="1274"/>
      <c r="M20" s="216"/>
      <c r="N20" s="217"/>
      <c r="O20" s="218"/>
      <c r="P20" s="219"/>
      <c r="Q20" s="759"/>
      <c r="R20" s="303"/>
      <c r="S20" s="1587">
        <v>45849</v>
      </c>
      <c r="T20" s="1588" t="s">
        <v>6390</v>
      </c>
      <c r="U20" s="1521">
        <f t="shared" si="0"/>
        <v>419.04958677685954</v>
      </c>
      <c r="V20" s="1589">
        <v>507.05</v>
      </c>
      <c r="W20" s="974"/>
      <c r="X20" s="974"/>
    </row>
    <row r="21" spans="2:24" ht="13.8">
      <c r="B21" s="141"/>
      <c r="C21" s="210"/>
      <c r="D21" s="163"/>
      <c r="E21" s="316"/>
      <c r="F21" s="211"/>
      <c r="G21" s="211"/>
      <c r="H21" s="212"/>
      <c r="I21" s="213"/>
      <c r="J21" s="1272"/>
      <c r="K21" s="1273"/>
      <c r="L21" s="1274"/>
      <c r="M21" s="216"/>
      <c r="N21" s="217"/>
      <c r="O21" s="218"/>
      <c r="P21" s="219"/>
      <c r="Q21" s="759"/>
      <c r="R21" s="303"/>
      <c r="S21" s="1587">
        <v>45863</v>
      </c>
      <c r="T21" s="1588" t="s">
        <v>6391</v>
      </c>
      <c r="U21" s="1521">
        <f t="shared" si="0"/>
        <v>1536.4297520661157</v>
      </c>
      <c r="V21" s="1589">
        <v>1859.08</v>
      </c>
      <c r="W21" s="974"/>
      <c r="X21" s="974"/>
    </row>
    <row r="22" spans="2:24" ht="13.8">
      <c r="B22" s="141"/>
      <c r="C22" s="210"/>
      <c r="D22" s="163"/>
      <c r="E22" s="316"/>
      <c r="F22" s="211"/>
      <c r="G22" s="211"/>
      <c r="H22" s="212"/>
      <c r="I22" s="213"/>
      <c r="J22" s="1272"/>
      <c r="K22" s="1273"/>
      <c r="L22" s="1274"/>
      <c r="M22" s="216"/>
      <c r="N22" s="217"/>
      <c r="O22" s="218"/>
      <c r="P22" s="219"/>
      <c r="Q22" s="759"/>
      <c r="R22" s="303"/>
      <c r="S22" s="1587">
        <v>45881</v>
      </c>
      <c r="T22" s="1588" t="s">
        <v>6392</v>
      </c>
      <c r="U22" s="1521">
        <f t="shared" si="0"/>
        <v>213.34710743801651</v>
      </c>
      <c r="V22" s="1589">
        <v>258.14999999999998</v>
      </c>
      <c r="W22" s="974"/>
      <c r="X22" s="974"/>
    </row>
    <row r="23" spans="2:24" ht="13.8">
      <c r="B23" s="141"/>
      <c r="C23" s="210"/>
      <c r="D23" s="163"/>
      <c r="E23" s="316"/>
      <c r="F23" s="211"/>
      <c r="G23" s="211"/>
      <c r="H23" s="212"/>
      <c r="I23" s="213"/>
      <c r="J23" s="1272"/>
      <c r="K23" s="1273"/>
      <c r="L23" s="1274"/>
      <c r="M23" s="216"/>
      <c r="N23" s="217"/>
      <c r="O23" s="218"/>
      <c r="P23" s="219"/>
      <c r="Q23" s="759"/>
      <c r="R23" s="303"/>
      <c r="S23" s="1587">
        <v>45898</v>
      </c>
      <c r="T23" s="1588" t="s">
        <v>6393</v>
      </c>
      <c r="U23" s="1521">
        <f t="shared" si="0"/>
        <v>794.75206611570252</v>
      </c>
      <c r="V23" s="1589">
        <v>961.65</v>
      </c>
      <c r="W23" s="974"/>
      <c r="X23" s="974"/>
    </row>
    <row r="24" spans="2:24" ht="13.8">
      <c r="B24" s="141"/>
      <c r="C24" s="210"/>
      <c r="D24" s="163"/>
      <c r="E24" s="316"/>
      <c r="F24" s="211"/>
      <c r="G24" s="211"/>
      <c r="H24" s="212"/>
      <c r="I24" s="213"/>
      <c r="J24" s="1272"/>
      <c r="K24" s="1273"/>
      <c r="L24" s="1274"/>
      <c r="M24" s="216"/>
      <c r="N24" s="217"/>
      <c r="O24" s="218"/>
      <c r="P24" s="219"/>
      <c r="Q24" s="759"/>
      <c r="R24" s="303"/>
      <c r="S24" s="1587">
        <v>45901</v>
      </c>
      <c r="T24" s="1588" t="s">
        <v>6394</v>
      </c>
      <c r="U24" s="1521">
        <f t="shared" si="0"/>
        <v>782</v>
      </c>
      <c r="V24" s="1589">
        <v>946.22</v>
      </c>
      <c r="W24" s="974"/>
      <c r="X24" s="974"/>
    </row>
    <row r="25" spans="2:24" ht="13.8">
      <c r="B25" s="141"/>
      <c r="C25" s="210"/>
      <c r="D25" s="163"/>
      <c r="E25" s="316"/>
      <c r="F25" s="211"/>
      <c r="G25" s="211"/>
      <c r="H25" s="212"/>
      <c r="I25" s="213"/>
      <c r="J25" s="1272"/>
      <c r="K25" s="1273"/>
      <c r="L25" s="1274"/>
      <c r="M25" s="216"/>
      <c r="N25" s="217"/>
      <c r="O25" s="218"/>
      <c r="P25" s="219"/>
      <c r="Q25" s="759"/>
      <c r="R25" s="303"/>
      <c r="S25" s="1587">
        <v>45922</v>
      </c>
      <c r="T25" s="1588" t="s">
        <v>6395</v>
      </c>
      <c r="U25" s="1521">
        <f t="shared" si="0"/>
        <v>240.55371900826447</v>
      </c>
      <c r="V25" s="1589">
        <v>291.07</v>
      </c>
      <c r="W25" s="974"/>
      <c r="X25" s="974"/>
    </row>
    <row r="26" spans="2:24" ht="13.8">
      <c r="B26" s="141"/>
      <c r="C26" s="210"/>
      <c r="D26" s="163"/>
      <c r="E26" s="316"/>
      <c r="F26" s="211"/>
      <c r="G26" s="211"/>
      <c r="H26" s="212"/>
      <c r="I26" s="213"/>
      <c r="J26" s="1272"/>
      <c r="K26" s="1273"/>
      <c r="L26" s="1274"/>
      <c r="M26" s="216"/>
      <c r="N26" s="217"/>
      <c r="O26" s="218"/>
      <c r="P26" s="219"/>
      <c r="Q26" s="759"/>
      <c r="R26" s="303"/>
      <c r="S26" s="1587">
        <v>45923</v>
      </c>
      <c r="T26" s="1588" t="s">
        <v>6396</v>
      </c>
      <c r="U26" s="1521">
        <f t="shared" si="0"/>
        <v>763.29752066115702</v>
      </c>
      <c r="V26" s="1589">
        <v>923.59</v>
      </c>
      <c r="W26" s="974"/>
      <c r="X26" s="974"/>
    </row>
    <row r="27" spans="2:24" ht="13.8">
      <c r="B27" s="141"/>
      <c r="C27" s="210"/>
      <c r="D27" s="163"/>
      <c r="E27" s="210"/>
      <c r="F27" s="211"/>
      <c r="G27" s="211"/>
      <c r="H27" s="212"/>
      <c r="I27" s="213"/>
      <c r="J27" s="1272"/>
      <c r="K27" s="1273"/>
      <c r="L27" s="1274"/>
      <c r="M27" s="216"/>
      <c r="N27" s="217"/>
      <c r="O27" s="218"/>
      <c r="P27" s="219"/>
      <c r="Q27" s="759"/>
      <c r="R27" s="303"/>
      <c r="S27" s="1587">
        <v>45937</v>
      </c>
      <c r="T27" s="1588" t="s">
        <v>6397</v>
      </c>
      <c r="U27" s="1521">
        <f t="shared" si="0"/>
        <v>663</v>
      </c>
      <c r="V27" s="1589">
        <v>802.23</v>
      </c>
      <c r="W27" s="225"/>
      <c r="X27" s="225"/>
    </row>
    <row r="28" spans="2:24">
      <c r="B28" s="141"/>
      <c r="C28" s="210"/>
      <c r="D28" s="163"/>
      <c r="E28" s="210"/>
      <c r="F28" s="211"/>
      <c r="G28" s="211"/>
      <c r="H28" s="212"/>
      <c r="I28" s="213"/>
      <c r="J28" s="1275"/>
      <c r="K28" s="1276"/>
      <c r="L28" s="1277"/>
      <c r="M28" s="575"/>
      <c r="N28" s="755"/>
      <c r="O28" s="828"/>
      <c r="P28" s="756"/>
      <c r="Q28" s="759"/>
      <c r="R28" s="514"/>
      <c r="S28" s="1494">
        <v>46000</v>
      </c>
      <c r="T28" s="1633">
        <v>2000916177</v>
      </c>
      <c r="U28" s="1521">
        <v>2239.75</v>
      </c>
      <c r="V28" s="1530">
        <v>2710.1</v>
      </c>
      <c r="W28" s="225"/>
      <c r="X28" s="225"/>
    </row>
    <row r="29" spans="2:24">
      <c r="B29" s="141"/>
      <c r="C29" s="210"/>
      <c r="D29" s="163"/>
      <c r="E29" s="210"/>
      <c r="F29" s="211"/>
      <c r="G29" s="211"/>
      <c r="H29" s="212"/>
      <c r="I29" s="213"/>
      <c r="J29" s="1278"/>
      <c r="K29" s="1276"/>
      <c r="L29" s="1277"/>
      <c r="M29" s="976"/>
      <c r="N29" s="755"/>
      <c r="O29" s="828"/>
      <c r="P29" s="756"/>
      <c r="Q29" s="759"/>
      <c r="R29" s="514"/>
      <c r="S29" s="1607">
        <v>46000</v>
      </c>
      <c r="T29" s="1522">
        <v>2000911936</v>
      </c>
      <c r="U29" s="1521" t="s">
        <v>6600</v>
      </c>
      <c r="V29" s="1530">
        <v>631.5</v>
      </c>
      <c r="W29" s="225"/>
      <c r="X29" s="225"/>
    </row>
    <row r="30" spans="2:24">
      <c r="B30" s="141"/>
      <c r="C30" s="210"/>
      <c r="D30" s="163"/>
      <c r="E30" s="210"/>
      <c r="F30" s="211"/>
      <c r="G30" s="211"/>
      <c r="H30" s="212"/>
      <c r="I30" s="213"/>
      <c r="J30" s="1279"/>
      <c r="K30" s="1280"/>
      <c r="L30" s="1281"/>
      <c r="M30" s="290"/>
      <c r="N30" s="291"/>
      <c r="O30" s="292"/>
      <c r="P30" s="263"/>
      <c r="Q30" s="264"/>
      <c r="R30" s="515"/>
      <c r="S30" s="1607">
        <v>46000</v>
      </c>
      <c r="T30" s="1522">
        <v>2000914177</v>
      </c>
      <c r="U30" s="1521">
        <v>2543.1999999999998</v>
      </c>
      <c r="V30" s="1530">
        <v>3077.27</v>
      </c>
      <c r="W30" s="225"/>
      <c r="X30" s="225"/>
    </row>
    <row r="31" spans="2:24" ht="13.8" thickBot="1">
      <c r="B31" s="266"/>
      <c r="C31" s="210"/>
      <c r="D31" s="163"/>
      <c r="E31" s="210"/>
      <c r="F31" s="211"/>
      <c r="G31" s="211"/>
      <c r="H31" s="212"/>
      <c r="I31" s="293" t="s">
        <v>4865</v>
      </c>
      <c r="J31" s="1282"/>
      <c r="K31" s="1283"/>
      <c r="L31" s="1284"/>
      <c r="M31" s="270"/>
      <c r="N31" s="296"/>
      <c r="O31" s="297"/>
      <c r="P31" s="298"/>
      <c r="Q31" s="299"/>
      <c r="R31" s="516"/>
      <c r="S31" s="1596"/>
      <c r="T31" s="1597"/>
      <c r="U31" s="611">
        <f>SUM(U5:U30)</f>
        <v>19120.379752066117</v>
      </c>
      <c r="V31" s="611">
        <f>SUM(V5:V30)</f>
        <v>23767.159999999993</v>
      </c>
      <c r="W31" s="225"/>
      <c r="X31" s="225"/>
    </row>
    <row r="32" spans="2:24" s="1632" customFormat="1" ht="14.4" thickBot="1">
      <c r="B32" s="1613" t="s">
        <v>5187</v>
      </c>
      <c r="C32" s="1614" t="s">
        <v>5192</v>
      </c>
      <c r="D32" s="1615">
        <v>28489969</v>
      </c>
      <c r="E32" s="1616" t="s">
        <v>5285</v>
      </c>
      <c r="F32" s="1617">
        <v>1990000</v>
      </c>
      <c r="G32" s="1618">
        <v>2407900</v>
      </c>
      <c r="H32" s="1619">
        <v>46561</v>
      </c>
      <c r="I32" s="1620"/>
      <c r="J32" s="1621"/>
      <c r="K32" s="1622"/>
      <c r="L32" s="1623"/>
      <c r="M32" s="1621"/>
      <c r="N32" s="1622"/>
      <c r="O32" s="1623"/>
      <c r="P32" s="1624"/>
      <c r="Q32" s="1622"/>
      <c r="R32" s="1625"/>
      <c r="S32" s="1626">
        <v>45950</v>
      </c>
      <c r="T32" s="1627" t="s">
        <v>6444</v>
      </c>
      <c r="U32" s="1628">
        <f>V32/1.21</f>
        <v>3356.0000000000005</v>
      </c>
      <c r="V32" s="1629">
        <v>4060.76</v>
      </c>
      <c r="W32" s="1630">
        <f>F32-U177</f>
        <v>1194004</v>
      </c>
      <c r="X32" s="1631">
        <f>G32-V177</f>
        <v>1444744.8399999994</v>
      </c>
    </row>
    <row r="33" spans="2:24" ht="13.8">
      <c r="B33" s="209"/>
      <c r="C33" s="210"/>
      <c r="D33" s="163"/>
      <c r="E33" s="316"/>
      <c r="F33" s="211"/>
      <c r="G33" s="211"/>
      <c r="H33" s="212"/>
      <c r="I33" s="351"/>
      <c r="J33" s="1285"/>
      <c r="K33" s="1273"/>
      <c r="L33" s="1274"/>
      <c r="M33" s="302"/>
      <c r="N33" s="217"/>
      <c r="O33" s="218"/>
      <c r="P33" s="219"/>
      <c r="Q33" s="205"/>
      <c r="R33" s="303"/>
      <c r="S33" s="1605">
        <v>45950</v>
      </c>
      <c r="T33" s="1603" t="s">
        <v>6445</v>
      </c>
      <c r="U33" s="1604">
        <f t="shared" ref="U33:U96" si="1">V33/1.21</f>
        <v>3356.0000000000005</v>
      </c>
      <c r="V33" s="1606">
        <v>4060.76</v>
      </c>
      <c r="W33" s="349"/>
      <c r="X33" s="349"/>
    </row>
    <row r="34" spans="2:24" ht="13.8">
      <c r="B34" s="141"/>
      <c r="C34" s="210"/>
      <c r="D34" s="163"/>
      <c r="E34" s="210"/>
      <c r="F34" s="211"/>
      <c r="G34" s="211"/>
      <c r="H34" s="212"/>
      <c r="I34" s="213"/>
      <c r="J34" s="1285"/>
      <c r="K34" s="1273"/>
      <c r="L34" s="1274"/>
      <c r="M34" s="302"/>
      <c r="N34" s="217"/>
      <c r="O34" s="218"/>
      <c r="P34" s="219"/>
      <c r="Q34" s="205"/>
      <c r="R34" s="303"/>
      <c r="S34" s="1605">
        <v>45952</v>
      </c>
      <c r="T34" s="1603" t="s">
        <v>6446</v>
      </c>
      <c r="U34" s="1604">
        <f t="shared" si="1"/>
        <v>6884</v>
      </c>
      <c r="V34" s="1606">
        <v>8329.64</v>
      </c>
      <c r="W34" s="225"/>
      <c r="X34" s="225"/>
    </row>
    <row r="35" spans="2:24" ht="13.8">
      <c r="B35" s="141"/>
      <c r="C35" s="210"/>
      <c r="D35" s="163"/>
      <c r="E35" s="210"/>
      <c r="F35" s="211"/>
      <c r="G35" s="211"/>
      <c r="H35" s="212"/>
      <c r="I35" s="213"/>
      <c r="J35" s="1285"/>
      <c r="K35" s="1273"/>
      <c r="L35" s="1274"/>
      <c r="M35" s="302"/>
      <c r="N35" s="217"/>
      <c r="O35" s="218"/>
      <c r="P35" s="219"/>
      <c r="Q35" s="205"/>
      <c r="R35" s="303"/>
      <c r="S35" s="1605">
        <v>45959</v>
      </c>
      <c r="T35" s="1603" t="s">
        <v>6447</v>
      </c>
      <c r="U35" s="1604">
        <f t="shared" si="1"/>
        <v>3468</v>
      </c>
      <c r="V35" s="1606">
        <v>4196.28</v>
      </c>
      <c r="W35" s="225"/>
      <c r="X35" s="225"/>
    </row>
    <row r="36" spans="2:24" ht="13.8">
      <c r="B36" s="141"/>
      <c r="C36" s="210"/>
      <c r="D36" s="163"/>
      <c r="E36" s="210"/>
      <c r="F36" s="211"/>
      <c r="G36" s="211"/>
      <c r="H36" s="212"/>
      <c r="I36" s="213"/>
      <c r="J36" s="1285"/>
      <c r="K36" s="1273"/>
      <c r="L36" s="1274"/>
      <c r="M36" s="302"/>
      <c r="N36" s="217"/>
      <c r="O36" s="218"/>
      <c r="P36" s="219"/>
      <c r="Q36" s="205"/>
      <c r="R36" s="303"/>
      <c r="S36" s="1605">
        <v>45959</v>
      </c>
      <c r="T36" s="1603" t="s">
        <v>6448</v>
      </c>
      <c r="U36" s="1604">
        <f t="shared" si="1"/>
        <v>5148</v>
      </c>
      <c r="V36" s="1606">
        <v>6229.08</v>
      </c>
      <c r="W36" s="225"/>
      <c r="X36" s="225"/>
    </row>
    <row r="37" spans="2:24" ht="13.8">
      <c r="B37" s="141"/>
      <c r="C37" s="210"/>
      <c r="D37" s="163"/>
      <c r="E37" s="210"/>
      <c r="F37" s="211"/>
      <c r="G37" s="211"/>
      <c r="H37" s="212"/>
      <c r="I37" s="213"/>
      <c r="J37" s="1285"/>
      <c r="K37" s="1273"/>
      <c r="L37" s="1274"/>
      <c r="M37" s="302"/>
      <c r="N37" s="217"/>
      <c r="O37" s="218"/>
      <c r="P37" s="219"/>
      <c r="Q37" s="205"/>
      <c r="R37" s="303"/>
      <c r="S37" s="1605">
        <v>45959</v>
      </c>
      <c r="T37" s="1603" t="s">
        <v>6449</v>
      </c>
      <c r="U37" s="1604">
        <f t="shared" si="1"/>
        <v>6856</v>
      </c>
      <c r="V37" s="1606">
        <v>8295.76</v>
      </c>
      <c r="W37" s="225"/>
      <c r="X37" s="225"/>
    </row>
    <row r="38" spans="2:24" ht="13.8">
      <c r="B38" s="141"/>
      <c r="C38" s="210"/>
      <c r="D38" s="163"/>
      <c r="E38" s="210"/>
      <c r="F38" s="211"/>
      <c r="G38" s="211"/>
      <c r="H38" s="212"/>
      <c r="I38" s="213"/>
      <c r="J38" s="1285"/>
      <c r="K38" s="1273"/>
      <c r="L38" s="1274"/>
      <c r="M38" s="302"/>
      <c r="N38" s="217"/>
      <c r="O38" s="218"/>
      <c r="P38" s="219"/>
      <c r="Q38" s="205"/>
      <c r="R38" s="303"/>
      <c r="S38" s="1605">
        <v>45959</v>
      </c>
      <c r="T38" s="1603" t="s">
        <v>6450</v>
      </c>
      <c r="U38" s="1604">
        <f t="shared" si="1"/>
        <v>7164.0000000000009</v>
      </c>
      <c r="V38" s="1606">
        <v>8668.44</v>
      </c>
      <c r="W38" s="225"/>
      <c r="X38" s="225"/>
    </row>
    <row r="39" spans="2:24" ht="13.8">
      <c r="B39" s="141"/>
      <c r="C39" s="210"/>
      <c r="D39" s="163"/>
      <c r="E39" s="210"/>
      <c r="F39" s="211"/>
      <c r="G39" s="211"/>
      <c r="H39" s="212"/>
      <c r="I39" s="213"/>
      <c r="J39" s="1285"/>
      <c r="K39" s="1273"/>
      <c r="L39" s="1274"/>
      <c r="M39" s="302"/>
      <c r="N39" s="217"/>
      <c r="O39" s="218"/>
      <c r="P39" s="219"/>
      <c r="Q39" s="205"/>
      <c r="R39" s="303"/>
      <c r="S39" s="1605">
        <v>45964</v>
      </c>
      <c r="T39" s="1603" t="s">
        <v>6451</v>
      </c>
      <c r="U39" s="1604">
        <f t="shared" si="1"/>
        <v>4924</v>
      </c>
      <c r="V39" s="1606">
        <v>5958.04</v>
      </c>
      <c r="W39" s="225"/>
      <c r="X39" s="225"/>
    </row>
    <row r="40" spans="2:24" ht="13.8">
      <c r="B40" s="141"/>
      <c r="C40" s="210"/>
      <c r="D40" s="163"/>
      <c r="E40" s="210"/>
      <c r="F40" s="211"/>
      <c r="G40" s="211"/>
      <c r="H40" s="212"/>
      <c r="I40" s="213"/>
      <c r="J40" s="1285"/>
      <c r="K40" s="1273"/>
      <c r="L40" s="1274"/>
      <c r="M40" s="302"/>
      <c r="N40" s="217"/>
      <c r="O40" s="218"/>
      <c r="P40" s="219"/>
      <c r="Q40" s="205"/>
      <c r="R40" s="303"/>
      <c r="S40" s="1605">
        <v>45964</v>
      </c>
      <c r="T40" s="1603" t="s">
        <v>6452</v>
      </c>
      <c r="U40" s="1604">
        <f t="shared" si="1"/>
        <v>4840</v>
      </c>
      <c r="V40" s="1606">
        <v>5856.4</v>
      </c>
      <c r="W40" s="225"/>
      <c r="X40" s="225"/>
    </row>
    <row r="41" spans="2:24" ht="13.8">
      <c r="B41" s="141"/>
      <c r="C41" s="210"/>
      <c r="D41" s="163"/>
      <c r="E41" s="210"/>
      <c r="F41" s="211"/>
      <c r="G41" s="211"/>
      <c r="H41" s="212"/>
      <c r="I41" s="213"/>
      <c r="J41" s="1285"/>
      <c r="K41" s="1273"/>
      <c r="L41" s="1274"/>
      <c r="M41" s="302"/>
      <c r="N41" s="217"/>
      <c r="O41" s="218"/>
      <c r="P41" s="219"/>
      <c r="Q41" s="205"/>
      <c r="R41" s="303"/>
      <c r="S41" s="1605">
        <v>45971</v>
      </c>
      <c r="T41" s="1603" t="s">
        <v>6453</v>
      </c>
      <c r="U41" s="1604">
        <f t="shared" si="1"/>
        <v>5092</v>
      </c>
      <c r="V41" s="1606">
        <v>6161.32</v>
      </c>
      <c r="W41" s="225"/>
      <c r="X41" s="225"/>
    </row>
    <row r="42" spans="2:24" ht="13.8">
      <c r="B42" s="141"/>
      <c r="C42" s="210"/>
      <c r="D42" s="163"/>
      <c r="E42" s="210"/>
      <c r="F42" s="211"/>
      <c r="G42" s="211"/>
      <c r="H42" s="212"/>
      <c r="I42" s="213"/>
      <c r="J42" s="1285"/>
      <c r="K42" s="1273"/>
      <c r="L42" s="1274"/>
      <c r="M42" s="302"/>
      <c r="N42" s="217"/>
      <c r="O42" s="218"/>
      <c r="P42" s="219"/>
      <c r="Q42" s="205"/>
      <c r="R42" s="303"/>
      <c r="S42" s="1605">
        <v>45973</v>
      </c>
      <c r="T42" s="1603" t="s">
        <v>6454</v>
      </c>
      <c r="U42" s="1604">
        <f t="shared" si="1"/>
        <v>5148</v>
      </c>
      <c r="V42" s="1606">
        <v>6229.08</v>
      </c>
      <c r="W42" s="225"/>
      <c r="X42" s="225"/>
    </row>
    <row r="43" spans="2:24" ht="13.8">
      <c r="B43" s="141"/>
      <c r="C43" s="210"/>
      <c r="D43" s="163"/>
      <c r="E43" s="210"/>
      <c r="F43" s="211"/>
      <c r="G43" s="211"/>
      <c r="H43" s="212"/>
      <c r="I43" s="213"/>
      <c r="J43" s="1285"/>
      <c r="K43" s="1273"/>
      <c r="L43" s="1274"/>
      <c r="M43" s="302"/>
      <c r="N43" s="217"/>
      <c r="O43" s="218"/>
      <c r="P43" s="219"/>
      <c r="Q43" s="205"/>
      <c r="R43" s="303"/>
      <c r="S43" s="1605">
        <v>45973</v>
      </c>
      <c r="T43" s="1603" t="s">
        <v>6455</v>
      </c>
      <c r="U43" s="1604">
        <f t="shared" si="1"/>
        <v>5148</v>
      </c>
      <c r="V43" s="1606">
        <v>6229.08</v>
      </c>
      <c r="W43" s="225"/>
      <c r="X43" s="225"/>
    </row>
    <row r="44" spans="2:24" ht="13.8">
      <c r="B44" s="141"/>
      <c r="C44" s="210"/>
      <c r="D44" s="163"/>
      <c r="E44" s="210"/>
      <c r="F44" s="211"/>
      <c r="G44" s="211"/>
      <c r="H44" s="212"/>
      <c r="I44" s="351"/>
      <c r="J44" s="1286"/>
      <c r="K44" s="1276"/>
      <c r="L44" s="1287"/>
      <c r="M44" s="754"/>
      <c r="N44" s="755"/>
      <c r="O44" s="757"/>
      <c r="P44" s="756"/>
      <c r="Q44" s="281"/>
      <c r="R44" s="1524"/>
      <c r="S44" s="1605">
        <v>45973</v>
      </c>
      <c r="T44" s="1603" t="s">
        <v>6456</v>
      </c>
      <c r="U44" s="1604">
        <f t="shared" si="1"/>
        <v>2936</v>
      </c>
      <c r="V44" s="1606">
        <v>3552.56</v>
      </c>
      <c r="W44" s="225"/>
      <c r="X44" s="225"/>
    </row>
    <row r="45" spans="2:24" ht="13.8">
      <c r="B45" s="141"/>
      <c r="C45" s="210"/>
      <c r="D45" s="163"/>
      <c r="E45" s="210"/>
      <c r="F45" s="211"/>
      <c r="G45" s="211"/>
      <c r="H45" s="212"/>
      <c r="I45" s="351"/>
      <c r="J45" s="1286"/>
      <c r="K45" s="1276"/>
      <c r="L45" s="1287"/>
      <c r="M45" s="754"/>
      <c r="N45" s="755"/>
      <c r="O45" s="757"/>
      <c r="P45" s="756"/>
      <c r="Q45" s="281"/>
      <c r="R45" s="1524"/>
      <c r="S45" s="1605">
        <v>45973</v>
      </c>
      <c r="T45" s="1603" t="s">
        <v>6457</v>
      </c>
      <c r="U45" s="1604">
        <f t="shared" si="1"/>
        <v>6827.9999999999991</v>
      </c>
      <c r="V45" s="1606">
        <v>8261.8799999999992</v>
      </c>
      <c r="W45" s="225"/>
      <c r="X45" s="225"/>
    </row>
    <row r="46" spans="2:24" ht="13.8">
      <c r="B46" s="141"/>
      <c r="C46" s="210"/>
      <c r="D46" s="163"/>
      <c r="E46" s="210"/>
      <c r="F46" s="211"/>
      <c r="G46" s="211"/>
      <c r="H46" s="212"/>
      <c r="I46" s="351"/>
      <c r="J46" s="1286"/>
      <c r="K46" s="1276"/>
      <c r="L46" s="1287"/>
      <c r="M46" s="754"/>
      <c r="N46" s="755"/>
      <c r="O46" s="757"/>
      <c r="P46" s="756"/>
      <c r="Q46" s="281"/>
      <c r="R46" s="1524"/>
      <c r="S46" s="1605">
        <v>45981</v>
      </c>
      <c r="T46" s="1603" t="s">
        <v>6458</v>
      </c>
      <c r="U46" s="1604">
        <f t="shared" si="1"/>
        <v>4924</v>
      </c>
      <c r="V46" s="1606">
        <v>5958.04</v>
      </c>
      <c r="W46" s="225"/>
      <c r="X46" s="225"/>
    </row>
    <row r="47" spans="2:24" ht="13.8">
      <c r="B47" s="141"/>
      <c r="C47" s="210"/>
      <c r="D47" s="163"/>
      <c r="E47" s="210"/>
      <c r="F47" s="211"/>
      <c r="G47" s="211"/>
      <c r="H47" s="212"/>
      <c r="I47" s="351"/>
      <c r="J47" s="1286"/>
      <c r="K47" s="1276"/>
      <c r="L47" s="1287"/>
      <c r="M47" s="754"/>
      <c r="N47" s="755"/>
      <c r="O47" s="757"/>
      <c r="P47" s="756"/>
      <c r="Q47" s="281"/>
      <c r="R47" s="1524"/>
      <c r="S47" s="1605">
        <v>45988</v>
      </c>
      <c r="T47" s="1603" t="s">
        <v>6459</v>
      </c>
      <c r="U47" s="1604">
        <f t="shared" si="1"/>
        <v>6184</v>
      </c>
      <c r="V47" s="1606">
        <v>7482.64</v>
      </c>
      <c r="W47" s="225"/>
      <c r="X47" s="225"/>
    </row>
    <row r="48" spans="2:24" ht="13.8">
      <c r="B48" s="141"/>
      <c r="C48" s="210"/>
      <c r="D48" s="163"/>
      <c r="E48" s="210"/>
      <c r="F48" s="211"/>
      <c r="G48" s="211"/>
      <c r="H48" s="212"/>
      <c r="I48" s="351"/>
      <c r="J48" s="1286"/>
      <c r="K48" s="1276"/>
      <c r="L48" s="1287"/>
      <c r="M48" s="754"/>
      <c r="N48" s="755"/>
      <c r="O48" s="757"/>
      <c r="P48" s="756"/>
      <c r="Q48" s="281"/>
      <c r="R48" s="1524"/>
      <c r="S48" s="1605">
        <v>45988</v>
      </c>
      <c r="T48" s="1603" t="s">
        <v>6460</v>
      </c>
      <c r="U48" s="1604">
        <f t="shared" si="1"/>
        <v>19790</v>
      </c>
      <c r="V48" s="1606">
        <v>23945.9</v>
      </c>
      <c r="W48" s="225"/>
      <c r="X48" s="225"/>
    </row>
    <row r="49" spans="2:24" ht="13.8">
      <c r="B49" s="141"/>
      <c r="C49" s="210"/>
      <c r="D49" s="163"/>
      <c r="E49" s="210"/>
      <c r="F49" s="211"/>
      <c r="G49" s="211"/>
      <c r="H49" s="212"/>
      <c r="I49" s="351"/>
      <c r="J49" s="1286"/>
      <c r="K49" s="1276"/>
      <c r="L49" s="1287"/>
      <c r="M49" s="754"/>
      <c r="N49" s="755"/>
      <c r="O49" s="757"/>
      <c r="P49" s="756"/>
      <c r="Q49" s="281"/>
      <c r="R49" s="1524"/>
      <c r="S49" s="1605">
        <v>45401</v>
      </c>
      <c r="T49" s="1603" t="s">
        <v>6461</v>
      </c>
      <c r="U49" s="1604">
        <f t="shared" si="1"/>
        <v>3860.0000000000005</v>
      </c>
      <c r="V49" s="1606">
        <v>4670.6000000000004</v>
      </c>
      <c r="W49" s="225"/>
      <c r="X49" s="225"/>
    </row>
    <row r="50" spans="2:24" ht="13.8">
      <c r="B50" s="141"/>
      <c r="C50" s="210"/>
      <c r="D50" s="163"/>
      <c r="E50" s="210"/>
      <c r="F50" s="211"/>
      <c r="G50" s="211"/>
      <c r="H50" s="212"/>
      <c r="I50" s="351"/>
      <c r="J50" s="1286"/>
      <c r="K50" s="1276"/>
      <c r="L50" s="1287"/>
      <c r="M50" s="754"/>
      <c r="N50" s="755"/>
      <c r="O50" s="757"/>
      <c r="P50" s="756"/>
      <c r="Q50" s="281"/>
      <c r="R50" s="1524"/>
      <c r="S50" s="1605">
        <v>45666</v>
      </c>
      <c r="T50" s="1603" t="s">
        <v>6462</v>
      </c>
      <c r="U50" s="1604">
        <f t="shared" si="1"/>
        <v>4952</v>
      </c>
      <c r="V50" s="1606">
        <v>5991.92</v>
      </c>
      <c r="W50" s="225"/>
      <c r="X50" s="225"/>
    </row>
    <row r="51" spans="2:24" ht="13.8">
      <c r="B51" s="141"/>
      <c r="C51" s="210"/>
      <c r="D51" s="163"/>
      <c r="E51" s="210"/>
      <c r="F51" s="211"/>
      <c r="G51" s="211"/>
      <c r="H51" s="212"/>
      <c r="I51" s="351"/>
      <c r="J51" s="1286"/>
      <c r="K51" s="1276"/>
      <c r="L51" s="1287"/>
      <c r="M51" s="754"/>
      <c r="N51" s="755"/>
      <c r="O51" s="757"/>
      <c r="P51" s="756"/>
      <c r="Q51" s="281"/>
      <c r="R51" s="1524"/>
      <c r="S51" s="1605">
        <v>45664</v>
      </c>
      <c r="T51" s="1603" t="s">
        <v>6463</v>
      </c>
      <c r="U51" s="1604">
        <f t="shared" si="1"/>
        <v>7696</v>
      </c>
      <c r="V51" s="1606">
        <v>9312.16</v>
      </c>
      <c r="W51" s="225"/>
      <c r="X51" s="225"/>
    </row>
    <row r="52" spans="2:24" ht="13.8">
      <c r="B52" s="141"/>
      <c r="C52" s="210"/>
      <c r="D52" s="163"/>
      <c r="E52" s="210"/>
      <c r="F52" s="211"/>
      <c r="G52" s="211"/>
      <c r="H52" s="212"/>
      <c r="I52" s="351"/>
      <c r="J52" s="1286"/>
      <c r="K52" s="1276"/>
      <c r="L52" s="1287"/>
      <c r="M52" s="754"/>
      <c r="N52" s="755"/>
      <c r="O52" s="757"/>
      <c r="P52" s="756"/>
      <c r="Q52" s="281"/>
      <c r="R52" s="1524"/>
      <c r="S52" s="1605">
        <v>45664</v>
      </c>
      <c r="T52" s="1603" t="s">
        <v>6464</v>
      </c>
      <c r="U52" s="1604">
        <f t="shared" si="1"/>
        <v>4952</v>
      </c>
      <c r="V52" s="1606">
        <v>5991.92</v>
      </c>
      <c r="W52" s="225"/>
      <c r="X52" s="225"/>
    </row>
    <row r="53" spans="2:24" ht="13.8">
      <c r="B53" s="141"/>
      <c r="C53" s="210"/>
      <c r="D53" s="163"/>
      <c r="E53" s="210"/>
      <c r="F53" s="211"/>
      <c r="G53" s="211"/>
      <c r="H53" s="212"/>
      <c r="I53" s="351"/>
      <c r="J53" s="1286"/>
      <c r="K53" s="1276"/>
      <c r="L53" s="1287"/>
      <c r="M53" s="754"/>
      <c r="N53" s="755"/>
      <c r="O53" s="757"/>
      <c r="P53" s="756"/>
      <c r="Q53" s="281"/>
      <c r="R53" s="1524"/>
      <c r="S53" s="1605">
        <v>45664</v>
      </c>
      <c r="T53" s="1603" t="s">
        <v>6465</v>
      </c>
      <c r="U53" s="1604">
        <f t="shared" si="1"/>
        <v>4812.0000000000009</v>
      </c>
      <c r="V53" s="1606">
        <v>5822.52</v>
      </c>
      <c r="W53" s="225"/>
      <c r="X53" s="225"/>
    </row>
    <row r="54" spans="2:24" ht="13.8">
      <c r="B54" s="141"/>
      <c r="C54" s="210"/>
      <c r="D54" s="163"/>
      <c r="E54" s="210"/>
      <c r="F54" s="211"/>
      <c r="G54" s="211"/>
      <c r="H54" s="212"/>
      <c r="I54" s="351"/>
      <c r="J54" s="1286"/>
      <c r="K54" s="1276"/>
      <c r="L54" s="1287"/>
      <c r="M54" s="754"/>
      <c r="N54" s="755"/>
      <c r="O54" s="757"/>
      <c r="P54" s="756"/>
      <c r="Q54" s="281"/>
      <c r="R54" s="1524"/>
      <c r="S54" s="1605">
        <v>45680</v>
      </c>
      <c r="T54" s="1603" t="s">
        <v>6466</v>
      </c>
      <c r="U54" s="1604">
        <f t="shared" si="1"/>
        <v>5372</v>
      </c>
      <c r="V54" s="1606">
        <v>6500.12</v>
      </c>
      <c r="W54" s="225"/>
      <c r="X54" s="225"/>
    </row>
    <row r="55" spans="2:24" ht="13.8">
      <c r="B55" s="141"/>
      <c r="C55" s="210"/>
      <c r="D55" s="163"/>
      <c r="E55" s="210"/>
      <c r="F55" s="211"/>
      <c r="G55" s="211"/>
      <c r="H55" s="212"/>
      <c r="I55" s="351"/>
      <c r="J55" s="1286"/>
      <c r="K55" s="1276"/>
      <c r="L55" s="1287"/>
      <c r="M55" s="754"/>
      <c r="N55" s="755"/>
      <c r="O55" s="757"/>
      <c r="P55" s="756"/>
      <c r="Q55" s="281"/>
      <c r="R55" s="1524"/>
      <c r="S55" s="1605">
        <v>45680</v>
      </c>
      <c r="T55" s="1603" t="s">
        <v>6467</v>
      </c>
      <c r="U55" s="1604">
        <f t="shared" si="1"/>
        <v>7275.9999999999991</v>
      </c>
      <c r="V55" s="1606">
        <v>8803.9599999999991</v>
      </c>
      <c r="W55" s="225"/>
      <c r="X55" s="225"/>
    </row>
    <row r="56" spans="2:24" ht="13.8">
      <c r="B56" s="141"/>
      <c r="C56" s="210"/>
      <c r="D56" s="163"/>
      <c r="E56" s="210"/>
      <c r="F56" s="211"/>
      <c r="G56" s="211"/>
      <c r="H56" s="212"/>
      <c r="I56" s="351"/>
      <c r="J56" s="1286"/>
      <c r="K56" s="1276"/>
      <c r="L56" s="1287"/>
      <c r="M56" s="754"/>
      <c r="N56" s="755"/>
      <c r="O56" s="757"/>
      <c r="P56" s="756"/>
      <c r="Q56" s="281"/>
      <c r="R56" s="1524"/>
      <c r="S56" s="1605">
        <v>45680</v>
      </c>
      <c r="T56" s="1603" t="s">
        <v>6468</v>
      </c>
      <c r="U56" s="1604">
        <f t="shared" si="1"/>
        <v>3468</v>
      </c>
      <c r="V56" s="1606">
        <v>4196.28</v>
      </c>
      <c r="W56" s="225"/>
      <c r="X56" s="225"/>
    </row>
    <row r="57" spans="2:24" ht="13.8">
      <c r="B57" s="141"/>
      <c r="C57" s="210"/>
      <c r="D57" s="163"/>
      <c r="E57" s="210"/>
      <c r="F57" s="211"/>
      <c r="G57" s="211"/>
      <c r="H57" s="212"/>
      <c r="I57" s="351"/>
      <c r="J57" s="1286"/>
      <c r="K57" s="1276"/>
      <c r="L57" s="1287"/>
      <c r="M57" s="754"/>
      <c r="N57" s="755"/>
      <c r="O57" s="757"/>
      <c r="P57" s="756"/>
      <c r="Q57" s="281"/>
      <c r="R57" s="1524"/>
      <c r="S57" s="1605">
        <v>45687</v>
      </c>
      <c r="T57" s="1603" t="s">
        <v>6469</v>
      </c>
      <c r="U57" s="1604">
        <f t="shared" si="1"/>
        <v>6688</v>
      </c>
      <c r="V57" s="1606">
        <v>8092.48</v>
      </c>
      <c r="W57" s="225"/>
      <c r="X57" s="225"/>
    </row>
    <row r="58" spans="2:24" ht="13.8">
      <c r="B58" s="141"/>
      <c r="C58" s="210"/>
      <c r="D58" s="163"/>
      <c r="E58" s="210"/>
      <c r="F58" s="211"/>
      <c r="G58" s="211"/>
      <c r="H58" s="212"/>
      <c r="I58" s="351"/>
      <c r="J58" s="1286"/>
      <c r="K58" s="1276"/>
      <c r="L58" s="1287"/>
      <c r="M58" s="754"/>
      <c r="N58" s="755"/>
      <c r="O58" s="757"/>
      <c r="P58" s="756"/>
      <c r="Q58" s="281"/>
      <c r="R58" s="1524"/>
      <c r="S58" s="1605">
        <v>45693</v>
      </c>
      <c r="T58" s="1603" t="s">
        <v>6470</v>
      </c>
      <c r="U58" s="1604">
        <f t="shared" si="1"/>
        <v>3468</v>
      </c>
      <c r="V58" s="1606">
        <v>4196.28</v>
      </c>
      <c r="W58" s="225"/>
      <c r="X58" s="225"/>
    </row>
    <row r="59" spans="2:24" ht="13.8">
      <c r="B59" s="141"/>
      <c r="C59" s="210"/>
      <c r="D59" s="163"/>
      <c r="E59" s="210"/>
      <c r="F59" s="211"/>
      <c r="G59" s="211"/>
      <c r="H59" s="212"/>
      <c r="I59" s="351"/>
      <c r="J59" s="1286"/>
      <c r="K59" s="1276"/>
      <c r="L59" s="1287"/>
      <c r="M59" s="754"/>
      <c r="N59" s="755"/>
      <c r="O59" s="757"/>
      <c r="P59" s="756"/>
      <c r="Q59" s="281"/>
      <c r="R59" s="1524"/>
      <c r="S59" s="1605">
        <v>45693</v>
      </c>
      <c r="T59" s="1603" t="s">
        <v>6471</v>
      </c>
      <c r="U59" s="1604">
        <f t="shared" si="1"/>
        <v>4980</v>
      </c>
      <c r="V59" s="1606">
        <v>6025.8</v>
      </c>
      <c r="W59" s="225"/>
      <c r="X59" s="225"/>
    </row>
    <row r="60" spans="2:24" ht="13.8">
      <c r="B60" s="141"/>
      <c r="C60" s="210"/>
      <c r="D60" s="163"/>
      <c r="E60" s="210"/>
      <c r="F60" s="211"/>
      <c r="G60" s="211"/>
      <c r="H60" s="212"/>
      <c r="I60" s="351"/>
      <c r="J60" s="1286"/>
      <c r="K60" s="1276"/>
      <c r="L60" s="1287"/>
      <c r="M60" s="754"/>
      <c r="N60" s="755"/>
      <c r="O60" s="757"/>
      <c r="P60" s="756"/>
      <c r="Q60" s="281"/>
      <c r="R60" s="1524"/>
      <c r="S60" s="1605">
        <v>45693</v>
      </c>
      <c r="T60" s="1603" t="s">
        <v>6472</v>
      </c>
      <c r="U60" s="1604">
        <f t="shared" si="1"/>
        <v>4896</v>
      </c>
      <c r="V60" s="1606">
        <v>5924.16</v>
      </c>
      <c r="W60" s="225"/>
      <c r="X60" s="225"/>
    </row>
    <row r="61" spans="2:24" ht="13.8">
      <c r="B61" s="141"/>
      <c r="C61" s="210"/>
      <c r="D61" s="163"/>
      <c r="E61" s="210"/>
      <c r="F61" s="211"/>
      <c r="G61" s="211"/>
      <c r="H61" s="212"/>
      <c r="I61" s="351"/>
      <c r="J61" s="1286"/>
      <c r="K61" s="1276"/>
      <c r="L61" s="1287"/>
      <c r="M61" s="754"/>
      <c r="N61" s="755"/>
      <c r="O61" s="757"/>
      <c r="P61" s="756"/>
      <c r="Q61" s="281"/>
      <c r="R61" s="1524"/>
      <c r="S61" s="1605">
        <v>45707</v>
      </c>
      <c r="T61" s="1603" t="s">
        <v>6473</v>
      </c>
      <c r="U61" s="1604">
        <f t="shared" si="1"/>
        <v>5596</v>
      </c>
      <c r="V61" s="1606">
        <v>6771.16</v>
      </c>
      <c r="W61" s="225"/>
      <c r="X61" s="225"/>
    </row>
    <row r="62" spans="2:24" ht="13.8">
      <c r="B62" s="141"/>
      <c r="C62" s="210"/>
      <c r="D62" s="163"/>
      <c r="E62" s="210"/>
      <c r="F62" s="211"/>
      <c r="G62" s="211"/>
      <c r="H62" s="212"/>
      <c r="I62" s="351"/>
      <c r="J62" s="1286"/>
      <c r="K62" s="1276"/>
      <c r="L62" s="1287"/>
      <c r="M62" s="754"/>
      <c r="N62" s="755"/>
      <c r="O62" s="757"/>
      <c r="P62" s="756"/>
      <c r="Q62" s="281"/>
      <c r="R62" s="1524"/>
      <c r="S62" s="1605">
        <v>45707</v>
      </c>
      <c r="T62" s="1603" t="s">
        <v>6474</v>
      </c>
      <c r="U62" s="1604">
        <f t="shared" si="1"/>
        <v>5708</v>
      </c>
      <c r="V62" s="1606">
        <v>6906.68</v>
      </c>
      <c r="W62" s="225"/>
      <c r="X62" s="225"/>
    </row>
    <row r="63" spans="2:24" ht="13.8">
      <c r="B63" s="141"/>
      <c r="C63" s="210"/>
      <c r="D63" s="163"/>
      <c r="E63" s="210"/>
      <c r="F63" s="211"/>
      <c r="G63" s="211"/>
      <c r="H63" s="212"/>
      <c r="I63" s="351"/>
      <c r="J63" s="1286"/>
      <c r="K63" s="1276"/>
      <c r="L63" s="1287"/>
      <c r="M63" s="754"/>
      <c r="N63" s="755"/>
      <c r="O63" s="757"/>
      <c r="P63" s="756"/>
      <c r="Q63" s="281"/>
      <c r="R63" s="1524"/>
      <c r="S63" s="1605">
        <v>45721</v>
      </c>
      <c r="T63" s="1603" t="s">
        <v>6475</v>
      </c>
      <c r="U63" s="1604">
        <f t="shared" si="1"/>
        <v>14816.000000000002</v>
      </c>
      <c r="V63" s="1606">
        <v>17927.36</v>
      </c>
      <c r="W63" s="225"/>
      <c r="X63" s="225"/>
    </row>
    <row r="64" spans="2:24" ht="13.8">
      <c r="B64" s="141"/>
      <c r="C64" s="210"/>
      <c r="D64" s="163"/>
      <c r="E64" s="210"/>
      <c r="F64" s="211"/>
      <c r="G64" s="211"/>
      <c r="H64" s="212"/>
      <c r="I64" s="351"/>
      <c r="J64" s="1286"/>
      <c r="K64" s="1276"/>
      <c r="L64" s="1287"/>
      <c r="M64" s="754"/>
      <c r="N64" s="755"/>
      <c r="O64" s="757"/>
      <c r="P64" s="756"/>
      <c r="Q64" s="281"/>
      <c r="R64" s="1524"/>
      <c r="S64" s="1605">
        <v>45726</v>
      </c>
      <c r="T64" s="1603" t="s">
        <v>6476</v>
      </c>
      <c r="U64" s="1604">
        <f t="shared" si="1"/>
        <v>6268</v>
      </c>
      <c r="V64" s="1606">
        <v>7584.28</v>
      </c>
      <c r="W64" s="225"/>
      <c r="X64" s="225"/>
    </row>
    <row r="65" spans="2:24" ht="13.8">
      <c r="B65" s="141"/>
      <c r="C65" s="210"/>
      <c r="D65" s="163"/>
      <c r="E65" s="210"/>
      <c r="F65" s="211"/>
      <c r="G65" s="211"/>
      <c r="H65" s="212"/>
      <c r="I65" s="351"/>
      <c r="J65" s="1286"/>
      <c r="K65" s="1276"/>
      <c r="L65" s="1287"/>
      <c r="M65" s="754"/>
      <c r="N65" s="755"/>
      <c r="O65" s="757"/>
      <c r="P65" s="756"/>
      <c r="Q65" s="281"/>
      <c r="R65" s="1524"/>
      <c r="S65" s="1605">
        <v>45726</v>
      </c>
      <c r="T65" s="1603" t="s">
        <v>6477</v>
      </c>
      <c r="U65" s="1604">
        <f t="shared" si="1"/>
        <v>7444</v>
      </c>
      <c r="V65" s="1606">
        <v>9007.24</v>
      </c>
      <c r="W65" s="225"/>
      <c r="X65" s="225"/>
    </row>
    <row r="66" spans="2:24" ht="13.8">
      <c r="B66" s="141"/>
      <c r="C66" s="210"/>
      <c r="D66" s="163"/>
      <c r="E66" s="210"/>
      <c r="F66" s="211"/>
      <c r="G66" s="211"/>
      <c r="H66" s="212"/>
      <c r="I66" s="351"/>
      <c r="J66" s="1286"/>
      <c r="K66" s="1276"/>
      <c r="L66" s="1287"/>
      <c r="M66" s="754"/>
      <c r="N66" s="755"/>
      <c r="O66" s="757"/>
      <c r="P66" s="756"/>
      <c r="Q66" s="281"/>
      <c r="R66" s="1524"/>
      <c r="S66" s="1605">
        <v>45726</v>
      </c>
      <c r="T66" s="1603" t="s">
        <v>6478</v>
      </c>
      <c r="U66" s="1604">
        <f t="shared" si="1"/>
        <v>6120</v>
      </c>
      <c r="V66" s="1606">
        <v>7405.2</v>
      </c>
      <c r="W66" s="225"/>
      <c r="X66" s="225"/>
    </row>
    <row r="67" spans="2:24" ht="13.8">
      <c r="B67" s="141"/>
      <c r="C67" s="210"/>
      <c r="D67" s="163"/>
      <c r="E67" s="210"/>
      <c r="F67" s="211"/>
      <c r="G67" s="211"/>
      <c r="H67" s="212"/>
      <c r="I67" s="351"/>
      <c r="J67" s="1286"/>
      <c r="K67" s="1276"/>
      <c r="L67" s="1287"/>
      <c r="M67" s="754"/>
      <c r="N67" s="755"/>
      <c r="O67" s="757"/>
      <c r="P67" s="756"/>
      <c r="Q67" s="281"/>
      <c r="R67" s="1524"/>
      <c r="S67" s="1605">
        <v>45744</v>
      </c>
      <c r="T67" s="1603" t="s">
        <v>6479</v>
      </c>
      <c r="U67" s="1604">
        <f t="shared" si="1"/>
        <v>6716</v>
      </c>
      <c r="V67" s="1606">
        <v>8126.36</v>
      </c>
      <c r="W67" s="225"/>
      <c r="X67" s="225"/>
    </row>
    <row r="68" spans="2:24" ht="13.8">
      <c r="B68" s="141"/>
      <c r="C68" s="210"/>
      <c r="D68" s="163"/>
      <c r="E68" s="210"/>
      <c r="F68" s="211"/>
      <c r="G68" s="211"/>
      <c r="H68" s="212"/>
      <c r="I68" s="351"/>
      <c r="J68" s="1286"/>
      <c r="K68" s="1276"/>
      <c r="L68" s="1287"/>
      <c r="M68" s="754"/>
      <c r="N68" s="755"/>
      <c r="O68" s="757"/>
      <c r="P68" s="756"/>
      <c r="Q68" s="281"/>
      <c r="R68" s="1524"/>
      <c r="S68" s="1605">
        <v>45744</v>
      </c>
      <c r="T68" s="1603" t="s">
        <v>6480</v>
      </c>
      <c r="U68" s="1604">
        <f t="shared" si="1"/>
        <v>8872.0000000000018</v>
      </c>
      <c r="V68" s="1606">
        <v>10735.12</v>
      </c>
      <c r="W68" s="225"/>
      <c r="X68" s="225"/>
    </row>
    <row r="69" spans="2:24" ht="13.8">
      <c r="B69" s="141"/>
      <c r="C69" s="210"/>
      <c r="D69" s="163"/>
      <c r="E69" s="210"/>
      <c r="F69" s="211"/>
      <c r="G69" s="211"/>
      <c r="H69" s="212"/>
      <c r="I69" s="351"/>
      <c r="J69" s="1286"/>
      <c r="K69" s="1276"/>
      <c r="L69" s="1287"/>
      <c r="M69" s="754"/>
      <c r="N69" s="755"/>
      <c r="O69" s="757"/>
      <c r="P69" s="756"/>
      <c r="Q69" s="281"/>
      <c r="R69" s="1524"/>
      <c r="S69" s="1605">
        <v>45744</v>
      </c>
      <c r="T69" s="1603" t="s">
        <v>6481</v>
      </c>
      <c r="U69" s="1604">
        <f t="shared" si="1"/>
        <v>5232</v>
      </c>
      <c r="V69" s="1606">
        <v>6330.72</v>
      </c>
      <c r="W69" s="225"/>
      <c r="X69" s="225"/>
    </row>
    <row r="70" spans="2:24" ht="13.8">
      <c r="B70" s="141"/>
      <c r="C70" s="210"/>
      <c r="D70" s="163"/>
      <c r="E70" s="210"/>
      <c r="F70" s="211"/>
      <c r="G70" s="211"/>
      <c r="H70" s="212"/>
      <c r="I70" s="351"/>
      <c r="J70" s="1286"/>
      <c r="K70" s="1276"/>
      <c r="L70" s="1287"/>
      <c r="M70" s="754"/>
      <c r="N70" s="755"/>
      <c r="O70" s="757"/>
      <c r="P70" s="756"/>
      <c r="Q70" s="281"/>
      <c r="R70" s="1524"/>
      <c r="S70" s="1605">
        <v>45747</v>
      </c>
      <c r="T70" s="1603" t="s">
        <v>6482</v>
      </c>
      <c r="U70" s="1604">
        <f t="shared" si="1"/>
        <v>7416.0000000000009</v>
      </c>
      <c r="V70" s="1606">
        <v>8973.36</v>
      </c>
      <c r="W70" s="225"/>
      <c r="X70" s="225"/>
    </row>
    <row r="71" spans="2:24" ht="13.8">
      <c r="B71" s="141"/>
      <c r="C71" s="210"/>
      <c r="D71" s="163"/>
      <c r="E71" s="210"/>
      <c r="F71" s="211"/>
      <c r="G71" s="211"/>
      <c r="H71" s="212"/>
      <c r="I71" s="351"/>
      <c r="J71" s="1286"/>
      <c r="K71" s="1276"/>
      <c r="L71" s="1287"/>
      <c r="M71" s="754"/>
      <c r="N71" s="755"/>
      <c r="O71" s="757"/>
      <c r="P71" s="756"/>
      <c r="Q71" s="281"/>
      <c r="R71" s="1524"/>
      <c r="S71" s="1605">
        <v>45744</v>
      </c>
      <c r="T71" s="1603" t="s">
        <v>6483</v>
      </c>
      <c r="U71" s="1604">
        <f t="shared" si="1"/>
        <v>7108</v>
      </c>
      <c r="V71" s="1606">
        <v>8600.68</v>
      </c>
      <c r="W71" s="225"/>
      <c r="X71" s="225"/>
    </row>
    <row r="72" spans="2:24" ht="13.8">
      <c r="B72" s="141"/>
      <c r="C72" s="210"/>
      <c r="D72" s="163"/>
      <c r="E72" s="210"/>
      <c r="F72" s="211"/>
      <c r="G72" s="211"/>
      <c r="H72" s="212"/>
      <c r="I72" s="351"/>
      <c r="J72" s="1286"/>
      <c r="K72" s="1276"/>
      <c r="L72" s="1287"/>
      <c r="M72" s="754"/>
      <c r="N72" s="755"/>
      <c r="O72" s="757"/>
      <c r="P72" s="756"/>
      <c r="Q72" s="281"/>
      <c r="R72" s="1524"/>
      <c r="S72" s="1605">
        <v>45748</v>
      </c>
      <c r="T72" s="1603" t="s">
        <v>6484</v>
      </c>
      <c r="U72" s="1604">
        <f t="shared" si="1"/>
        <v>7612.0000000000009</v>
      </c>
      <c r="V72" s="1606">
        <v>9210.52</v>
      </c>
      <c r="W72" s="225"/>
      <c r="X72" s="225"/>
    </row>
    <row r="73" spans="2:24" ht="13.8">
      <c r="B73" s="141"/>
      <c r="C73" s="210"/>
      <c r="D73" s="163"/>
      <c r="E73" s="210"/>
      <c r="F73" s="211"/>
      <c r="G73" s="211"/>
      <c r="H73" s="212"/>
      <c r="I73" s="351"/>
      <c r="J73" s="1286"/>
      <c r="K73" s="1276"/>
      <c r="L73" s="1287"/>
      <c r="M73" s="754"/>
      <c r="N73" s="755"/>
      <c r="O73" s="757"/>
      <c r="P73" s="756"/>
      <c r="Q73" s="281"/>
      <c r="R73" s="1524"/>
      <c r="S73" s="1605">
        <v>45748</v>
      </c>
      <c r="T73" s="1603" t="s">
        <v>6485</v>
      </c>
      <c r="U73" s="1604">
        <f t="shared" si="1"/>
        <v>9572.0000000000018</v>
      </c>
      <c r="V73" s="1606">
        <v>11582.12</v>
      </c>
      <c r="W73" s="225"/>
      <c r="X73" s="225"/>
    </row>
    <row r="74" spans="2:24" ht="13.8">
      <c r="B74" s="141"/>
      <c r="C74" s="210"/>
      <c r="D74" s="163"/>
      <c r="E74" s="210"/>
      <c r="F74" s="211"/>
      <c r="G74" s="211"/>
      <c r="H74" s="212"/>
      <c r="I74" s="351"/>
      <c r="J74" s="1286"/>
      <c r="K74" s="1276"/>
      <c r="L74" s="1287"/>
      <c r="M74" s="754"/>
      <c r="N74" s="755"/>
      <c r="O74" s="757"/>
      <c r="P74" s="756"/>
      <c r="Q74" s="281"/>
      <c r="R74" s="1524"/>
      <c r="S74" s="1605">
        <v>45749</v>
      </c>
      <c r="T74" s="1603" t="s">
        <v>6486</v>
      </c>
      <c r="U74" s="1604">
        <f t="shared" si="1"/>
        <v>5820</v>
      </c>
      <c r="V74" s="1606">
        <v>7042.2</v>
      </c>
      <c r="W74" s="225"/>
      <c r="X74" s="225"/>
    </row>
    <row r="75" spans="2:24" ht="13.8">
      <c r="B75" s="141"/>
      <c r="C75" s="210"/>
      <c r="D75" s="163"/>
      <c r="E75" s="210"/>
      <c r="F75" s="211"/>
      <c r="G75" s="211"/>
      <c r="H75" s="212"/>
      <c r="I75" s="351"/>
      <c r="J75" s="1286"/>
      <c r="K75" s="1276"/>
      <c r="L75" s="1287"/>
      <c r="M75" s="754"/>
      <c r="N75" s="755"/>
      <c r="O75" s="757"/>
      <c r="P75" s="756"/>
      <c r="Q75" s="281"/>
      <c r="R75" s="1524"/>
      <c r="S75" s="1605">
        <v>45749</v>
      </c>
      <c r="T75" s="1603" t="s">
        <v>6487</v>
      </c>
      <c r="U75" s="1604">
        <f t="shared" si="1"/>
        <v>6044</v>
      </c>
      <c r="V75" s="1606">
        <v>7313.24</v>
      </c>
      <c r="W75" s="225"/>
      <c r="X75" s="225"/>
    </row>
    <row r="76" spans="2:24" ht="13.8">
      <c r="B76" s="141"/>
      <c r="C76" s="210"/>
      <c r="D76" s="163"/>
      <c r="E76" s="210"/>
      <c r="F76" s="211"/>
      <c r="G76" s="211"/>
      <c r="H76" s="212"/>
      <c r="I76" s="351"/>
      <c r="J76" s="1286"/>
      <c r="K76" s="1276"/>
      <c r="L76" s="1287"/>
      <c r="M76" s="754"/>
      <c r="N76" s="755"/>
      <c r="O76" s="757"/>
      <c r="P76" s="756"/>
      <c r="Q76" s="281"/>
      <c r="R76" s="1524"/>
      <c r="S76" s="1605">
        <v>45751</v>
      </c>
      <c r="T76" s="1603" t="s">
        <v>6488</v>
      </c>
      <c r="U76" s="1604">
        <f t="shared" si="1"/>
        <v>6376</v>
      </c>
      <c r="V76" s="1606">
        <v>7714.96</v>
      </c>
      <c r="W76" s="225"/>
      <c r="X76" s="225"/>
    </row>
    <row r="77" spans="2:24" ht="13.8">
      <c r="B77" s="141"/>
      <c r="C77" s="210"/>
      <c r="D77" s="163"/>
      <c r="E77" s="210"/>
      <c r="F77" s="211"/>
      <c r="G77" s="211"/>
      <c r="H77" s="212"/>
      <c r="I77" s="351"/>
      <c r="J77" s="1286"/>
      <c r="K77" s="1276"/>
      <c r="L77" s="1287"/>
      <c r="M77" s="754"/>
      <c r="N77" s="755"/>
      <c r="O77" s="757"/>
      <c r="P77" s="756"/>
      <c r="Q77" s="281"/>
      <c r="R77" s="1524"/>
      <c r="S77" s="1605">
        <v>45751</v>
      </c>
      <c r="T77" s="1603" t="s">
        <v>6489</v>
      </c>
      <c r="U77" s="1604">
        <f t="shared" si="1"/>
        <v>4924</v>
      </c>
      <c r="V77" s="1606">
        <v>5958.04</v>
      </c>
      <c r="W77" s="225"/>
      <c r="X77" s="225"/>
    </row>
    <row r="78" spans="2:24" ht="13.8">
      <c r="B78" s="141"/>
      <c r="C78" s="210"/>
      <c r="D78" s="163"/>
      <c r="E78" s="210"/>
      <c r="F78" s="211"/>
      <c r="G78" s="211"/>
      <c r="H78" s="212"/>
      <c r="I78" s="351"/>
      <c r="J78" s="1286"/>
      <c r="K78" s="1276"/>
      <c r="L78" s="1287"/>
      <c r="M78" s="754"/>
      <c r="N78" s="755"/>
      <c r="O78" s="757"/>
      <c r="P78" s="756"/>
      <c r="Q78" s="281"/>
      <c r="R78" s="1524"/>
      <c r="S78" s="1605">
        <v>45761</v>
      </c>
      <c r="T78" s="1603" t="s">
        <v>6490</v>
      </c>
      <c r="U78" s="1604">
        <f t="shared" si="1"/>
        <v>4896</v>
      </c>
      <c r="V78" s="1606">
        <v>5924.16</v>
      </c>
      <c r="W78" s="225"/>
      <c r="X78" s="225"/>
    </row>
    <row r="79" spans="2:24" ht="13.8">
      <c r="B79" s="141"/>
      <c r="C79" s="210"/>
      <c r="D79" s="163"/>
      <c r="E79" s="210"/>
      <c r="F79" s="211"/>
      <c r="G79" s="211"/>
      <c r="H79" s="212"/>
      <c r="I79" s="351"/>
      <c r="J79" s="1286"/>
      <c r="K79" s="1276"/>
      <c r="L79" s="1287"/>
      <c r="M79" s="754"/>
      <c r="N79" s="755"/>
      <c r="O79" s="757"/>
      <c r="P79" s="756"/>
      <c r="Q79" s="281"/>
      <c r="R79" s="1524"/>
      <c r="S79" s="1605">
        <v>45771</v>
      </c>
      <c r="T79" s="1603" t="s">
        <v>6491</v>
      </c>
      <c r="U79" s="1604">
        <f t="shared" si="1"/>
        <v>4896</v>
      </c>
      <c r="V79" s="1606">
        <v>5924.16</v>
      </c>
      <c r="W79" s="225"/>
      <c r="X79" s="225"/>
    </row>
    <row r="80" spans="2:24" ht="13.8">
      <c r="B80" s="141"/>
      <c r="C80" s="210"/>
      <c r="D80" s="163"/>
      <c r="E80" s="210"/>
      <c r="F80" s="211"/>
      <c r="G80" s="211"/>
      <c r="H80" s="212"/>
      <c r="I80" s="351"/>
      <c r="J80" s="1286"/>
      <c r="K80" s="1276"/>
      <c r="L80" s="1287"/>
      <c r="M80" s="754"/>
      <c r="N80" s="755"/>
      <c r="O80" s="757"/>
      <c r="P80" s="756"/>
      <c r="Q80" s="281"/>
      <c r="R80" s="1524"/>
      <c r="S80" s="1605">
        <v>45771</v>
      </c>
      <c r="T80" s="1603" t="s">
        <v>6492</v>
      </c>
      <c r="U80" s="1604">
        <f t="shared" si="1"/>
        <v>5176</v>
      </c>
      <c r="V80" s="1606">
        <v>6262.96</v>
      </c>
      <c r="W80" s="225"/>
      <c r="X80" s="225"/>
    </row>
    <row r="81" spans="2:24" ht="13.8">
      <c r="B81" s="141"/>
      <c r="C81" s="210"/>
      <c r="D81" s="163"/>
      <c r="E81" s="210"/>
      <c r="F81" s="211"/>
      <c r="G81" s="211"/>
      <c r="H81" s="212"/>
      <c r="I81" s="351"/>
      <c r="J81" s="1286"/>
      <c r="K81" s="1276"/>
      <c r="L81" s="1287"/>
      <c r="M81" s="754"/>
      <c r="N81" s="755"/>
      <c r="O81" s="757"/>
      <c r="P81" s="756"/>
      <c r="Q81" s="281"/>
      <c r="R81" s="1524"/>
      <c r="S81" s="1605">
        <v>45771</v>
      </c>
      <c r="T81" s="1603" t="s">
        <v>6493</v>
      </c>
      <c r="U81" s="1604">
        <f t="shared" si="1"/>
        <v>4896</v>
      </c>
      <c r="V81" s="1606">
        <v>5924.16</v>
      </c>
      <c r="W81" s="225"/>
      <c r="X81" s="225"/>
    </row>
    <row r="82" spans="2:24" ht="13.8">
      <c r="B82" s="141"/>
      <c r="C82" s="210"/>
      <c r="D82" s="163"/>
      <c r="E82" s="210"/>
      <c r="F82" s="211"/>
      <c r="G82" s="211"/>
      <c r="H82" s="212"/>
      <c r="I82" s="351"/>
      <c r="J82" s="1286"/>
      <c r="K82" s="1276"/>
      <c r="L82" s="1287"/>
      <c r="M82" s="754"/>
      <c r="N82" s="755"/>
      <c r="O82" s="757"/>
      <c r="P82" s="756"/>
      <c r="Q82" s="281"/>
      <c r="R82" s="1524"/>
      <c r="S82" s="1605">
        <v>45771</v>
      </c>
      <c r="T82" s="1603" t="s">
        <v>6494</v>
      </c>
      <c r="U82" s="1604">
        <f t="shared" si="1"/>
        <v>3468</v>
      </c>
      <c r="V82" s="1606">
        <v>4196.28</v>
      </c>
      <c r="W82" s="225"/>
      <c r="X82" s="225"/>
    </row>
    <row r="83" spans="2:24" ht="13.8">
      <c r="B83" s="141"/>
      <c r="C83" s="210"/>
      <c r="D83" s="163"/>
      <c r="E83" s="210"/>
      <c r="F83" s="211"/>
      <c r="G83" s="211"/>
      <c r="H83" s="212"/>
      <c r="I83" s="351"/>
      <c r="J83" s="1286"/>
      <c r="K83" s="1276"/>
      <c r="L83" s="1287"/>
      <c r="M83" s="754"/>
      <c r="N83" s="755"/>
      <c r="O83" s="757"/>
      <c r="P83" s="756"/>
      <c r="Q83" s="281"/>
      <c r="R83" s="1524"/>
      <c r="S83" s="1605">
        <v>45771</v>
      </c>
      <c r="T83" s="1603" t="s">
        <v>6495</v>
      </c>
      <c r="U83" s="1604">
        <f t="shared" si="1"/>
        <v>7164.0000000000009</v>
      </c>
      <c r="V83" s="1606">
        <v>8668.44</v>
      </c>
      <c r="W83" s="225"/>
      <c r="X83" s="225"/>
    </row>
    <row r="84" spans="2:24" ht="13.8">
      <c r="B84" s="141"/>
      <c r="C84" s="210"/>
      <c r="D84" s="163"/>
      <c r="E84" s="210"/>
      <c r="F84" s="211"/>
      <c r="G84" s="211"/>
      <c r="H84" s="212"/>
      <c r="I84" s="351"/>
      <c r="J84" s="1286"/>
      <c r="K84" s="1276"/>
      <c r="L84" s="1287"/>
      <c r="M84" s="754"/>
      <c r="N84" s="755"/>
      <c r="O84" s="757"/>
      <c r="P84" s="756"/>
      <c r="Q84" s="281"/>
      <c r="R84" s="1524"/>
      <c r="S84" s="1605">
        <v>45771</v>
      </c>
      <c r="T84" s="1603" t="s">
        <v>6496</v>
      </c>
      <c r="U84" s="1604">
        <f t="shared" si="1"/>
        <v>4924</v>
      </c>
      <c r="V84" s="1606">
        <v>5958.04</v>
      </c>
      <c r="W84" s="225"/>
      <c r="X84" s="225"/>
    </row>
    <row r="85" spans="2:24" ht="13.8">
      <c r="B85" s="141"/>
      <c r="C85" s="210"/>
      <c r="D85" s="163"/>
      <c r="E85" s="210"/>
      <c r="F85" s="211"/>
      <c r="G85" s="211"/>
      <c r="H85" s="212"/>
      <c r="I85" s="351"/>
      <c r="J85" s="1286"/>
      <c r="K85" s="1276"/>
      <c r="L85" s="1287"/>
      <c r="M85" s="754"/>
      <c r="N85" s="755"/>
      <c r="O85" s="757"/>
      <c r="P85" s="756"/>
      <c r="Q85" s="281"/>
      <c r="R85" s="1524"/>
      <c r="S85" s="1605">
        <v>45771</v>
      </c>
      <c r="T85" s="1603" t="s">
        <v>6497</v>
      </c>
      <c r="U85" s="1604">
        <f t="shared" si="1"/>
        <v>2628</v>
      </c>
      <c r="V85" s="1606">
        <v>3179.88</v>
      </c>
      <c r="W85" s="225"/>
      <c r="X85" s="225"/>
    </row>
    <row r="86" spans="2:24" ht="13.8">
      <c r="B86" s="141"/>
      <c r="C86" s="210"/>
      <c r="D86" s="163"/>
      <c r="E86" s="210"/>
      <c r="F86" s="211"/>
      <c r="G86" s="211"/>
      <c r="H86" s="212"/>
      <c r="I86" s="351"/>
      <c r="J86" s="1286"/>
      <c r="K86" s="1276"/>
      <c r="L86" s="1287"/>
      <c r="M86" s="754"/>
      <c r="N86" s="755"/>
      <c r="O86" s="757"/>
      <c r="P86" s="756"/>
      <c r="Q86" s="281"/>
      <c r="R86" s="1524"/>
      <c r="S86" s="1605">
        <v>45771</v>
      </c>
      <c r="T86" s="1603" t="s">
        <v>6498</v>
      </c>
      <c r="U86" s="1604">
        <f t="shared" si="1"/>
        <v>8088</v>
      </c>
      <c r="V86" s="1606">
        <v>9786.48</v>
      </c>
      <c r="W86" s="225"/>
      <c r="X86" s="225"/>
    </row>
    <row r="87" spans="2:24" ht="13.8">
      <c r="B87" s="141"/>
      <c r="C87" s="210"/>
      <c r="D87" s="163"/>
      <c r="E87" s="210"/>
      <c r="F87" s="211"/>
      <c r="G87" s="211"/>
      <c r="H87" s="212"/>
      <c r="I87" s="351"/>
      <c r="J87" s="1286"/>
      <c r="K87" s="1276"/>
      <c r="L87" s="1287"/>
      <c r="M87" s="754"/>
      <c r="N87" s="755"/>
      <c r="O87" s="757"/>
      <c r="P87" s="756"/>
      <c r="Q87" s="281"/>
      <c r="R87" s="1524"/>
      <c r="S87" s="1605">
        <v>45771</v>
      </c>
      <c r="T87" s="1603" t="s">
        <v>6499</v>
      </c>
      <c r="U87" s="1604">
        <f t="shared" si="1"/>
        <v>6128</v>
      </c>
      <c r="V87" s="1606">
        <v>7414.88</v>
      </c>
      <c r="W87" s="225"/>
      <c r="X87" s="225"/>
    </row>
    <row r="88" spans="2:24" ht="13.8">
      <c r="B88" s="141"/>
      <c r="C88" s="210"/>
      <c r="D88" s="163"/>
      <c r="E88" s="210"/>
      <c r="F88" s="211"/>
      <c r="G88" s="211"/>
      <c r="H88" s="212"/>
      <c r="I88" s="351"/>
      <c r="J88" s="1286"/>
      <c r="K88" s="1276"/>
      <c r="L88" s="1287"/>
      <c r="M88" s="754"/>
      <c r="N88" s="755"/>
      <c r="O88" s="757"/>
      <c r="P88" s="756"/>
      <c r="Q88" s="281"/>
      <c r="R88" s="1524"/>
      <c r="S88" s="1605">
        <v>45771</v>
      </c>
      <c r="T88" s="1603" t="s">
        <v>6500</v>
      </c>
      <c r="U88" s="1604">
        <f t="shared" si="1"/>
        <v>5764</v>
      </c>
      <c r="V88" s="1606">
        <v>6974.44</v>
      </c>
      <c r="W88" s="225"/>
      <c r="X88" s="225"/>
    </row>
    <row r="89" spans="2:24" ht="13.8">
      <c r="B89" s="141"/>
      <c r="C89" s="210"/>
      <c r="D89" s="163"/>
      <c r="E89" s="210"/>
      <c r="F89" s="211"/>
      <c r="G89" s="211"/>
      <c r="H89" s="212"/>
      <c r="I89" s="351"/>
      <c r="J89" s="1286"/>
      <c r="K89" s="1276"/>
      <c r="L89" s="1287"/>
      <c r="M89" s="754"/>
      <c r="N89" s="755"/>
      <c r="O89" s="757"/>
      <c r="P89" s="756"/>
      <c r="Q89" s="281"/>
      <c r="R89" s="1524"/>
      <c r="S89" s="1605">
        <v>45772</v>
      </c>
      <c r="T89" s="1603" t="s">
        <v>6501</v>
      </c>
      <c r="U89" s="1604">
        <f t="shared" si="1"/>
        <v>4700</v>
      </c>
      <c r="V89" s="1606">
        <v>5687</v>
      </c>
      <c r="W89" s="225"/>
      <c r="X89" s="225"/>
    </row>
    <row r="90" spans="2:24" ht="13.8">
      <c r="B90" s="141"/>
      <c r="C90" s="210"/>
      <c r="D90" s="163"/>
      <c r="E90" s="210"/>
      <c r="F90" s="211"/>
      <c r="G90" s="211"/>
      <c r="H90" s="212"/>
      <c r="I90" s="351"/>
      <c r="J90" s="1286"/>
      <c r="K90" s="1276"/>
      <c r="L90" s="1287"/>
      <c r="M90" s="754"/>
      <c r="N90" s="755"/>
      <c r="O90" s="757"/>
      <c r="P90" s="756"/>
      <c r="Q90" s="281"/>
      <c r="R90" s="1524"/>
      <c r="S90" s="1605">
        <v>45775</v>
      </c>
      <c r="T90" s="1603" t="s">
        <v>6502</v>
      </c>
      <c r="U90" s="1604">
        <f t="shared" si="1"/>
        <v>7024.0000000000009</v>
      </c>
      <c r="V90" s="1606">
        <v>8499.0400000000009</v>
      </c>
      <c r="W90" s="225"/>
      <c r="X90" s="225"/>
    </row>
    <row r="91" spans="2:24" ht="13.8">
      <c r="B91" s="141"/>
      <c r="C91" s="210"/>
      <c r="D91" s="163"/>
      <c r="E91" s="210"/>
      <c r="F91" s="211"/>
      <c r="G91" s="211"/>
      <c r="H91" s="212"/>
      <c r="I91" s="351"/>
      <c r="J91" s="1286"/>
      <c r="K91" s="1276"/>
      <c r="L91" s="1287"/>
      <c r="M91" s="754"/>
      <c r="N91" s="755"/>
      <c r="O91" s="757"/>
      <c r="P91" s="756"/>
      <c r="Q91" s="281"/>
      <c r="R91" s="1524"/>
      <c r="S91" s="1605">
        <v>45776</v>
      </c>
      <c r="T91" s="1603" t="s">
        <v>6503</v>
      </c>
      <c r="U91" s="1604">
        <f t="shared" si="1"/>
        <v>8502</v>
      </c>
      <c r="V91" s="1606">
        <v>10287.42</v>
      </c>
      <c r="W91" s="225"/>
      <c r="X91" s="225"/>
    </row>
    <row r="92" spans="2:24" ht="13.8">
      <c r="B92" s="141"/>
      <c r="C92" s="210"/>
      <c r="D92" s="163"/>
      <c r="E92" s="210"/>
      <c r="F92" s="211"/>
      <c r="G92" s="211"/>
      <c r="H92" s="212"/>
      <c r="I92" s="351"/>
      <c r="J92" s="1286"/>
      <c r="K92" s="1276"/>
      <c r="L92" s="1287"/>
      <c r="M92" s="754"/>
      <c r="N92" s="755"/>
      <c r="O92" s="757"/>
      <c r="P92" s="756"/>
      <c r="Q92" s="281"/>
      <c r="R92" s="1524"/>
      <c r="S92" s="1605">
        <v>45782</v>
      </c>
      <c r="T92" s="1603" t="s">
        <v>6504</v>
      </c>
      <c r="U92" s="1604">
        <f t="shared" si="1"/>
        <v>5876</v>
      </c>
      <c r="V92" s="1606">
        <v>7109.96</v>
      </c>
      <c r="W92" s="225"/>
      <c r="X92" s="225"/>
    </row>
    <row r="93" spans="2:24" ht="13.8">
      <c r="B93" s="141"/>
      <c r="C93" s="210"/>
      <c r="D93" s="163"/>
      <c r="E93" s="210"/>
      <c r="F93" s="211"/>
      <c r="G93" s="211"/>
      <c r="H93" s="212"/>
      <c r="I93" s="351"/>
      <c r="J93" s="1286"/>
      <c r="K93" s="1276"/>
      <c r="L93" s="1287"/>
      <c r="M93" s="754"/>
      <c r="N93" s="755"/>
      <c r="O93" s="757"/>
      <c r="P93" s="756"/>
      <c r="Q93" s="281"/>
      <c r="R93" s="1524"/>
      <c r="S93" s="1605">
        <v>45782</v>
      </c>
      <c r="T93" s="1603" t="s">
        <v>6505</v>
      </c>
      <c r="U93" s="1604">
        <f t="shared" si="1"/>
        <v>1760</v>
      </c>
      <c r="V93" s="1606">
        <v>2129.6</v>
      </c>
      <c r="W93" s="225"/>
      <c r="X93" s="225"/>
    </row>
    <row r="94" spans="2:24" ht="13.8">
      <c r="B94" s="141"/>
      <c r="C94" s="210"/>
      <c r="D94" s="163"/>
      <c r="E94" s="210"/>
      <c r="F94" s="211"/>
      <c r="G94" s="211"/>
      <c r="H94" s="212"/>
      <c r="I94" s="351"/>
      <c r="J94" s="1286"/>
      <c r="K94" s="1276"/>
      <c r="L94" s="1287"/>
      <c r="M94" s="754"/>
      <c r="N94" s="755"/>
      <c r="O94" s="757"/>
      <c r="P94" s="756"/>
      <c r="Q94" s="281"/>
      <c r="R94" s="1524"/>
      <c r="S94" s="1605">
        <v>45789</v>
      </c>
      <c r="T94" s="1603" t="s">
        <v>6506</v>
      </c>
      <c r="U94" s="1604">
        <f t="shared" si="1"/>
        <v>3608.0000000000005</v>
      </c>
      <c r="V94" s="1606">
        <v>4365.68</v>
      </c>
      <c r="W94" s="225"/>
      <c r="X94" s="225"/>
    </row>
    <row r="95" spans="2:24" ht="13.8">
      <c r="B95" s="141"/>
      <c r="C95" s="210"/>
      <c r="D95" s="163"/>
      <c r="E95" s="210"/>
      <c r="F95" s="211"/>
      <c r="G95" s="211"/>
      <c r="H95" s="212"/>
      <c r="I95" s="351"/>
      <c r="J95" s="1286"/>
      <c r="K95" s="1276"/>
      <c r="L95" s="1287"/>
      <c r="M95" s="754"/>
      <c r="N95" s="755"/>
      <c r="O95" s="757"/>
      <c r="P95" s="756"/>
      <c r="Q95" s="281"/>
      <c r="R95" s="1524"/>
      <c r="S95" s="1605">
        <v>45789</v>
      </c>
      <c r="T95" s="1603" t="s">
        <v>6507</v>
      </c>
      <c r="U95" s="1604">
        <f t="shared" si="1"/>
        <v>6156</v>
      </c>
      <c r="V95" s="1606">
        <v>7448.76</v>
      </c>
      <c r="W95" s="225"/>
      <c r="X95" s="225"/>
    </row>
    <row r="96" spans="2:24" ht="13.8">
      <c r="B96" s="141"/>
      <c r="C96" s="210"/>
      <c r="D96" s="163"/>
      <c r="E96" s="210"/>
      <c r="F96" s="211"/>
      <c r="G96" s="211"/>
      <c r="H96" s="212"/>
      <c r="I96" s="351"/>
      <c r="J96" s="1286"/>
      <c r="K96" s="1276"/>
      <c r="L96" s="1287"/>
      <c r="M96" s="754"/>
      <c r="N96" s="755"/>
      <c r="O96" s="757"/>
      <c r="P96" s="756"/>
      <c r="Q96" s="281"/>
      <c r="R96" s="1524"/>
      <c r="S96" s="1605">
        <v>45791</v>
      </c>
      <c r="T96" s="1603" t="s">
        <v>6508</v>
      </c>
      <c r="U96" s="1604">
        <f t="shared" si="1"/>
        <v>5036.0000000000009</v>
      </c>
      <c r="V96" s="1606">
        <v>6093.56</v>
      </c>
      <c r="W96" s="225"/>
      <c r="X96" s="225"/>
    </row>
    <row r="97" spans="2:24" ht="13.8">
      <c r="B97" s="141"/>
      <c r="C97" s="210"/>
      <c r="D97" s="163"/>
      <c r="E97" s="210"/>
      <c r="F97" s="211"/>
      <c r="G97" s="211"/>
      <c r="H97" s="212"/>
      <c r="I97" s="351"/>
      <c r="J97" s="1286"/>
      <c r="K97" s="1276"/>
      <c r="L97" s="1287"/>
      <c r="M97" s="754"/>
      <c r="N97" s="755"/>
      <c r="O97" s="757"/>
      <c r="P97" s="756"/>
      <c r="Q97" s="281"/>
      <c r="R97" s="1524"/>
      <c r="S97" s="1605">
        <v>45796</v>
      </c>
      <c r="T97" s="1603" t="s">
        <v>6509</v>
      </c>
      <c r="U97" s="1604">
        <f t="shared" ref="U97:U160" si="2">V97/1.21</f>
        <v>9092</v>
      </c>
      <c r="V97" s="1606">
        <v>11001.32</v>
      </c>
      <c r="W97" s="225"/>
      <c r="X97" s="225"/>
    </row>
    <row r="98" spans="2:24" ht="13.8">
      <c r="B98" s="141"/>
      <c r="C98" s="210"/>
      <c r="D98" s="163"/>
      <c r="E98" s="210"/>
      <c r="F98" s="211"/>
      <c r="G98" s="211"/>
      <c r="H98" s="212"/>
      <c r="I98" s="351"/>
      <c r="J98" s="1286"/>
      <c r="K98" s="1276"/>
      <c r="L98" s="1287"/>
      <c r="M98" s="754"/>
      <c r="N98" s="755"/>
      <c r="O98" s="757"/>
      <c r="P98" s="756"/>
      <c r="Q98" s="281"/>
      <c r="R98" s="1524"/>
      <c r="S98" s="1605">
        <v>45798</v>
      </c>
      <c r="T98" s="1603" t="s">
        <v>6510</v>
      </c>
      <c r="U98" s="1604">
        <f t="shared" si="2"/>
        <v>6716</v>
      </c>
      <c r="V98" s="1606">
        <v>8126.36</v>
      </c>
      <c r="W98" s="225"/>
      <c r="X98" s="225"/>
    </row>
    <row r="99" spans="2:24" ht="13.8">
      <c r="B99" s="141"/>
      <c r="C99" s="210"/>
      <c r="D99" s="163"/>
      <c r="E99" s="210"/>
      <c r="F99" s="211"/>
      <c r="G99" s="211"/>
      <c r="H99" s="212"/>
      <c r="I99" s="351"/>
      <c r="J99" s="1286"/>
      <c r="K99" s="1276"/>
      <c r="L99" s="1287"/>
      <c r="M99" s="754"/>
      <c r="N99" s="755"/>
      <c r="O99" s="757"/>
      <c r="P99" s="756"/>
      <c r="Q99" s="281"/>
      <c r="R99" s="1524"/>
      <c r="S99" s="1605">
        <v>45803</v>
      </c>
      <c r="T99" s="1603" t="s">
        <v>6511</v>
      </c>
      <c r="U99" s="1604">
        <f t="shared" si="2"/>
        <v>6772.0000000000009</v>
      </c>
      <c r="V99" s="1606">
        <v>8194.1200000000008</v>
      </c>
      <c r="W99" s="225"/>
      <c r="X99" s="225"/>
    </row>
    <row r="100" spans="2:24" ht="13.8">
      <c r="B100" s="141"/>
      <c r="C100" s="210"/>
      <c r="D100" s="163"/>
      <c r="E100" s="210"/>
      <c r="F100" s="211"/>
      <c r="G100" s="211"/>
      <c r="H100" s="212"/>
      <c r="I100" s="351"/>
      <c r="J100" s="1286"/>
      <c r="K100" s="1276"/>
      <c r="L100" s="1287"/>
      <c r="M100" s="754"/>
      <c r="N100" s="755"/>
      <c r="O100" s="757"/>
      <c r="P100" s="756"/>
      <c r="Q100" s="281"/>
      <c r="R100" s="1524"/>
      <c r="S100" s="1605">
        <v>45807</v>
      </c>
      <c r="T100" s="1603" t="s">
        <v>6512</v>
      </c>
      <c r="U100" s="1604">
        <f t="shared" si="2"/>
        <v>5988</v>
      </c>
      <c r="V100" s="1606">
        <v>7245.48</v>
      </c>
      <c r="W100" s="225"/>
      <c r="X100" s="225"/>
    </row>
    <row r="101" spans="2:24" ht="13.8">
      <c r="B101" s="141"/>
      <c r="C101" s="210"/>
      <c r="D101" s="163"/>
      <c r="E101" s="210"/>
      <c r="F101" s="211"/>
      <c r="G101" s="211"/>
      <c r="H101" s="212"/>
      <c r="I101" s="351"/>
      <c r="J101" s="1286"/>
      <c r="K101" s="1276"/>
      <c r="L101" s="1287"/>
      <c r="M101" s="754"/>
      <c r="N101" s="755"/>
      <c r="O101" s="757"/>
      <c r="P101" s="756"/>
      <c r="Q101" s="281"/>
      <c r="R101" s="1524"/>
      <c r="S101" s="1605">
        <v>45812</v>
      </c>
      <c r="T101" s="1603" t="s">
        <v>6513</v>
      </c>
      <c r="U101" s="1604">
        <f t="shared" si="2"/>
        <v>6912.0000000000009</v>
      </c>
      <c r="V101" s="1606">
        <v>8363.52</v>
      </c>
      <c r="W101" s="225"/>
      <c r="X101" s="225"/>
    </row>
    <row r="102" spans="2:24" ht="13.8">
      <c r="B102" s="141"/>
      <c r="C102" s="210"/>
      <c r="D102" s="163"/>
      <c r="E102" s="210"/>
      <c r="F102" s="211"/>
      <c r="G102" s="211"/>
      <c r="H102" s="212"/>
      <c r="I102" s="351"/>
      <c r="J102" s="1286"/>
      <c r="K102" s="1276"/>
      <c r="L102" s="1287"/>
      <c r="M102" s="754"/>
      <c r="N102" s="755"/>
      <c r="O102" s="757"/>
      <c r="P102" s="756"/>
      <c r="Q102" s="281"/>
      <c r="R102" s="1524"/>
      <c r="S102" s="1605">
        <v>45812</v>
      </c>
      <c r="T102" s="1603" t="s">
        <v>6514</v>
      </c>
      <c r="U102" s="1604">
        <f t="shared" si="2"/>
        <v>3272</v>
      </c>
      <c r="V102" s="1606">
        <v>3959.12</v>
      </c>
      <c r="W102" s="225"/>
      <c r="X102" s="225"/>
    </row>
    <row r="103" spans="2:24" ht="13.8">
      <c r="B103" s="141"/>
      <c r="C103" s="210"/>
      <c r="D103" s="163"/>
      <c r="E103" s="210"/>
      <c r="F103" s="211"/>
      <c r="G103" s="211"/>
      <c r="H103" s="212"/>
      <c r="I103" s="351"/>
      <c r="J103" s="1286"/>
      <c r="K103" s="1276"/>
      <c r="L103" s="1287"/>
      <c r="M103" s="754"/>
      <c r="N103" s="755"/>
      <c r="O103" s="757"/>
      <c r="P103" s="756"/>
      <c r="Q103" s="281"/>
      <c r="R103" s="1524"/>
      <c r="S103" s="1605">
        <v>45812</v>
      </c>
      <c r="T103" s="1603" t="s">
        <v>6515</v>
      </c>
      <c r="U103" s="1604">
        <f t="shared" si="2"/>
        <v>4224</v>
      </c>
      <c r="V103" s="1606">
        <v>5111.04</v>
      </c>
      <c r="W103" s="225"/>
      <c r="X103" s="225"/>
    </row>
    <row r="104" spans="2:24" ht="13.8">
      <c r="B104" s="141"/>
      <c r="C104" s="210"/>
      <c r="D104" s="163"/>
      <c r="E104" s="210"/>
      <c r="F104" s="211"/>
      <c r="G104" s="211"/>
      <c r="H104" s="212"/>
      <c r="I104" s="351"/>
      <c r="J104" s="1286"/>
      <c r="K104" s="1276"/>
      <c r="L104" s="1287"/>
      <c r="M104" s="754"/>
      <c r="N104" s="755"/>
      <c r="O104" s="757"/>
      <c r="P104" s="756"/>
      <c r="Q104" s="281"/>
      <c r="R104" s="1524"/>
      <c r="S104" s="1605">
        <v>45812</v>
      </c>
      <c r="T104" s="1603" t="s">
        <v>6516</v>
      </c>
      <c r="U104" s="1604">
        <f t="shared" si="2"/>
        <v>4896</v>
      </c>
      <c r="V104" s="1606">
        <v>5924.16</v>
      </c>
      <c r="W104" s="225"/>
      <c r="X104" s="225"/>
    </row>
    <row r="105" spans="2:24" ht="13.8">
      <c r="B105" s="141"/>
      <c r="C105" s="210"/>
      <c r="D105" s="163"/>
      <c r="E105" s="210"/>
      <c r="F105" s="211"/>
      <c r="G105" s="211"/>
      <c r="H105" s="212"/>
      <c r="I105" s="351"/>
      <c r="J105" s="1286"/>
      <c r="K105" s="1276"/>
      <c r="L105" s="1287"/>
      <c r="M105" s="754"/>
      <c r="N105" s="755"/>
      <c r="O105" s="757"/>
      <c r="P105" s="756"/>
      <c r="Q105" s="281"/>
      <c r="R105" s="1524"/>
      <c r="S105" s="1605">
        <v>45814</v>
      </c>
      <c r="T105" s="1603" t="s">
        <v>6517</v>
      </c>
      <c r="U105" s="1604">
        <f t="shared" si="2"/>
        <v>5428</v>
      </c>
      <c r="V105" s="1606">
        <v>6567.88</v>
      </c>
      <c r="W105" s="225"/>
      <c r="X105" s="225"/>
    </row>
    <row r="106" spans="2:24" ht="13.8">
      <c r="B106" s="141"/>
      <c r="C106" s="210"/>
      <c r="D106" s="163"/>
      <c r="E106" s="210"/>
      <c r="F106" s="211"/>
      <c r="G106" s="211"/>
      <c r="H106" s="212"/>
      <c r="I106" s="351"/>
      <c r="J106" s="1286"/>
      <c r="K106" s="1276"/>
      <c r="L106" s="1287"/>
      <c r="M106" s="754"/>
      <c r="N106" s="755"/>
      <c r="O106" s="757"/>
      <c r="P106" s="756"/>
      <c r="Q106" s="281"/>
      <c r="R106" s="1524"/>
      <c r="S106" s="1605">
        <v>45814</v>
      </c>
      <c r="T106" s="1603" t="s">
        <v>6518</v>
      </c>
      <c r="U106" s="1604">
        <f t="shared" si="2"/>
        <v>7192</v>
      </c>
      <c r="V106" s="1606">
        <v>8702.32</v>
      </c>
      <c r="W106" s="225"/>
      <c r="X106" s="225"/>
    </row>
    <row r="107" spans="2:24" ht="13.8">
      <c r="B107" s="141"/>
      <c r="C107" s="210"/>
      <c r="D107" s="163"/>
      <c r="E107" s="210"/>
      <c r="F107" s="211"/>
      <c r="G107" s="211"/>
      <c r="H107" s="212"/>
      <c r="I107" s="351"/>
      <c r="J107" s="1286"/>
      <c r="K107" s="1276"/>
      <c r="L107" s="1287"/>
      <c r="M107" s="754"/>
      <c r="N107" s="755"/>
      <c r="O107" s="757"/>
      <c r="P107" s="756"/>
      <c r="Q107" s="281"/>
      <c r="R107" s="1524"/>
      <c r="S107" s="1605">
        <v>45814</v>
      </c>
      <c r="T107" s="1603" t="s">
        <v>6519</v>
      </c>
      <c r="U107" s="1604">
        <f t="shared" si="2"/>
        <v>6884</v>
      </c>
      <c r="V107" s="1606">
        <v>8329.64</v>
      </c>
      <c r="W107" s="225"/>
      <c r="X107" s="225"/>
    </row>
    <row r="108" spans="2:24" ht="13.8">
      <c r="B108" s="141"/>
      <c r="C108" s="210"/>
      <c r="D108" s="163"/>
      <c r="E108" s="210"/>
      <c r="F108" s="211"/>
      <c r="G108" s="211"/>
      <c r="H108" s="212"/>
      <c r="I108" s="351"/>
      <c r="J108" s="1286"/>
      <c r="K108" s="1276"/>
      <c r="L108" s="1287"/>
      <c r="M108" s="754"/>
      <c r="N108" s="755"/>
      <c r="O108" s="757"/>
      <c r="P108" s="756"/>
      <c r="Q108" s="281"/>
      <c r="R108" s="1524"/>
      <c r="S108" s="1605">
        <v>45814</v>
      </c>
      <c r="T108" s="1603" t="s">
        <v>6520</v>
      </c>
      <c r="U108" s="1604">
        <f t="shared" si="2"/>
        <v>5596</v>
      </c>
      <c r="V108" s="1606">
        <v>6771.16</v>
      </c>
      <c r="W108" s="225"/>
      <c r="X108" s="225"/>
    </row>
    <row r="109" spans="2:24" ht="13.8">
      <c r="B109" s="141"/>
      <c r="C109" s="210"/>
      <c r="D109" s="163"/>
      <c r="E109" s="210"/>
      <c r="F109" s="211"/>
      <c r="G109" s="211"/>
      <c r="H109" s="212"/>
      <c r="I109" s="351"/>
      <c r="J109" s="1286"/>
      <c r="K109" s="1276"/>
      <c r="L109" s="1287"/>
      <c r="M109" s="754"/>
      <c r="N109" s="755"/>
      <c r="O109" s="757"/>
      <c r="P109" s="756"/>
      <c r="Q109" s="281"/>
      <c r="R109" s="1524"/>
      <c r="S109" s="1605">
        <v>45818</v>
      </c>
      <c r="T109" s="1603" t="s">
        <v>6521</v>
      </c>
      <c r="U109" s="1604">
        <f t="shared" si="2"/>
        <v>6520</v>
      </c>
      <c r="V109" s="1606">
        <v>7889.2</v>
      </c>
      <c r="W109" s="225"/>
      <c r="X109" s="225"/>
    </row>
    <row r="110" spans="2:24" ht="13.8">
      <c r="B110" s="141"/>
      <c r="C110" s="210"/>
      <c r="D110" s="163"/>
      <c r="E110" s="210"/>
      <c r="F110" s="211"/>
      <c r="G110" s="211"/>
      <c r="H110" s="212"/>
      <c r="I110" s="351"/>
      <c r="J110" s="1286"/>
      <c r="K110" s="1276"/>
      <c r="L110" s="1287"/>
      <c r="M110" s="754"/>
      <c r="N110" s="755"/>
      <c r="O110" s="757"/>
      <c r="P110" s="756"/>
      <c r="Q110" s="281"/>
      <c r="R110" s="1524"/>
      <c r="S110" s="1605">
        <v>45820</v>
      </c>
      <c r="T110" s="1603" t="s">
        <v>6522</v>
      </c>
      <c r="U110" s="1604">
        <f t="shared" si="2"/>
        <v>7775.9999999999991</v>
      </c>
      <c r="V110" s="1606">
        <v>9408.9599999999991</v>
      </c>
      <c r="W110" s="225"/>
      <c r="X110" s="225"/>
    </row>
    <row r="111" spans="2:24" ht="13.8">
      <c r="B111" s="141"/>
      <c r="C111" s="210"/>
      <c r="D111" s="163"/>
      <c r="E111" s="210"/>
      <c r="F111" s="211"/>
      <c r="G111" s="211"/>
      <c r="H111" s="212"/>
      <c r="I111" s="351"/>
      <c r="J111" s="1286"/>
      <c r="K111" s="1276"/>
      <c r="L111" s="1287"/>
      <c r="M111" s="754"/>
      <c r="N111" s="755"/>
      <c r="O111" s="757"/>
      <c r="P111" s="756"/>
      <c r="Q111" s="281"/>
      <c r="R111" s="1524"/>
      <c r="S111" s="1605">
        <v>45824</v>
      </c>
      <c r="T111" s="1603" t="s">
        <v>6523</v>
      </c>
      <c r="U111" s="1604">
        <f t="shared" si="2"/>
        <v>7052</v>
      </c>
      <c r="V111" s="1606">
        <v>8532.92</v>
      </c>
      <c r="W111" s="225"/>
      <c r="X111" s="225"/>
    </row>
    <row r="112" spans="2:24" ht="13.8">
      <c r="B112" s="141"/>
      <c r="C112" s="210"/>
      <c r="D112" s="163"/>
      <c r="E112" s="210"/>
      <c r="F112" s="211"/>
      <c r="G112" s="211"/>
      <c r="H112" s="212"/>
      <c r="I112" s="351"/>
      <c r="J112" s="1286"/>
      <c r="K112" s="1276"/>
      <c r="L112" s="1287"/>
      <c r="M112" s="754"/>
      <c r="N112" s="755"/>
      <c r="O112" s="757"/>
      <c r="P112" s="756"/>
      <c r="Q112" s="281"/>
      <c r="R112" s="1524"/>
      <c r="S112" s="1605">
        <v>45825</v>
      </c>
      <c r="T112" s="1603" t="s">
        <v>6524</v>
      </c>
      <c r="U112" s="1604">
        <f t="shared" si="2"/>
        <v>2768.0000000000005</v>
      </c>
      <c r="V112" s="1606">
        <v>3349.28</v>
      </c>
      <c r="W112" s="225"/>
      <c r="X112" s="225"/>
    </row>
    <row r="113" spans="2:24" ht="13.8">
      <c r="B113" s="141"/>
      <c r="C113" s="210"/>
      <c r="D113" s="163"/>
      <c r="E113" s="210"/>
      <c r="F113" s="211"/>
      <c r="G113" s="211"/>
      <c r="H113" s="212"/>
      <c r="I113" s="351"/>
      <c r="J113" s="1286"/>
      <c r="K113" s="1276"/>
      <c r="L113" s="1287"/>
      <c r="M113" s="754"/>
      <c r="N113" s="755"/>
      <c r="O113" s="757"/>
      <c r="P113" s="756"/>
      <c r="Q113" s="281"/>
      <c r="R113" s="1524"/>
      <c r="S113" s="1605">
        <v>45827</v>
      </c>
      <c r="T113" s="1603" t="s">
        <v>6525</v>
      </c>
      <c r="U113" s="1604">
        <f t="shared" si="2"/>
        <v>4924</v>
      </c>
      <c r="V113" s="1606">
        <v>5958.04</v>
      </c>
      <c r="W113" s="225"/>
      <c r="X113" s="225"/>
    </row>
    <row r="114" spans="2:24" ht="13.8">
      <c r="B114" s="141"/>
      <c r="C114" s="210"/>
      <c r="D114" s="163"/>
      <c r="E114" s="210"/>
      <c r="F114" s="211"/>
      <c r="G114" s="211"/>
      <c r="H114" s="212"/>
      <c r="I114" s="351"/>
      <c r="J114" s="1286"/>
      <c r="K114" s="1276"/>
      <c r="L114" s="1287"/>
      <c r="M114" s="754"/>
      <c r="N114" s="755"/>
      <c r="O114" s="757"/>
      <c r="P114" s="756"/>
      <c r="Q114" s="281"/>
      <c r="R114" s="1524"/>
      <c r="S114" s="1605">
        <v>45845</v>
      </c>
      <c r="T114" s="1603" t="s">
        <v>6526</v>
      </c>
      <c r="U114" s="1604">
        <f t="shared" si="2"/>
        <v>5960.0000000000009</v>
      </c>
      <c r="V114" s="1606">
        <v>7211.6</v>
      </c>
      <c r="W114" s="225"/>
      <c r="X114" s="225"/>
    </row>
    <row r="115" spans="2:24" ht="13.8">
      <c r="B115" s="141"/>
      <c r="C115" s="210"/>
      <c r="D115" s="163"/>
      <c r="E115" s="210"/>
      <c r="F115" s="211"/>
      <c r="G115" s="211"/>
      <c r="H115" s="212"/>
      <c r="I115" s="351"/>
      <c r="J115" s="1286"/>
      <c r="K115" s="1276"/>
      <c r="L115" s="1287"/>
      <c r="M115" s="754"/>
      <c r="N115" s="755"/>
      <c r="O115" s="757"/>
      <c r="P115" s="756"/>
      <c r="Q115" s="281"/>
      <c r="R115" s="1524"/>
      <c r="S115" s="1605">
        <v>45845</v>
      </c>
      <c r="T115" s="1603" t="s">
        <v>6527</v>
      </c>
      <c r="U115" s="1604">
        <f t="shared" si="2"/>
        <v>4896</v>
      </c>
      <c r="V115" s="1606">
        <v>5924.16</v>
      </c>
      <c r="W115" s="225"/>
      <c r="X115" s="225"/>
    </row>
    <row r="116" spans="2:24" ht="13.8">
      <c r="B116" s="141"/>
      <c r="C116" s="210"/>
      <c r="D116" s="163"/>
      <c r="E116" s="210"/>
      <c r="F116" s="211"/>
      <c r="G116" s="211"/>
      <c r="H116" s="212"/>
      <c r="I116" s="351"/>
      <c r="J116" s="1286"/>
      <c r="K116" s="1276"/>
      <c r="L116" s="1287"/>
      <c r="M116" s="754"/>
      <c r="N116" s="755"/>
      <c r="O116" s="757"/>
      <c r="P116" s="756"/>
      <c r="Q116" s="281"/>
      <c r="R116" s="1524"/>
      <c r="S116" s="1605">
        <v>45846</v>
      </c>
      <c r="T116" s="1603" t="s">
        <v>6528</v>
      </c>
      <c r="U116" s="1604">
        <f t="shared" si="2"/>
        <v>5820</v>
      </c>
      <c r="V116" s="1606">
        <v>7042.2</v>
      </c>
      <c r="W116" s="225"/>
      <c r="X116" s="225"/>
    </row>
    <row r="117" spans="2:24" ht="13.8">
      <c r="B117" s="141"/>
      <c r="C117" s="210"/>
      <c r="D117" s="163"/>
      <c r="E117" s="210"/>
      <c r="F117" s="211"/>
      <c r="G117" s="211"/>
      <c r="H117" s="212"/>
      <c r="I117" s="351"/>
      <c r="J117" s="1286"/>
      <c r="K117" s="1276"/>
      <c r="L117" s="1287"/>
      <c r="M117" s="754"/>
      <c r="N117" s="755"/>
      <c r="O117" s="757"/>
      <c r="P117" s="756"/>
      <c r="Q117" s="281"/>
      <c r="R117" s="1524"/>
      <c r="S117" s="1605">
        <v>45846</v>
      </c>
      <c r="T117" s="1603" t="s">
        <v>6529</v>
      </c>
      <c r="U117" s="1604">
        <f t="shared" si="2"/>
        <v>4700</v>
      </c>
      <c r="V117" s="1606">
        <v>5687</v>
      </c>
      <c r="W117" s="225"/>
      <c r="X117" s="225"/>
    </row>
    <row r="118" spans="2:24" ht="13.8">
      <c r="B118" s="141"/>
      <c r="C118" s="210"/>
      <c r="D118" s="163"/>
      <c r="E118" s="210"/>
      <c r="F118" s="211"/>
      <c r="G118" s="211"/>
      <c r="H118" s="212"/>
      <c r="I118" s="351"/>
      <c r="J118" s="1286"/>
      <c r="K118" s="1276"/>
      <c r="L118" s="1287"/>
      <c r="M118" s="754"/>
      <c r="N118" s="755"/>
      <c r="O118" s="757"/>
      <c r="P118" s="756"/>
      <c r="Q118" s="281"/>
      <c r="R118" s="1524"/>
      <c r="S118" s="1605">
        <v>45847</v>
      </c>
      <c r="T118" s="1603" t="s">
        <v>6530</v>
      </c>
      <c r="U118" s="1604">
        <f t="shared" si="2"/>
        <v>3440</v>
      </c>
      <c r="V118" s="1606">
        <v>4162.3999999999996</v>
      </c>
      <c r="W118" s="225"/>
      <c r="X118" s="225"/>
    </row>
    <row r="119" spans="2:24" ht="13.8">
      <c r="B119" s="141"/>
      <c r="C119" s="210"/>
      <c r="D119" s="163"/>
      <c r="E119" s="210"/>
      <c r="F119" s="211"/>
      <c r="G119" s="211"/>
      <c r="H119" s="212"/>
      <c r="I119" s="351"/>
      <c r="J119" s="1286"/>
      <c r="K119" s="1276"/>
      <c r="L119" s="1287"/>
      <c r="M119" s="754"/>
      <c r="N119" s="755"/>
      <c r="O119" s="757"/>
      <c r="P119" s="756"/>
      <c r="Q119" s="281"/>
      <c r="R119" s="1524"/>
      <c r="S119" s="1605">
        <v>45847</v>
      </c>
      <c r="T119" s="1603" t="s">
        <v>6531</v>
      </c>
      <c r="U119" s="1604">
        <f t="shared" si="2"/>
        <v>5960.0000000000009</v>
      </c>
      <c r="V119" s="1606">
        <v>7211.6</v>
      </c>
      <c r="W119" s="225"/>
      <c r="X119" s="225"/>
    </row>
    <row r="120" spans="2:24" ht="13.8">
      <c r="B120" s="141"/>
      <c r="C120" s="210"/>
      <c r="D120" s="163"/>
      <c r="E120" s="210"/>
      <c r="F120" s="211"/>
      <c r="G120" s="211"/>
      <c r="H120" s="212"/>
      <c r="I120" s="351"/>
      <c r="J120" s="1286"/>
      <c r="K120" s="1276"/>
      <c r="L120" s="1287"/>
      <c r="M120" s="754"/>
      <c r="N120" s="755"/>
      <c r="O120" s="757"/>
      <c r="P120" s="756"/>
      <c r="Q120" s="281"/>
      <c r="R120" s="1524"/>
      <c r="S120" s="1605">
        <v>45852</v>
      </c>
      <c r="T120" s="1603" t="s">
        <v>6532</v>
      </c>
      <c r="U120" s="1604">
        <f t="shared" si="2"/>
        <v>6100</v>
      </c>
      <c r="V120" s="1606">
        <v>7381</v>
      </c>
      <c r="W120" s="225"/>
      <c r="X120" s="225"/>
    </row>
    <row r="121" spans="2:24" ht="13.8">
      <c r="B121" s="141"/>
      <c r="C121" s="210"/>
      <c r="D121" s="163"/>
      <c r="E121" s="210"/>
      <c r="F121" s="211"/>
      <c r="G121" s="211"/>
      <c r="H121" s="212"/>
      <c r="I121" s="351"/>
      <c r="J121" s="1286"/>
      <c r="K121" s="1276"/>
      <c r="L121" s="1287"/>
      <c r="M121" s="754"/>
      <c r="N121" s="755"/>
      <c r="O121" s="757"/>
      <c r="P121" s="756"/>
      <c r="Q121" s="281"/>
      <c r="R121" s="1524"/>
      <c r="S121" s="1605">
        <v>45867</v>
      </c>
      <c r="T121" s="1603" t="s">
        <v>6533</v>
      </c>
      <c r="U121" s="1604">
        <f t="shared" si="2"/>
        <v>8760</v>
      </c>
      <c r="V121" s="1606">
        <v>10599.6</v>
      </c>
      <c r="W121" s="225"/>
      <c r="X121" s="225"/>
    </row>
    <row r="122" spans="2:24" ht="13.8">
      <c r="B122" s="141"/>
      <c r="C122" s="210"/>
      <c r="D122" s="163"/>
      <c r="E122" s="210"/>
      <c r="F122" s="211"/>
      <c r="G122" s="211"/>
      <c r="H122" s="212"/>
      <c r="I122" s="351"/>
      <c r="J122" s="1286"/>
      <c r="K122" s="1276"/>
      <c r="L122" s="1287"/>
      <c r="M122" s="754"/>
      <c r="N122" s="755"/>
      <c r="O122" s="757"/>
      <c r="P122" s="756"/>
      <c r="Q122" s="281"/>
      <c r="R122" s="1524"/>
      <c r="S122" s="1605">
        <v>45867</v>
      </c>
      <c r="T122" s="1603" t="s">
        <v>6534</v>
      </c>
      <c r="U122" s="1604">
        <f t="shared" si="2"/>
        <v>5176</v>
      </c>
      <c r="V122" s="1606">
        <v>6262.96</v>
      </c>
      <c r="W122" s="225"/>
      <c r="X122" s="225"/>
    </row>
    <row r="123" spans="2:24" ht="13.8">
      <c r="B123" s="141"/>
      <c r="C123" s="210"/>
      <c r="D123" s="163"/>
      <c r="E123" s="210"/>
      <c r="F123" s="211"/>
      <c r="G123" s="211"/>
      <c r="H123" s="212"/>
      <c r="I123" s="351"/>
      <c r="J123" s="1286"/>
      <c r="K123" s="1276"/>
      <c r="L123" s="1287"/>
      <c r="M123" s="754"/>
      <c r="N123" s="755"/>
      <c r="O123" s="757"/>
      <c r="P123" s="756"/>
      <c r="Q123" s="281"/>
      <c r="R123" s="1524"/>
      <c r="S123" s="1605">
        <v>45876</v>
      </c>
      <c r="T123" s="1603" t="s">
        <v>6535</v>
      </c>
      <c r="U123" s="1604">
        <f t="shared" si="2"/>
        <v>5708</v>
      </c>
      <c r="V123" s="1606">
        <v>6906.68</v>
      </c>
      <c r="W123" s="225"/>
      <c r="X123" s="225"/>
    </row>
    <row r="124" spans="2:24" ht="13.8">
      <c r="B124" s="141"/>
      <c r="C124" s="210"/>
      <c r="D124" s="163"/>
      <c r="E124" s="210"/>
      <c r="F124" s="211"/>
      <c r="G124" s="211"/>
      <c r="H124" s="212"/>
      <c r="I124" s="351"/>
      <c r="J124" s="1286"/>
      <c r="K124" s="1276"/>
      <c r="L124" s="1287"/>
      <c r="M124" s="754"/>
      <c r="N124" s="755"/>
      <c r="O124" s="757"/>
      <c r="P124" s="756"/>
      <c r="Q124" s="281"/>
      <c r="R124" s="1524"/>
      <c r="S124" s="1605">
        <v>45882</v>
      </c>
      <c r="T124" s="1603" t="s">
        <v>6536</v>
      </c>
      <c r="U124" s="1604">
        <f t="shared" si="2"/>
        <v>6996</v>
      </c>
      <c r="V124" s="1606">
        <v>8465.16</v>
      </c>
      <c r="W124" s="225"/>
      <c r="X124" s="225"/>
    </row>
    <row r="125" spans="2:24" ht="13.8">
      <c r="B125" s="141"/>
      <c r="C125" s="210"/>
      <c r="D125" s="163"/>
      <c r="E125" s="210"/>
      <c r="F125" s="211"/>
      <c r="G125" s="211"/>
      <c r="H125" s="212"/>
      <c r="I125" s="351"/>
      <c r="J125" s="1286"/>
      <c r="K125" s="1276"/>
      <c r="L125" s="1287"/>
      <c r="M125" s="754"/>
      <c r="N125" s="755"/>
      <c r="O125" s="757"/>
      <c r="P125" s="756"/>
      <c r="Q125" s="281"/>
      <c r="R125" s="1524"/>
      <c r="S125" s="1605">
        <v>45882</v>
      </c>
      <c r="T125" s="1603" t="s">
        <v>6537</v>
      </c>
      <c r="U125" s="1604">
        <f t="shared" si="2"/>
        <v>4868</v>
      </c>
      <c r="V125" s="1606">
        <v>5890.28</v>
      </c>
      <c r="W125" s="225"/>
      <c r="X125" s="225"/>
    </row>
    <row r="126" spans="2:24" ht="13.8">
      <c r="B126" s="141"/>
      <c r="C126" s="210"/>
      <c r="D126" s="163"/>
      <c r="E126" s="210"/>
      <c r="F126" s="211"/>
      <c r="G126" s="211"/>
      <c r="H126" s="212"/>
      <c r="I126" s="351"/>
      <c r="J126" s="1286"/>
      <c r="K126" s="1276"/>
      <c r="L126" s="1287"/>
      <c r="M126" s="754"/>
      <c r="N126" s="755"/>
      <c r="O126" s="757"/>
      <c r="P126" s="756"/>
      <c r="Q126" s="281"/>
      <c r="R126" s="1524"/>
      <c r="S126" s="1605">
        <v>45882</v>
      </c>
      <c r="T126" s="1603" t="s">
        <v>6538</v>
      </c>
      <c r="U126" s="1604">
        <f t="shared" si="2"/>
        <v>4868</v>
      </c>
      <c r="V126" s="1606">
        <v>5890.28</v>
      </c>
      <c r="W126" s="225"/>
      <c r="X126" s="225"/>
    </row>
    <row r="127" spans="2:24" ht="13.8">
      <c r="B127" s="141"/>
      <c r="C127" s="210"/>
      <c r="D127" s="163"/>
      <c r="E127" s="210"/>
      <c r="F127" s="211"/>
      <c r="G127" s="211"/>
      <c r="H127" s="212"/>
      <c r="I127" s="351"/>
      <c r="J127" s="1286"/>
      <c r="K127" s="1276"/>
      <c r="L127" s="1287"/>
      <c r="M127" s="754"/>
      <c r="N127" s="755"/>
      <c r="O127" s="757"/>
      <c r="P127" s="756"/>
      <c r="Q127" s="281"/>
      <c r="R127" s="1524"/>
      <c r="S127" s="1605">
        <v>45894</v>
      </c>
      <c r="T127" s="1603" t="s">
        <v>6539</v>
      </c>
      <c r="U127" s="1604">
        <f t="shared" si="2"/>
        <v>3468</v>
      </c>
      <c r="V127" s="1606">
        <v>4196.28</v>
      </c>
      <c r="W127" s="225"/>
      <c r="X127" s="225"/>
    </row>
    <row r="128" spans="2:24" ht="13.8">
      <c r="B128" s="141"/>
      <c r="C128" s="210"/>
      <c r="D128" s="163"/>
      <c r="E128" s="210"/>
      <c r="F128" s="211"/>
      <c r="G128" s="211"/>
      <c r="H128" s="212"/>
      <c r="I128" s="351"/>
      <c r="J128" s="1286"/>
      <c r="K128" s="1276"/>
      <c r="L128" s="1287"/>
      <c r="M128" s="754"/>
      <c r="N128" s="755"/>
      <c r="O128" s="757"/>
      <c r="P128" s="756"/>
      <c r="Q128" s="281"/>
      <c r="R128" s="1524"/>
      <c r="S128" s="1605">
        <v>45894</v>
      </c>
      <c r="T128" s="1603" t="s">
        <v>6540</v>
      </c>
      <c r="U128" s="1604">
        <f t="shared" si="2"/>
        <v>3468</v>
      </c>
      <c r="V128" s="1606">
        <v>4196.28</v>
      </c>
      <c r="W128" s="225"/>
      <c r="X128" s="225"/>
    </row>
    <row r="129" spans="2:24" ht="13.8">
      <c r="B129" s="141"/>
      <c r="C129" s="210"/>
      <c r="D129" s="163"/>
      <c r="E129" s="210"/>
      <c r="F129" s="211"/>
      <c r="G129" s="211"/>
      <c r="H129" s="212"/>
      <c r="I129" s="351"/>
      <c r="J129" s="1286"/>
      <c r="K129" s="1276"/>
      <c r="L129" s="1287"/>
      <c r="M129" s="754"/>
      <c r="N129" s="755"/>
      <c r="O129" s="757"/>
      <c r="P129" s="756"/>
      <c r="Q129" s="281"/>
      <c r="R129" s="1524"/>
      <c r="S129" s="1605">
        <v>45894</v>
      </c>
      <c r="T129" s="1603" t="s">
        <v>6541</v>
      </c>
      <c r="U129" s="1604">
        <f t="shared" si="2"/>
        <v>7024.0000000000009</v>
      </c>
      <c r="V129" s="1606">
        <v>8499.0400000000009</v>
      </c>
      <c r="W129" s="225"/>
      <c r="X129" s="225"/>
    </row>
    <row r="130" spans="2:24" ht="13.8">
      <c r="B130" s="141"/>
      <c r="C130" s="210"/>
      <c r="D130" s="163"/>
      <c r="E130" s="210"/>
      <c r="F130" s="211"/>
      <c r="G130" s="211"/>
      <c r="H130" s="212"/>
      <c r="I130" s="351"/>
      <c r="J130" s="1286"/>
      <c r="K130" s="1276"/>
      <c r="L130" s="1287"/>
      <c r="M130" s="754"/>
      <c r="N130" s="755"/>
      <c r="O130" s="757"/>
      <c r="P130" s="756"/>
      <c r="Q130" s="281"/>
      <c r="R130" s="1524"/>
      <c r="S130" s="1605">
        <v>45894</v>
      </c>
      <c r="T130" s="1603" t="s">
        <v>6542</v>
      </c>
      <c r="U130" s="1604">
        <f t="shared" si="2"/>
        <v>5316</v>
      </c>
      <c r="V130" s="1606">
        <v>6432.36</v>
      </c>
      <c r="W130" s="225"/>
      <c r="X130" s="225"/>
    </row>
    <row r="131" spans="2:24" ht="13.8">
      <c r="B131" s="141"/>
      <c r="C131" s="210"/>
      <c r="D131" s="163"/>
      <c r="E131" s="210"/>
      <c r="F131" s="211"/>
      <c r="G131" s="211"/>
      <c r="H131" s="212"/>
      <c r="I131" s="351"/>
      <c r="J131" s="1286"/>
      <c r="K131" s="1276"/>
      <c r="L131" s="1287"/>
      <c r="M131" s="754"/>
      <c r="N131" s="755"/>
      <c r="O131" s="757"/>
      <c r="P131" s="756"/>
      <c r="Q131" s="281"/>
      <c r="R131" s="1524"/>
      <c r="S131" s="1605">
        <v>45894</v>
      </c>
      <c r="T131" s="1603" t="s">
        <v>6543</v>
      </c>
      <c r="U131" s="1604">
        <f t="shared" si="2"/>
        <v>5316</v>
      </c>
      <c r="V131" s="1606">
        <v>6432.36</v>
      </c>
      <c r="W131" s="225"/>
      <c r="X131" s="225"/>
    </row>
    <row r="132" spans="2:24" ht="13.8">
      <c r="B132" s="141"/>
      <c r="C132" s="210"/>
      <c r="D132" s="163"/>
      <c r="E132" s="210"/>
      <c r="F132" s="211"/>
      <c r="G132" s="211"/>
      <c r="H132" s="212"/>
      <c r="I132" s="351"/>
      <c r="J132" s="1286"/>
      <c r="K132" s="1276"/>
      <c r="L132" s="1287"/>
      <c r="M132" s="754"/>
      <c r="N132" s="755"/>
      <c r="O132" s="757"/>
      <c r="P132" s="756"/>
      <c r="Q132" s="281"/>
      <c r="R132" s="1524"/>
      <c r="S132" s="1605">
        <v>45896</v>
      </c>
      <c r="T132" s="1603" t="s">
        <v>6544</v>
      </c>
      <c r="U132" s="1604">
        <f t="shared" si="2"/>
        <v>6100</v>
      </c>
      <c r="V132" s="1606">
        <v>7381</v>
      </c>
      <c r="W132" s="225"/>
      <c r="X132" s="225"/>
    </row>
    <row r="133" spans="2:24" ht="13.8">
      <c r="B133" s="141"/>
      <c r="C133" s="210"/>
      <c r="D133" s="163"/>
      <c r="E133" s="210"/>
      <c r="F133" s="211"/>
      <c r="G133" s="211"/>
      <c r="H133" s="212"/>
      <c r="I133" s="351"/>
      <c r="J133" s="1286"/>
      <c r="K133" s="1276"/>
      <c r="L133" s="1287"/>
      <c r="M133" s="754"/>
      <c r="N133" s="755"/>
      <c r="O133" s="757"/>
      <c r="P133" s="756"/>
      <c r="Q133" s="281"/>
      <c r="R133" s="1524"/>
      <c r="S133" s="1605">
        <v>45896</v>
      </c>
      <c r="T133" s="1603" t="s">
        <v>6545</v>
      </c>
      <c r="U133" s="1604">
        <f t="shared" si="2"/>
        <v>7332</v>
      </c>
      <c r="V133" s="1606">
        <v>8871.7199999999993</v>
      </c>
      <c r="W133" s="225"/>
      <c r="X133" s="225"/>
    </row>
    <row r="134" spans="2:24" ht="13.8">
      <c r="B134" s="141"/>
      <c r="C134" s="210"/>
      <c r="D134" s="163"/>
      <c r="E134" s="210"/>
      <c r="F134" s="211"/>
      <c r="G134" s="211"/>
      <c r="H134" s="212"/>
      <c r="I134" s="351"/>
      <c r="J134" s="1286"/>
      <c r="K134" s="1276"/>
      <c r="L134" s="1287"/>
      <c r="M134" s="754"/>
      <c r="N134" s="755"/>
      <c r="O134" s="757"/>
      <c r="P134" s="756"/>
      <c r="Q134" s="281"/>
      <c r="R134" s="1524"/>
      <c r="S134" s="1605">
        <v>45896</v>
      </c>
      <c r="T134" s="1603" t="s">
        <v>6546</v>
      </c>
      <c r="U134" s="1604">
        <f t="shared" si="2"/>
        <v>4980</v>
      </c>
      <c r="V134" s="1606">
        <v>6025.8</v>
      </c>
      <c r="W134" s="225"/>
      <c r="X134" s="225"/>
    </row>
    <row r="135" spans="2:24" ht="13.8">
      <c r="B135" s="141"/>
      <c r="C135" s="210"/>
      <c r="D135" s="163"/>
      <c r="E135" s="210"/>
      <c r="F135" s="211"/>
      <c r="G135" s="211"/>
      <c r="H135" s="212"/>
      <c r="I135" s="351"/>
      <c r="J135" s="1286"/>
      <c r="K135" s="1276"/>
      <c r="L135" s="1287"/>
      <c r="M135" s="754"/>
      <c r="N135" s="755"/>
      <c r="O135" s="757"/>
      <c r="P135" s="756"/>
      <c r="Q135" s="281"/>
      <c r="R135" s="1524"/>
      <c r="S135" s="1605">
        <v>45896</v>
      </c>
      <c r="T135" s="1603" t="s">
        <v>6547</v>
      </c>
      <c r="U135" s="1604">
        <f t="shared" si="2"/>
        <v>6548</v>
      </c>
      <c r="V135" s="1606">
        <v>7923.08</v>
      </c>
      <c r="W135" s="225"/>
      <c r="X135" s="225"/>
    </row>
    <row r="136" spans="2:24" ht="13.8">
      <c r="B136" s="141"/>
      <c r="C136" s="210"/>
      <c r="D136" s="163"/>
      <c r="E136" s="210"/>
      <c r="F136" s="211"/>
      <c r="G136" s="211"/>
      <c r="H136" s="212"/>
      <c r="I136" s="351"/>
      <c r="J136" s="1286"/>
      <c r="K136" s="1276"/>
      <c r="L136" s="1287"/>
      <c r="M136" s="754"/>
      <c r="N136" s="755"/>
      <c r="O136" s="757"/>
      <c r="P136" s="756"/>
      <c r="Q136" s="281"/>
      <c r="R136" s="1524"/>
      <c r="S136" s="1605">
        <v>45896</v>
      </c>
      <c r="T136" s="1603" t="s">
        <v>6548</v>
      </c>
      <c r="U136" s="1604">
        <f t="shared" si="2"/>
        <v>5344</v>
      </c>
      <c r="V136" s="1606">
        <v>6466.24</v>
      </c>
      <c r="W136" s="225"/>
      <c r="X136" s="225"/>
    </row>
    <row r="137" spans="2:24" ht="13.8">
      <c r="B137" s="141"/>
      <c r="C137" s="210"/>
      <c r="D137" s="163"/>
      <c r="E137" s="210"/>
      <c r="F137" s="211"/>
      <c r="G137" s="211"/>
      <c r="H137" s="212"/>
      <c r="I137" s="351"/>
      <c r="J137" s="1286"/>
      <c r="K137" s="1276"/>
      <c r="L137" s="1287"/>
      <c r="M137" s="754"/>
      <c r="N137" s="755"/>
      <c r="O137" s="757"/>
      <c r="P137" s="756"/>
      <c r="Q137" s="281"/>
      <c r="R137" s="1524"/>
      <c r="S137" s="1605">
        <v>45902</v>
      </c>
      <c r="T137" s="1603" t="s">
        <v>6549</v>
      </c>
      <c r="U137" s="1604">
        <f t="shared" si="2"/>
        <v>5204</v>
      </c>
      <c r="V137" s="1606">
        <v>6296.84</v>
      </c>
      <c r="W137" s="225"/>
      <c r="X137" s="225"/>
    </row>
    <row r="138" spans="2:24" ht="13.8">
      <c r="B138" s="141"/>
      <c r="C138" s="210"/>
      <c r="D138" s="163"/>
      <c r="E138" s="210"/>
      <c r="F138" s="211"/>
      <c r="G138" s="211"/>
      <c r="H138" s="212"/>
      <c r="I138" s="351"/>
      <c r="J138" s="1286"/>
      <c r="K138" s="1276"/>
      <c r="L138" s="1287"/>
      <c r="M138" s="754"/>
      <c r="N138" s="755"/>
      <c r="O138" s="757"/>
      <c r="P138" s="756"/>
      <c r="Q138" s="281"/>
      <c r="R138" s="1524"/>
      <c r="S138" s="1605">
        <v>45902</v>
      </c>
      <c r="T138" s="1603" t="s">
        <v>6550</v>
      </c>
      <c r="U138" s="1604">
        <f t="shared" si="2"/>
        <v>6100</v>
      </c>
      <c r="V138" s="1606">
        <v>7381</v>
      </c>
      <c r="W138" s="225"/>
      <c r="X138" s="225"/>
    </row>
    <row r="139" spans="2:24" ht="13.8">
      <c r="B139" s="141"/>
      <c r="C139" s="210"/>
      <c r="D139" s="163"/>
      <c r="E139" s="210"/>
      <c r="F139" s="211"/>
      <c r="G139" s="211"/>
      <c r="H139" s="212"/>
      <c r="I139" s="351"/>
      <c r="J139" s="1286"/>
      <c r="K139" s="1276"/>
      <c r="L139" s="1287"/>
      <c r="M139" s="754"/>
      <c r="N139" s="755"/>
      <c r="O139" s="757"/>
      <c r="P139" s="756"/>
      <c r="Q139" s="281"/>
      <c r="R139" s="1524"/>
      <c r="S139" s="1605">
        <v>45902</v>
      </c>
      <c r="T139" s="1603" t="s">
        <v>6551</v>
      </c>
      <c r="U139" s="1604">
        <f t="shared" si="2"/>
        <v>7108</v>
      </c>
      <c r="V139" s="1606">
        <v>8600.68</v>
      </c>
      <c r="W139" s="225"/>
      <c r="X139" s="225"/>
    </row>
    <row r="140" spans="2:24" ht="13.8">
      <c r="B140" s="141"/>
      <c r="C140" s="210"/>
      <c r="D140" s="163"/>
      <c r="E140" s="210"/>
      <c r="F140" s="211"/>
      <c r="G140" s="211"/>
      <c r="H140" s="212"/>
      <c r="I140" s="351"/>
      <c r="J140" s="1286"/>
      <c r="K140" s="1276"/>
      <c r="L140" s="1287"/>
      <c r="M140" s="754"/>
      <c r="N140" s="755"/>
      <c r="O140" s="757"/>
      <c r="P140" s="756"/>
      <c r="Q140" s="281"/>
      <c r="R140" s="1524"/>
      <c r="S140" s="1605">
        <v>45902</v>
      </c>
      <c r="T140" s="1603" t="s">
        <v>6552</v>
      </c>
      <c r="U140" s="1604">
        <f t="shared" si="2"/>
        <v>5652</v>
      </c>
      <c r="V140" s="1606">
        <v>6838.92</v>
      </c>
      <c r="W140" s="225"/>
      <c r="X140" s="225"/>
    </row>
    <row r="141" spans="2:24" ht="13.8">
      <c r="B141" s="141"/>
      <c r="C141" s="210"/>
      <c r="D141" s="163"/>
      <c r="E141" s="210"/>
      <c r="F141" s="211"/>
      <c r="G141" s="211"/>
      <c r="H141" s="212"/>
      <c r="I141" s="351"/>
      <c r="J141" s="1286"/>
      <c r="K141" s="1276"/>
      <c r="L141" s="1287"/>
      <c r="M141" s="754"/>
      <c r="N141" s="755"/>
      <c r="O141" s="757"/>
      <c r="P141" s="756"/>
      <c r="Q141" s="281"/>
      <c r="R141" s="1524"/>
      <c r="S141" s="1605">
        <v>45902</v>
      </c>
      <c r="T141" s="1603" t="s">
        <v>6553</v>
      </c>
      <c r="U141" s="1604">
        <f t="shared" si="2"/>
        <v>6940</v>
      </c>
      <c r="V141" s="1606">
        <v>8397.4</v>
      </c>
      <c r="W141" s="225"/>
      <c r="X141" s="225"/>
    </row>
    <row r="142" spans="2:24" ht="13.8">
      <c r="B142" s="141"/>
      <c r="C142" s="210"/>
      <c r="D142" s="163"/>
      <c r="E142" s="210"/>
      <c r="F142" s="211"/>
      <c r="G142" s="211"/>
      <c r="H142" s="212"/>
      <c r="I142" s="351"/>
      <c r="J142" s="1286"/>
      <c r="K142" s="1276"/>
      <c r="L142" s="1287"/>
      <c r="M142" s="754"/>
      <c r="N142" s="755"/>
      <c r="O142" s="757"/>
      <c r="P142" s="756"/>
      <c r="Q142" s="281"/>
      <c r="R142" s="1524"/>
      <c r="S142" s="1605">
        <v>45903</v>
      </c>
      <c r="T142" s="1603" t="s">
        <v>6554</v>
      </c>
      <c r="U142" s="1604">
        <f t="shared" si="2"/>
        <v>5708</v>
      </c>
      <c r="V142" s="1606">
        <v>6906.68</v>
      </c>
      <c r="W142" s="225"/>
      <c r="X142" s="225"/>
    </row>
    <row r="143" spans="2:24" ht="13.8">
      <c r="B143" s="141"/>
      <c r="C143" s="210"/>
      <c r="D143" s="163"/>
      <c r="E143" s="210"/>
      <c r="F143" s="211"/>
      <c r="G143" s="211"/>
      <c r="H143" s="212"/>
      <c r="I143" s="351"/>
      <c r="J143" s="1286"/>
      <c r="K143" s="1276"/>
      <c r="L143" s="1287"/>
      <c r="M143" s="754"/>
      <c r="N143" s="755"/>
      <c r="O143" s="757"/>
      <c r="P143" s="756"/>
      <c r="Q143" s="281"/>
      <c r="R143" s="1524"/>
      <c r="S143" s="1605">
        <v>45904</v>
      </c>
      <c r="T143" s="1603" t="s">
        <v>6555</v>
      </c>
      <c r="U143" s="1604">
        <f t="shared" si="2"/>
        <v>4980</v>
      </c>
      <c r="V143" s="1606">
        <v>6025.8</v>
      </c>
      <c r="W143" s="225"/>
      <c r="X143" s="225"/>
    </row>
    <row r="144" spans="2:24" ht="13.8">
      <c r="B144" s="141"/>
      <c r="C144" s="210"/>
      <c r="D144" s="163"/>
      <c r="E144" s="210"/>
      <c r="F144" s="211"/>
      <c r="G144" s="211"/>
      <c r="H144" s="212"/>
      <c r="I144" s="351"/>
      <c r="J144" s="1286"/>
      <c r="K144" s="1276"/>
      <c r="L144" s="1287"/>
      <c r="M144" s="754"/>
      <c r="N144" s="755"/>
      <c r="O144" s="757"/>
      <c r="P144" s="756"/>
      <c r="Q144" s="281"/>
      <c r="R144" s="1524"/>
      <c r="S144" s="1605">
        <v>45904</v>
      </c>
      <c r="T144" s="1603" t="s">
        <v>6556</v>
      </c>
      <c r="U144" s="1604">
        <f t="shared" si="2"/>
        <v>4980</v>
      </c>
      <c r="V144" s="1606">
        <v>6025.8</v>
      </c>
      <c r="W144" s="225"/>
      <c r="X144" s="225"/>
    </row>
    <row r="145" spans="2:24" ht="13.8">
      <c r="B145" s="141"/>
      <c r="C145" s="210"/>
      <c r="D145" s="163"/>
      <c r="E145" s="210"/>
      <c r="F145" s="211"/>
      <c r="G145" s="211"/>
      <c r="H145" s="212"/>
      <c r="I145" s="351"/>
      <c r="J145" s="1286"/>
      <c r="K145" s="1276"/>
      <c r="L145" s="1287"/>
      <c r="M145" s="754"/>
      <c r="N145" s="755"/>
      <c r="O145" s="757"/>
      <c r="P145" s="756"/>
      <c r="Q145" s="281"/>
      <c r="R145" s="1524"/>
      <c r="S145" s="1605">
        <v>45916</v>
      </c>
      <c r="T145" s="1603" t="s">
        <v>6557</v>
      </c>
      <c r="U145" s="1604">
        <f t="shared" si="2"/>
        <v>6436.0000000000009</v>
      </c>
      <c r="V145" s="1606">
        <v>7787.56</v>
      </c>
      <c r="W145" s="225"/>
      <c r="X145" s="225"/>
    </row>
    <row r="146" spans="2:24" ht="16.2" customHeight="1">
      <c r="B146" s="141"/>
      <c r="C146" s="210"/>
      <c r="D146" s="163"/>
      <c r="E146" s="210"/>
      <c r="F146" s="211"/>
      <c r="G146" s="211"/>
      <c r="H146" s="212"/>
      <c r="I146" s="351"/>
      <c r="J146" s="1286"/>
      <c r="K146" s="1276"/>
      <c r="L146" s="1287"/>
      <c r="M146" s="754"/>
      <c r="N146" s="755"/>
      <c r="O146" s="757"/>
      <c r="P146" s="756"/>
      <c r="Q146" s="281"/>
      <c r="R146" s="1524"/>
      <c r="S146" s="1605">
        <v>45916</v>
      </c>
      <c r="T146" s="1603" t="s">
        <v>6558</v>
      </c>
      <c r="U146" s="1604">
        <f t="shared" si="2"/>
        <v>5596</v>
      </c>
      <c r="V146" s="1606">
        <v>6771.16</v>
      </c>
      <c r="W146" s="225"/>
      <c r="X146" s="225"/>
    </row>
    <row r="147" spans="2:24" ht="16.2" customHeight="1">
      <c r="B147" s="141"/>
      <c r="C147" s="210"/>
      <c r="D147" s="163"/>
      <c r="E147" s="210"/>
      <c r="F147" s="211"/>
      <c r="G147" s="211"/>
      <c r="H147" s="212"/>
      <c r="I147" s="351"/>
      <c r="J147" s="1286"/>
      <c r="K147" s="1276"/>
      <c r="L147" s="1287"/>
      <c r="M147" s="754"/>
      <c r="N147" s="755"/>
      <c r="O147" s="757"/>
      <c r="P147" s="756"/>
      <c r="Q147" s="281"/>
      <c r="R147" s="1524"/>
      <c r="S147" s="1605">
        <v>45916</v>
      </c>
      <c r="T147" s="1603" t="s">
        <v>6559</v>
      </c>
      <c r="U147" s="1604">
        <f t="shared" si="2"/>
        <v>4980</v>
      </c>
      <c r="V147" s="1606">
        <v>6025.8</v>
      </c>
      <c r="W147" s="225"/>
      <c r="X147" s="225"/>
    </row>
    <row r="148" spans="2:24" ht="16.2" customHeight="1">
      <c r="B148" s="141"/>
      <c r="C148" s="210"/>
      <c r="D148" s="163"/>
      <c r="E148" s="210"/>
      <c r="F148" s="211"/>
      <c r="G148" s="211"/>
      <c r="H148" s="212"/>
      <c r="I148" s="351"/>
      <c r="J148" s="1286"/>
      <c r="K148" s="1276"/>
      <c r="L148" s="1287"/>
      <c r="M148" s="754"/>
      <c r="N148" s="755"/>
      <c r="O148" s="757"/>
      <c r="P148" s="756"/>
      <c r="Q148" s="281"/>
      <c r="R148" s="1524"/>
      <c r="S148" s="1605">
        <v>45918</v>
      </c>
      <c r="T148" s="1603" t="s">
        <v>6560</v>
      </c>
      <c r="U148" s="1604">
        <f t="shared" si="2"/>
        <v>6212.0000000000009</v>
      </c>
      <c r="V148" s="1606">
        <v>7516.52</v>
      </c>
      <c r="W148" s="225"/>
      <c r="X148" s="225"/>
    </row>
    <row r="149" spans="2:24" ht="16.2" customHeight="1">
      <c r="B149" s="141"/>
      <c r="C149" s="210"/>
      <c r="D149" s="163"/>
      <c r="E149" s="210"/>
      <c r="F149" s="211"/>
      <c r="G149" s="211"/>
      <c r="H149" s="212"/>
      <c r="I149" s="351"/>
      <c r="J149" s="1286"/>
      <c r="K149" s="1276"/>
      <c r="L149" s="1287"/>
      <c r="M149" s="754"/>
      <c r="N149" s="755"/>
      <c r="O149" s="757"/>
      <c r="P149" s="756"/>
      <c r="Q149" s="281"/>
      <c r="R149" s="1524"/>
      <c r="S149" s="1605">
        <v>45916</v>
      </c>
      <c r="T149" s="1603" t="s">
        <v>6561</v>
      </c>
      <c r="U149" s="1604">
        <f t="shared" si="2"/>
        <v>6520</v>
      </c>
      <c r="V149" s="1606">
        <v>7889.2</v>
      </c>
      <c r="W149" s="225"/>
      <c r="X149" s="225"/>
    </row>
    <row r="150" spans="2:24" ht="16.2" customHeight="1">
      <c r="B150" s="141"/>
      <c r="C150" s="210"/>
      <c r="D150" s="163"/>
      <c r="E150" s="210"/>
      <c r="F150" s="211"/>
      <c r="G150" s="211"/>
      <c r="H150" s="212"/>
      <c r="I150" s="351"/>
      <c r="J150" s="1286"/>
      <c r="K150" s="1276"/>
      <c r="L150" s="1287"/>
      <c r="M150" s="754"/>
      <c r="N150" s="755"/>
      <c r="O150" s="757"/>
      <c r="P150" s="756"/>
      <c r="Q150" s="281"/>
      <c r="R150" s="1524"/>
      <c r="S150" s="1605">
        <v>45916</v>
      </c>
      <c r="T150" s="1603" t="s">
        <v>6562</v>
      </c>
      <c r="U150" s="1604">
        <f t="shared" si="2"/>
        <v>5092</v>
      </c>
      <c r="V150" s="1606">
        <v>6161.32</v>
      </c>
      <c r="W150" s="225"/>
      <c r="X150" s="225"/>
    </row>
    <row r="151" spans="2:24" ht="16.2" customHeight="1">
      <c r="B151" s="141"/>
      <c r="C151" s="210"/>
      <c r="D151" s="163"/>
      <c r="E151" s="210"/>
      <c r="F151" s="211"/>
      <c r="G151" s="211"/>
      <c r="H151" s="212"/>
      <c r="I151" s="351"/>
      <c r="J151" s="1286"/>
      <c r="K151" s="1276"/>
      <c r="L151" s="1287"/>
      <c r="M151" s="754"/>
      <c r="N151" s="755"/>
      <c r="O151" s="757"/>
      <c r="P151" s="756"/>
      <c r="Q151" s="281"/>
      <c r="R151" s="1524"/>
      <c r="S151" s="1605">
        <v>45916</v>
      </c>
      <c r="T151" s="1603" t="s">
        <v>6563</v>
      </c>
      <c r="U151" s="1604">
        <f t="shared" si="2"/>
        <v>4308</v>
      </c>
      <c r="V151" s="1606">
        <v>5212.68</v>
      </c>
      <c r="W151" s="225"/>
      <c r="X151" s="225"/>
    </row>
    <row r="152" spans="2:24" ht="16.2" customHeight="1">
      <c r="B152" s="141"/>
      <c r="C152" s="210"/>
      <c r="D152" s="163"/>
      <c r="E152" s="210"/>
      <c r="F152" s="211"/>
      <c r="G152" s="211"/>
      <c r="H152" s="212"/>
      <c r="I152" s="351"/>
      <c r="J152" s="1286"/>
      <c r="K152" s="1276"/>
      <c r="L152" s="1287"/>
      <c r="M152" s="754"/>
      <c r="N152" s="755"/>
      <c r="O152" s="757"/>
      <c r="P152" s="756"/>
      <c r="Q152" s="281"/>
      <c r="R152" s="1524"/>
      <c r="S152" s="1605">
        <v>45922</v>
      </c>
      <c r="T152" s="1603" t="s">
        <v>6564</v>
      </c>
      <c r="U152" s="1604">
        <f t="shared" si="2"/>
        <v>7108</v>
      </c>
      <c r="V152" s="1606">
        <v>8600.68</v>
      </c>
      <c r="W152" s="225"/>
      <c r="X152" s="225"/>
    </row>
    <row r="153" spans="2:24" ht="13.8">
      <c r="B153" s="141"/>
      <c r="C153" s="210"/>
      <c r="D153" s="163"/>
      <c r="E153" s="210"/>
      <c r="F153" s="211"/>
      <c r="G153" s="211"/>
      <c r="H153" s="212"/>
      <c r="I153" s="351"/>
      <c r="J153" s="1286"/>
      <c r="K153" s="1276"/>
      <c r="L153" s="1287"/>
      <c r="M153" s="754"/>
      <c r="N153" s="755"/>
      <c r="O153" s="757"/>
      <c r="P153" s="756"/>
      <c r="Q153" s="281"/>
      <c r="R153" s="1524"/>
      <c r="S153" s="1605">
        <v>45923</v>
      </c>
      <c r="T153" s="1603" t="s">
        <v>6565</v>
      </c>
      <c r="U153" s="1604">
        <f t="shared" si="2"/>
        <v>2796</v>
      </c>
      <c r="V153" s="1606">
        <v>3383.16</v>
      </c>
      <c r="W153" s="225"/>
      <c r="X153" s="225"/>
    </row>
    <row r="154" spans="2:24" ht="13.8">
      <c r="B154" s="141"/>
      <c r="C154" s="210"/>
      <c r="D154" s="163"/>
      <c r="E154" s="210"/>
      <c r="F154" s="211"/>
      <c r="G154" s="211"/>
      <c r="H154" s="212"/>
      <c r="I154" s="351"/>
      <c r="J154" s="1286"/>
      <c r="K154" s="1276"/>
      <c r="L154" s="1287"/>
      <c r="M154" s="754"/>
      <c r="N154" s="755"/>
      <c r="O154" s="757"/>
      <c r="P154" s="756"/>
      <c r="Q154" s="281"/>
      <c r="R154" s="1524"/>
      <c r="S154" s="1605">
        <v>45923</v>
      </c>
      <c r="T154" s="1603" t="s">
        <v>6566</v>
      </c>
      <c r="U154" s="1604">
        <f t="shared" si="2"/>
        <v>6912.0000000000009</v>
      </c>
      <c r="V154" s="1606">
        <v>8363.52</v>
      </c>
      <c r="W154" s="225"/>
      <c r="X154" s="225"/>
    </row>
    <row r="155" spans="2:24" ht="13.8">
      <c r="B155" s="141"/>
      <c r="C155" s="210"/>
      <c r="D155" s="163"/>
      <c r="E155" s="210"/>
      <c r="F155" s="211"/>
      <c r="G155" s="211"/>
      <c r="H155" s="212"/>
      <c r="I155" s="351"/>
      <c r="J155" s="1286"/>
      <c r="K155" s="1276"/>
      <c r="L155" s="1287"/>
      <c r="M155" s="754"/>
      <c r="N155" s="755"/>
      <c r="O155" s="757"/>
      <c r="P155" s="756"/>
      <c r="Q155" s="281"/>
      <c r="R155" s="1524"/>
      <c r="S155" s="1605">
        <v>45923</v>
      </c>
      <c r="T155" s="1603" t="s">
        <v>6567</v>
      </c>
      <c r="U155" s="1604">
        <f t="shared" si="2"/>
        <v>6240</v>
      </c>
      <c r="V155" s="1606">
        <v>7550.4</v>
      </c>
      <c r="W155" s="225"/>
      <c r="X155" s="225"/>
    </row>
    <row r="156" spans="2:24" ht="13.8">
      <c r="B156" s="141"/>
      <c r="C156" s="210"/>
      <c r="D156" s="163"/>
      <c r="E156" s="210"/>
      <c r="F156" s="211"/>
      <c r="G156" s="211"/>
      <c r="H156" s="212"/>
      <c r="I156" s="351"/>
      <c r="J156" s="1286"/>
      <c r="K156" s="1276"/>
      <c r="L156" s="1287"/>
      <c r="M156" s="754"/>
      <c r="N156" s="755"/>
      <c r="O156" s="757"/>
      <c r="P156" s="756"/>
      <c r="Q156" s="281"/>
      <c r="R156" s="1524"/>
      <c r="S156" s="1605">
        <v>45930</v>
      </c>
      <c r="T156" s="1603" t="s">
        <v>6568</v>
      </c>
      <c r="U156" s="1604">
        <f t="shared" si="2"/>
        <v>2880.0000000000005</v>
      </c>
      <c r="V156" s="1606">
        <v>3484.8</v>
      </c>
      <c r="W156" s="225"/>
      <c r="X156" s="225"/>
    </row>
    <row r="157" spans="2:24" ht="13.8">
      <c r="B157" s="141"/>
      <c r="C157" s="210"/>
      <c r="D157" s="163"/>
      <c r="E157" s="210"/>
      <c r="F157" s="211"/>
      <c r="G157" s="211"/>
      <c r="H157" s="212"/>
      <c r="I157" s="351"/>
      <c r="J157" s="1286"/>
      <c r="K157" s="1276"/>
      <c r="L157" s="1287"/>
      <c r="M157" s="754"/>
      <c r="N157" s="755"/>
      <c r="O157" s="757"/>
      <c r="P157" s="756"/>
      <c r="Q157" s="281"/>
      <c r="R157" s="1524"/>
      <c r="S157" s="1605">
        <v>45930</v>
      </c>
      <c r="T157" s="1603" t="s">
        <v>6569</v>
      </c>
      <c r="U157" s="1604">
        <f t="shared" si="2"/>
        <v>3300</v>
      </c>
      <c r="V157" s="1606">
        <v>3993</v>
      </c>
      <c r="W157" s="225"/>
      <c r="X157" s="225"/>
    </row>
    <row r="158" spans="2:24" ht="13.8">
      <c r="B158" s="141"/>
      <c r="C158" s="210"/>
      <c r="D158" s="163"/>
      <c r="E158" s="210"/>
      <c r="F158" s="211"/>
      <c r="G158" s="211"/>
      <c r="H158" s="212"/>
      <c r="I158" s="351"/>
      <c r="J158" s="1286"/>
      <c r="K158" s="1276"/>
      <c r="L158" s="1287"/>
      <c r="M158" s="754"/>
      <c r="N158" s="755"/>
      <c r="O158" s="757"/>
      <c r="P158" s="756"/>
      <c r="Q158" s="281"/>
      <c r="R158" s="1524"/>
      <c r="S158" s="1605">
        <v>45936</v>
      </c>
      <c r="T158" s="1603" t="s">
        <v>6570</v>
      </c>
      <c r="U158" s="1604">
        <f t="shared" si="2"/>
        <v>3244</v>
      </c>
      <c r="V158" s="1606">
        <v>3925.24</v>
      </c>
      <c r="W158" s="225"/>
      <c r="X158" s="225"/>
    </row>
    <row r="159" spans="2:24" ht="13.8">
      <c r="B159" s="141"/>
      <c r="C159" s="210"/>
      <c r="D159" s="163"/>
      <c r="E159" s="210"/>
      <c r="F159" s="211"/>
      <c r="G159" s="211"/>
      <c r="H159" s="212"/>
      <c r="I159" s="351"/>
      <c r="J159" s="1286"/>
      <c r="K159" s="1276"/>
      <c r="L159" s="1287"/>
      <c r="M159" s="754"/>
      <c r="N159" s="755"/>
      <c r="O159" s="757"/>
      <c r="P159" s="756"/>
      <c r="Q159" s="281"/>
      <c r="R159" s="1524"/>
      <c r="S159" s="1605">
        <v>45943</v>
      </c>
      <c r="T159" s="1603" t="s">
        <v>6571</v>
      </c>
      <c r="U159" s="1604">
        <f t="shared" si="2"/>
        <v>7024.0000000000009</v>
      </c>
      <c r="V159" s="1606">
        <v>8499.0400000000009</v>
      </c>
      <c r="W159" s="225"/>
      <c r="X159" s="225"/>
    </row>
    <row r="160" spans="2:24" ht="13.8">
      <c r="B160" s="141"/>
      <c r="C160" s="210"/>
      <c r="D160" s="163"/>
      <c r="E160" s="210"/>
      <c r="F160" s="211"/>
      <c r="G160" s="211"/>
      <c r="H160" s="212"/>
      <c r="I160" s="351"/>
      <c r="J160" s="1286"/>
      <c r="K160" s="1276"/>
      <c r="L160" s="1287"/>
      <c r="M160" s="754"/>
      <c r="N160" s="755"/>
      <c r="O160" s="757"/>
      <c r="P160" s="756"/>
      <c r="Q160" s="281"/>
      <c r="R160" s="1524"/>
      <c r="S160" s="1605">
        <v>45944</v>
      </c>
      <c r="T160" s="1603" t="s">
        <v>6572</v>
      </c>
      <c r="U160" s="1604">
        <f t="shared" si="2"/>
        <v>3524</v>
      </c>
      <c r="V160" s="1606">
        <v>4264.04</v>
      </c>
      <c r="W160" s="225"/>
      <c r="X160" s="225"/>
    </row>
    <row r="161" spans="2:24">
      <c r="B161" s="141"/>
      <c r="C161" s="210"/>
      <c r="D161" s="163"/>
      <c r="E161" s="210"/>
      <c r="F161" s="211"/>
      <c r="G161" s="211"/>
      <c r="H161" s="212"/>
      <c r="I161" s="351"/>
      <c r="J161" s="1286"/>
      <c r="K161" s="1276"/>
      <c r="L161" s="1287"/>
      <c r="M161" s="754"/>
      <c r="N161" s="755"/>
      <c r="O161" s="757"/>
      <c r="P161" s="756"/>
      <c r="Q161" s="281"/>
      <c r="R161" s="1524"/>
      <c r="S161" s="1607">
        <v>46000</v>
      </c>
      <c r="T161" s="1633" t="s">
        <v>6594</v>
      </c>
      <c r="U161" s="1521">
        <v>5176</v>
      </c>
      <c r="V161" s="1530">
        <v>6262.96</v>
      </c>
      <c r="W161" s="225"/>
      <c r="X161" s="225"/>
    </row>
    <row r="162" spans="2:24">
      <c r="B162" s="141"/>
      <c r="C162" s="210"/>
      <c r="D162" s="163"/>
      <c r="E162" s="210"/>
      <c r="F162" s="211"/>
      <c r="G162" s="211"/>
      <c r="H162" s="212"/>
      <c r="I162" s="351"/>
      <c r="J162" s="1286"/>
      <c r="K162" s="1276"/>
      <c r="L162" s="1287"/>
      <c r="M162" s="754"/>
      <c r="N162" s="755"/>
      <c r="O162" s="757"/>
      <c r="P162" s="756"/>
      <c r="Q162" s="281"/>
      <c r="R162" s="1524"/>
      <c r="S162" s="1607">
        <v>46006</v>
      </c>
      <c r="T162" s="1633" t="s">
        <v>6605</v>
      </c>
      <c r="U162" s="1521">
        <v>3440</v>
      </c>
      <c r="V162" s="1530">
        <v>4162.3999999999996</v>
      </c>
      <c r="W162" s="225"/>
      <c r="X162" s="225"/>
    </row>
    <row r="163" spans="2:24">
      <c r="B163" s="141"/>
      <c r="C163" s="210"/>
      <c r="D163" s="163"/>
      <c r="E163" s="210"/>
      <c r="F163" s="211"/>
      <c r="G163" s="211"/>
      <c r="H163" s="212"/>
      <c r="I163" s="351"/>
      <c r="J163" s="1286"/>
      <c r="K163" s="1276"/>
      <c r="L163" s="1287"/>
      <c r="M163" s="754"/>
      <c r="N163" s="755"/>
      <c r="O163" s="757"/>
      <c r="P163" s="756"/>
      <c r="Q163" s="281"/>
      <c r="R163" s="1524"/>
      <c r="S163" s="1607">
        <v>46006</v>
      </c>
      <c r="T163" s="1633" t="s">
        <v>6606</v>
      </c>
      <c r="U163" s="1521">
        <v>2460</v>
      </c>
      <c r="V163" s="1530">
        <v>2976.6</v>
      </c>
      <c r="W163" s="225"/>
      <c r="X163" s="225"/>
    </row>
    <row r="164" spans="2:24">
      <c r="B164" s="141"/>
      <c r="C164" s="210"/>
      <c r="D164" s="163"/>
      <c r="E164" s="210"/>
      <c r="F164" s="211"/>
      <c r="G164" s="211"/>
      <c r="H164" s="212"/>
      <c r="I164" s="351"/>
      <c r="J164" s="1286"/>
      <c r="K164" s="1276"/>
      <c r="L164" s="1287"/>
      <c r="M164" s="754"/>
      <c r="N164" s="755"/>
      <c r="O164" s="757"/>
      <c r="P164" s="756"/>
      <c r="Q164" s="281"/>
      <c r="R164" s="1524"/>
      <c r="S164" s="1607">
        <v>46006</v>
      </c>
      <c r="T164" s="1633" t="s">
        <v>6607</v>
      </c>
      <c r="U164" s="1521">
        <v>5120</v>
      </c>
      <c r="V164" s="1530">
        <v>6195.2</v>
      </c>
      <c r="W164" s="225"/>
      <c r="X164" s="225"/>
    </row>
    <row r="165" spans="2:24">
      <c r="B165" s="141"/>
      <c r="C165" s="210"/>
      <c r="D165" s="163"/>
      <c r="E165" s="210"/>
      <c r="F165" s="211"/>
      <c r="G165" s="211"/>
      <c r="H165" s="212"/>
      <c r="I165" s="351"/>
      <c r="J165" s="1286"/>
      <c r="K165" s="1276"/>
      <c r="L165" s="1287"/>
      <c r="M165" s="754"/>
      <c r="N165" s="755"/>
      <c r="O165" s="757"/>
      <c r="P165" s="756"/>
      <c r="Q165" s="281"/>
      <c r="R165" s="1524"/>
      <c r="S165" s="1607">
        <v>46006</v>
      </c>
      <c r="T165" s="1633" t="s">
        <v>6608</v>
      </c>
      <c r="U165" s="1521">
        <v>6604</v>
      </c>
      <c r="V165" s="1530">
        <v>7990.84</v>
      </c>
      <c r="W165" s="225"/>
      <c r="X165" s="225"/>
    </row>
    <row r="166" spans="2:24">
      <c r="B166" s="141"/>
      <c r="C166" s="210"/>
      <c r="D166" s="163"/>
      <c r="E166" s="210"/>
      <c r="F166" s="211"/>
      <c r="G166" s="211"/>
      <c r="H166" s="212"/>
      <c r="I166" s="351"/>
      <c r="J166" s="1286"/>
      <c r="K166" s="1276"/>
      <c r="L166" s="1287"/>
      <c r="M166" s="754"/>
      <c r="N166" s="755"/>
      <c r="O166" s="757"/>
      <c r="P166" s="756"/>
      <c r="Q166" s="281"/>
      <c r="R166" s="1524"/>
      <c r="S166" s="1607">
        <v>46006</v>
      </c>
      <c r="T166" s="1633" t="s">
        <v>6609</v>
      </c>
      <c r="U166" s="1521">
        <v>6604</v>
      </c>
      <c r="V166" s="1530">
        <v>7990.84</v>
      </c>
      <c r="W166" s="225"/>
      <c r="X166" s="225"/>
    </row>
    <row r="167" spans="2:24">
      <c r="B167" s="141"/>
      <c r="C167" s="210"/>
      <c r="D167" s="163"/>
      <c r="E167" s="210"/>
      <c r="F167" s="211"/>
      <c r="G167" s="211"/>
      <c r="H167" s="212"/>
      <c r="I167" s="351"/>
      <c r="J167" s="1286"/>
      <c r="K167" s="1276"/>
      <c r="L167" s="1287"/>
      <c r="M167" s="754"/>
      <c r="N167" s="755"/>
      <c r="O167" s="757"/>
      <c r="P167" s="756"/>
      <c r="Q167" s="281"/>
      <c r="R167" s="1524"/>
      <c r="S167" s="1607">
        <v>46006</v>
      </c>
      <c r="T167" s="1633" t="s">
        <v>6610</v>
      </c>
      <c r="U167" s="1521">
        <v>5008</v>
      </c>
      <c r="V167" s="1530">
        <v>6059.68</v>
      </c>
      <c r="W167" s="225"/>
      <c r="X167" s="225"/>
    </row>
    <row r="168" spans="2:24">
      <c r="B168" s="141"/>
      <c r="C168" s="210"/>
      <c r="D168" s="163"/>
      <c r="E168" s="210"/>
      <c r="F168" s="211"/>
      <c r="G168" s="211"/>
      <c r="H168" s="212"/>
      <c r="I168" s="351"/>
      <c r="J168" s="1286"/>
      <c r="K168" s="1276"/>
      <c r="L168" s="1287"/>
      <c r="M168" s="754"/>
      <c r="N168" s="755"/>
      <c r="O168" s="757"/>
      <c r="P168" s="756"/>
      <c r="Q168" s="281"/>
      <c r="R168" s="1524"/>
      <c r="S168" s="1607">
        <v>46006</v>
      </c>
      <c r="T168" s="1633" t="s">
        <v>6618</v>
      </c>
      <c r="U168" s="1521">
        <v>5904</v>
      </c>
      <c r="V168" s="1530">
        <v>7143.84</v>
      </c>
      <c r="W168" s="225"/>
      <c r="X168" s="225"/>
    </row>
    <row r="169" spans="2:24">
      <c r="B169" s="141"/>
      <c r="C169" s="210"/>
      <c r="D169" s="163"/>
      <c r="E169" s="210"/>
      <c r="F169" s="211"/>
      <c r="G169" s="211"/>
      <c r="H169" s="212"/>
      <c r="I169" s="351"/>
      <c r="J169" s="1286"/>
      <c r="K169" s="1276"/>
      <c r="L169" s="1287"/>
      <c r="M169" s="754"/>
      <c r="N169" s="755"/>
      <c r="O169" s="757"/>
      <c r="P169" s="756"/>
      <c r="Q169" s="281"/>
      <c r="R169" s="1524"/>
      <c r="S169" s="1607">
        <v>46007</v>
      </c>
      <c r="T169" s="1633" t="s">
        <v>6627</v>
      </c>
      <c r="U169" s="1521">
        <v>5596</v>
      </c>
      <c r="V169" s="1530">
        <v>6771.16</v>
      </c>
      <c r="W169" s="225"/>
      <c r="X169" s="225"/>
    </row>
    <row r="170" spans="2:24">
      <c r="B170" s="141"/>
      <c r="C170" s="210"/>
      <c r="D170" s="163"/>
      <c r="E170" s="210"/>
      <c r="F170" s="211"/>
      <c r="G170" s="211"/>
      <c r="H170" s="212"/>
      <c r="I170" s="351"/>
      <c r="J170" s="1286"/>
      <c r="K170" s="1276"/>
      <c r="L170" s="1287"/>
      <c r="M170" s="754"/>
      <c r="N170" s="755"/>
      <c r="O170" s="757"/>
      <c r="P170" s="756"/>
      <c r="Q170" s="281"/>
      <c r="R170" s="1524"/>
      <c r="S170" s="1607">
        <v>46007</v>
      </c>
      <c r="T170" s="1633" t="s">
        <v>6628</v>
      </c>
      <c r="U170" s="1521">
        <v>4280</v>
      </c>
      <c r="V170" s="1530">
        <v>5178.8</v>
      </c>
      <c r="W170" s="225"/>
      <c r="X170" s="225"/>
    </row>
    <row r="171" spans="2:24">
      <c r="B171" s="141"/>
      <c r="C171" s="210"/>
      <c r="D171" s="163"/>
      <c r="E171" s="210"/>
      <c r="F171" s="211"/>
      <c r="G171" s="211"/>
      <c r="H171" s="212"/>
      <c r="I171" s="351"/>
      <c r="J171" s="1286"/>
      <c r="K171" s="1276"/>
      <c r="L171" s="1287"/>
      <c r="M171" s="754"/>
      <c r="N171" s="755"/>
      <c r="O171" s="757"/>
      <c r="P171" s="756"/>
      <c r="Q171" s="281"/>
      <c r="R171" s="1524"/>
      <c r="S171" s="1607"/>
      <c r="T171" s="1602"/>
      <c r="U171" s="1521"/>
      <c r="V171" s="1530"/>
      <c r="W171" s="225"/>
      <c r="X171" s="225"/>
    </row>
    <row r="172" spans="2:24">
      <c r="B172" s="141"/>
      <c r="C172" s="210"/>
      <c r="D172" s="163"/>
      <c r="E172" s="210"/>
      <c r="F172" s="211"/>
      <c r="G172" s="211"/>
      <c r="H172" s="212"/>
      <c r="I172" s="351"/>
      <c r="J172" s="1286"/>
      <c r="K172" s="1276"/>
      <c r="L172" s="1287"/>
      <c r="M172" s="754"/>
      <c r="N172" s="755"/>
      <c r="O172" s="757"/>
      <c r="P172" s="756"/>
      <c r="Q172" s="281"/>
      <c r="R172" s="1524"/>
      <c r="S172" s="1529"/>
      <c r="T172" s="1522"/>
      <c r="U172" s="1521"/>
      <c r="V172" s="1530"/>
      <c r="W172" s="225"/>
      <c r="X172" s="225"/>
    </row>
    <row r="173" spans="2:24">
      <c r="B173" s="141"/>
      <c r="C173" s="210"/>
      <c r="D173" s="163"/>
      <c r="E173" s="210"/>
      <c r="F173" s="211"/>
      <c r="G173" s="211"/>
      <c r="H173" s="212"/>
      <c r="I173" s="351"/>
      <c r="J173" s="1286"/>
      <c r="K173" s="1276"/>
      <c r="L173" s="1287"/>
      <c r="M173" s="754"/>
      <c r="N173" s="755"/>
      <c r="O173" s="757"/>
      <c r="P173" s="756"/>
      <c r="Q173" s="281"/>
      <c r="R173" s="1524"/>
      <c r="S173" s="1529"/>
      <c r="T173" s="1522"/>
      <c r="U173" s="1521"/>
      <c r="V173" s="1530"/>
      <c r="W173" s="225"/>
      <c r="X173" s="225"/>
    </row>
    <row r="174" spans="2:24">
      <c r="B174" s="141"/>
      <c r="C174" s="210"/>
      <c r="D174" s="163"/>
      <c r="E174" s="210"/>
      <c r="F174" s="211"/>
      <c r="G174" s="211"/>
      <c r="H174" s="212"/>
      <c r="I174" s="351"/>
      <c r="J174" s="1286"/>
      <c r="K174" s="1276"/>
      <c r="L174" s="1287"/>
      <c r="M174" s="754"/>
      <c r="N174" s="755"/>
      <c r="O174" s="757"/>
      <c r="P174" s="756"/>
      <c r="Q174" s="281"/>
      <c r="R174" s="1524"/>
      <c r="S174" s="1607"/>
      <c r="T174" s="1602"/>
      <c r="U174" s="1521"/>
      <c r="V174" s="1530"/>
      <c r="W174" s="225"/>
      <c r="X174" s="225"/>
    </row>
    <row r="175" spans="2:24">
      <c r="B175" s="141"/>
      <c r="C175" s="210"/>
      <c r="D175" s="163"/>
      <c r="E175" s="210"/>
      <c r="F175" s="211"/>
      <c r="G175" s="211"/>
      <c r="H175" s="212"/>
      <c r="I175" s="351"/>
      <c r="J175" s="1286"/>
      <c r="K175" s="1276"/>
      <c r="L175" s="1287"/>
      <c r="M175" s="754"/>
      <c r="N175" s="755"/>
      <c r="O175" s="757"/>
      <c r="P175" s="756"/>
      <c r="Q175" s="281"/>
      <c r="R175" s="1524"/>
      <c r="S175" s="1529"/>
      <c r="T175" s="1522"/>
      <c r="U175" s="1521"/>
      <c r="V175" s="1530"/>
      <c r="W175" s="225"/>
      <c r="X175" s="225"/>
    </row>
    <row r="176" spans="2:24">
      <c r="B176" s="141"/>
      <c r="C176" s="210"/>
      <c r="D176" s="163"/>
      <c r="E176" s="210"/>
      <c r="F176" s="211"/>
      <c r="G176" s="211"/>
      <c r="H176" s="212"/>
      <c r="I176" s="351"/>
      <c r="J176" s="1286"/>
      <c r="K176" s="1276"/>
      <c r="L176" s="1287"/>
      <c r="M176" s="754"/>
      <c r="N176" s="755"/>
      <c r="O176" s="757"/>
      <c r="P176" s="756"/>
      <c r="Q176" s="281"/>
      <c r="R176" s="1524"/>
      <c r="S176" s="1529"/>
      <c r="T176" s="1522"/>
      <c r="U176" s="1521"/>
      <c r="V176" s="1530"/>
      <c r="W176" s="225"/>
      <c r="X176" s="225"/>
    </row>
    <row r="177" spans="2:24" ht="13.8" thickBot="1">
      <c r="B177" s="141"/>
      <c r="C177" s="210"/>
      <c r="D177" s="163"/>
      <c r="E177" s="210"/>
      <c r="F177" s="211"/>
      <c r="G177" s="211"/>
      <c r="H177" s="212"/>
      <c r="I177" s="232" t="s">
        <v>4865</v>
      </c>
      <c r="J177" s="1279"/>
      <c r="K177" s="1280"/>
      <c r="L177" s="1288"/>
      <c r="M177" s="290"/>
      <c r="N177" s="291"/>
      <c r="O177" s="977"/>
      <c r="P177" s="263"/>
      <c r="Q177" s="978"/>
      <c r="R177" s="1595"/>
      <c r="S177" s="1608"/>
      <c r="T177" s="1609"/>
      <c r="U177" s="1535">
        <f>SUM(U32:U176)</f>
        <v>795996</v>
      </c>
      <c r="V177" s="1536">
        <f>SUM(V32:V176)</f>
        <v>963155.1600000005</v>
      </c>
      <c r="W177" s="225"/>
      <c r="X177" s="225"/>
    </row>
    <row r="178" spans="2:24" ht="14.4" thickBot="1">
      <c r="B178" s="1108" t="s">
        <v>4010</v>
      </c>
      <c r="C178" s="1103" t="s">
        <v>5918</v>
      </c>
      <c r="D178" s="1104">
        <v>4260431</v>
      </c>
      <c r="E178" s="1105" t="s">
        <v>5833</v>
      </c>
      <c r="F178" s="1106">
        <v>450000</v>
      </c>
      <c r="G178" s="1106">
        <v>544500</v>
      </c>
      <c r="H178" s="1379">
        <v>46112</v>
      </c>
      <c r="I178" s="753"/>
      <c r="J178" s="1289"/>
      <c r="K178" s="1290"/>
      <c r="L178" s="1291"/>
      <c r="M178" s="980"/>
      <c r="N178" s="981"/>
      <c r="O178" s="982"/>
      <c r="P178" s="983">
        <v>45448</v>
      </c>
      <c r="Q178" s="984">
        <f>R178*100/121</f>
        <v>21125</v>
      </c>
      <c r="R178" s="1523">
        <v>25561.25</v>
      </c>
      <c r="S178" s="1598">
        <v>45961</v>
      </c>
      <c r="T178" s="1599" t="s">
        <v>6399</v>
      </c>
      <c r="U178" s="1600">
        <f>V178/1.21</f>
        <v>10251.98347107438</v>
      </c>
      <c r="V178" s="1601">
        <v>12404.9</v>
      </c>
      <c r="W178" s="305">
        <f>F178-N207-Q207-U207</f>
        <v>154842.11570247935</v>
      </c>
      <c r="X178" s="992">
        <f>G178-O207-R207-V207</f>
        <v>187358.96000000002</v>
      </c>
    </row>
    <row r="179" spans="2:24" ht="13.8">
      <c r="B179" s="141"/>
      <c r="C179" s="210"/>
      <c r="D179" s="163"/>
      <c r="E179" s="210"/>
      <c r="F179" s="211"/>
      <c r="G179" s="211"/>
      <c r="H179" s="212"/>
      <c r="I179" s="213"/>
      <c r="J179" s="1272"/>
      <c r="K179" s="1273"/>
      <c r="L179" s="1274"/>
      <c r="M179" s="216"/>
      <c r="N179" s="217"/>
      <c r="O179" s="218"/>
      <c r="P179" s="219">
        <v>45477</v>
      </c>
      <c r="Q179" s="205">
        <f t="shared" ref="Q179:Q184" si="3">R179*100/121</f>
        <v>21294</v>
      </c>
      <c r="R179" s="303">
        <v>25765.74</v>
      </c>
      <c r="S179" s="1587">
        <v>45961</v>
      </c>
      <c r="T179" s="1588" t="s">
        <v>6400</v>
      </c>
      <c r="U179" s="1521">
        <f t="shared" ref="U179:U203" si="4">V179/1.21</f>
        <v>15311.98347107438</v>
      </c>
      <c r="V179" s="1589">
        <v>18527.5</v>
      </c>
      <c r="W179" s="225"/>
      <c r="X179" s="225"/>
    </row>
    <row r="180" spans="2:24" ht="13.8">
      <c r="B180" s="141"/>
      <c r="C180" s="210"/>
      <c r="D180" s="163"/>
      <c r="E180" s="210"/>
      <c r="F180" s="211"/>
      <c r="G180" s="211"/>
      <c r="H180" s="212"/>
      <c r="I180" s="213"/>
      <c r="J180" s="1272"/>
      <c r="K180" s="1273"/>
      <c r="L180" s="1274"/>
      <c r="M180" s="216"/>
      <c r="N180" s="217"/>
      <c r="O180" s="218"/>
      <c r="P180" s="219">
        <v>45503</v>
      </c>
      <c r="Q180" s="205">
        <f t="shared" si="3"/>
        <v>21125</v>
      </c>
      <c r="R180" s="303">
        <v>25561.25</v>
      </c>
      <c r="S180" s="1587">
        <v>45992</v>
      </c>
      <c r="T180" s="1588" t="s">
        <v>6401</v>
      </c>
      <c r="U180" s="1521">
        <f t="shared" si="4"/>
        <v>8853.9669421487597</v>
      </c>
      <c r="V180" s="1589">
        <v>10713.3</v>
      </c>
      <c r="W180" s="225"/>
      <c r="X180" s="225"/>
    </row>
    <row r="181" spans="2:24" ht="13.8">
      <c r="B181" s="141"/>
      <c r="C181" s="210"/>
      <c r="D181" s="163"/>
      <c r="E181" s="210"/>
      <c r="F181" s="211"/>
      <c r="G181" s="211"/>
      <c r="H181" s="212"/>
      <c r="I181" s="213"/>
      <c r="J181" s="1272"/>
      <c r="K181" s="1273"/>
      <c r="L181" s="1274"/>
      <c r="M181" s="216"/>
      <c r="N181" s="217"/>
      <c r="O181" s="218"/>
      <c r="P181" s="219">
        <v>45534</v>
      </c>
      <c r="Q181" s="205">
        <f t="shared" si="3"/>
        <v>21970</v>
      </c>
      <c r="R181" s="303">
        <v>26583.7</v>
      </c>
      <c r="S181" s="1587">
        <v>45992</v>
      </c>
      <c r="T181" s="1588" t="s">
        <v>6402</v>
      </c>
      <c r="U181" s="1521">
        <f t="shared" si="4"/>
        <v>13223.966942148762</v>
      </c>
      <c r="V181" s="1589">
        <v>16001</v>
      </c>
      <c r="W181" s="225"/>
      <c r="X181" s="225"/>
    </row>
    <row r="182" spans="2:24" ht="13.8">
      <c r="B182" s="141"/>
      <c r="C182" s="210"/>
      <c r="D182" s="163"/>
      <c r="E182" s="210"/>
      <c r="F182" s="211"/>
      <c r="G182" s="211"/>
      <c r="H182" s="212"/>
      <c r="I182" s="213"/>
      <c r="J182" s="1272"/>
      <c r="K182" s="1273"/>
      <c r="L182" s="1274"/>
      <c r="M182" s="216"/>
      <c r="N182" s="217"/>
      <c r="O182" s="218"/>
      <c r="P182" s="219">
        <v>45565</v>
      </c>
      <c r="Q182" s="205">
        <f t="shared" si="3"/>
        <v>21801</v>
      </c>
      <c r="R182" s="303">
        <v>26379.21</v>
      </c>
      <c r="S182" s="1587">
        <v>45869</v>
      </c>
      <c r="T182" s="1588" t="s">
        <v>6403</v>
      </c>
      <c r="U182" s="1521">
        <f t="shared" si="4"/>
        <v>16008.01652892562</v>
      </c>
      <c r="V182" s="1589">
        <v>19369.7</v>
      </c>
      <c r="W182" s="225"/>
      <c r="X182" s="225"/>
    </row>
    <row r="183" spans="2:24" ht="13.8">
      <c r="B183" s="141"/>
      <c r="C183" s="210"/>
      <c r="D183" s="163"/>
      <c r="E183" s="210"/>
      <c r="F183" s="211"/>
      <c r="G183" s="211"/>
      <c r="H183" s="212"/>
      <c r="I183" s="213"/>
      <c r="J183" s="1272"/>
      <c r="K183" s="1273"/>
      <c r="L183" s="1274"/>
      <c r="M183" s="216"/>
      <c r="N183" s="217"/>
      <c r="O183" s="218"/>
      <c r="P183" s="219">
        <v>45594</v>
      </c>
      <c r="Q183" s="205">
        <f t="shared" si="3"/>
        <v>20956</v>
      </c>
      <c r="R183" s="303">
        <v>25356.76</v>
      </c>
      <c r="S183" s="1587">
        <v>45692</v>
      </c>
      <c r="T183" s="1588" t="s">
        <v>6404</v>
      </c>
      <c r="U183" s="1521">
        <f t="shared" si="4"/>
        <v>10251.98347107438</v>
      </c>
      <c r="V183" s="1589">
        <v>12404.9</v>
      </c>
      <c r="W183" s="225"/>
      <c r="X183" s="225"/>
    </row>
    <row r="184" spans="2:24" ht="13.8">
      <c r="B184" s="141"/>
      <c r="C184" s="210"/>
      <c r="D184" s="163"/>
      <c r="E184" s="210"/>
      <c r="F184" s="211"/>
      <c r="G184" s="211"/>
      <c r="H184" s="212"/>
      <c r="I184" s="213"/>
      <c r="J184" s="1272"/>
      <c r="K184" s="1273"/>
      <c r="L184" s="1274"/>
      <c r="M184" s="216"/>
      <c r="N184" s="217"/>
      <c r="O184" s="218"/>
      <c r="P184" s="219">
        <v>45644</v>
      </c>
      <c r="Q184" s="205">
        <f t="shared" si="3"/>
        <v>21463</v>
      </c>
      <c r="R184" s="303">
        <v>25970.23</v>
      </c>
      <c r="S184" s="1587">
        <v>45692</v>
      </c>
      <c r="T184" s="1588" t="s">
        <v>6405</v>
      </c>
      <c r="U184" s="1521">
        <f t="shared" si="4"/>
        <v>13728.016528925622</v>
      </c>
      <c r="V184" s="1589">
        <v>16610.900000000001</v>
      </c>
      <c r="W184" s="225"/>
      <c r="X184" s="225"/>
    </row>
    <row r="185" spans="2:24" ht="13.8">
      <c r="B185" s="141"/>
      <c r="C185" s="210"/>
      <c r="D185" s="163"/>
      <c r="E185" s="210"/>
      <c r="F185" s="211"/>
      <c r="G185" s="211"/>
      <c r="H185" s="212"/>
      <c r="I185" s="213"/>
      <c r="J185" s="1272"/>
      <c r="K185" s="1273"/>
      <c r="L185" s="1274"/>
      <c r="M185" s="216"/>
      <c r="N185" s="217"/>
      <c r="O185" s="218"/>
      <c r="P185" s="219"/>
      <c r="Q185" s="205"/>
      <c r="R185" s="303"/>
      <c r="S185" s="1587">
        <v>45719</v>
      </c>
      <c r="T185" s="1588" t="s">
        <v>6406</v>
      </c>
      <c r="U185" s="1521">
        <f t="shared" si="4"/>
        <v>12480</v>
      </c>
      <c r="V185" s="1589">
        <v>15100.8</v>
      </c>
      <c r="W185" s="225"/>
      <c r="X185" s="225"/>
    </row>
    <row r="186" spans="2:24" ht="13.8">
      <c r="B186" s="141"/>
      <c r="C186" s="210"/>
      <c r="D186" s="163"/>
      <c r="E186" s="210"/>
      <c r="F186" s="211"/>
      <c r="G186" s="211"/>
      <c r="H186" s="212"/>
      <c r="I186" s="213"/>
      <c r="J186" s="1272"/>
      <c r="K186" s="1273"/>
      <c r="L186" s="1274"/>
      <c r="M186" s="216"/>
      <c r="N186" s="217"/>
      <c r="O186" s="218"/>
      <c r="P186" s="219"/>
      <c r="Q186" s="205"/>
      <c r="R186" s="303"/>
      <c r="S186" s="1587">
        <v>45719</v>
      </c>
      <c r="T186" s="1588" t="s">
        <v>6407</v>
      </c>
      <c r="U186" s="1521">
        <f t="shared" si="4"/>
        <v>9320</v>
      </c>
      <c r="V186" s="1589">
        <v>11277.2</v>
      </c>
      <c r="W186" s="225"/>
      <c r="X186" s="225"/>
    </row>
    <row r="187" spans="2:24" ht="13.8">
      <c r="B187" s="141"/>
      <c r="C187" s="210"/>
      <c r="D187" s="163"/>
      <c r="E187" s="210"/>
      <c r="F187" s="211"/>
      <c r="G187" s="211"/>
      <c r="H187" s="212"/>
      <c r="I187" s="213"/>
      <c r="J187" s="1272"/>
      <c r="K187" s="1273"/>
      <c r="L187" s="1274"/>
      <c r="M187" s="216"/>
      <c r="N187" s="217"/>
      <c r="O187" s="218"/>
      <c r="P187" s="219"/>
      <c r="Q187" s="205"/>
      <c r="R187" s="303"/>
      <c r="S187" s="1587">
        <v>45749</v>
      </c>
      <c r="T187" s="1588" t="s">
        <v>6408</v>
      </c>
      <c r="U187" s="1521">
        <f t="shared" si="4"/>
        <v>13103.96694214876</v>
      </c>
      <c r="V187" s="1589">
        <v>15855.8</v>
      </c>
      <c r="W187" s="225"/>
      <c r="X187" s="225"/>
    </row>
    <row r="188" spans="2:24" ht="13.8">
      <c r="B188" s="141"/>
      <c r="C188" s="210"/>
      <c r="D188" s="163"/>
      <c r="E188" s="210"/>
      <c r="F188" s="211"/>
      <c r="G188" s="211"/>
      <c r="H188" s="212"/>
      <c r="I188" s="213"/>
      <c r="J188" s="1272"/>
      <c r="K188" s="1273"/>
      <c r="L188" s="1274"/>
      <c r="M188" s="216"/>
      <c r="N188" s="217"/>
      <c r="O188" s="218"/>
      <c r="P188" s="219"/>
      <c r="Q188" s="205"/>
      <c r="R188" s="303"/>
      <c r="S188" s="1587">
        <v>45749</v>
      </c>
      <c r="T188" s="1588" t="s">
        <v>6409</v>
      </c>
      <c r="U188" s="1521">
        <f t="shared" si="4"/>
        <v>9786.0330578512403</v>
      </c>
      <c r="V188" s="1589">
        <v>11841.1</v>
      </c>
      <c r="W188" s="225"/>
      <c r="X188" s="225"/>
    </row>
    <row r="189" spans="2:24" ht="13.8">
      <c r="B189" s="141"/>
      <c r="C189" s="210"/>
      <c r="D189" s="163"/>
      <c r="E189" s="210"/>
      <c r="F189" s="211"/>
      <c r="G189" s="211"/>
      <c r="H189" s="212"/>
      <c r="I189" s="213"/>
      <c r="J189" s="1292"/>
      <c r="K189" s="1293"/>
      <c r="L189" s="1294"/>
      <c r="M189" s="222"/>
      <c r="N189" s="223"/>
      <c r="O189" s="224"/>
      <c r="P189" s="219"/>
      <c r="Q189" s="205"/>
      <c r="R189" s="303"/>
      <c r="S189" s="1587">
        <v>45784</v>
      </c>
      <c r="T189" s="1588" t="s">
        <v>6410</v>
      </c>
      <c r="U189" s="1521">
        <f t="shared" si="4"/>
        <v>13103.96694214876</v>
      </c>
      <c r="V189" s="1589">
        <v>15855.8</v>
      </c>
      <c r="W189" s="225"/>
      <c r="X189" s="225"/>
    </row>
    <row r="190" spans="2:24" ht="13.8">
      <c r="B190" s="141"/>
      <c r="C190" s="210"/>
      <c r="D190" s="163"/>
      <c r="E190" s="210"/>
      <c r="F190" s="211"/>
      <c r="G190" s="211"/>
      <c r="H190" s="212"/>
      <c r="I190" s="213"/>
      <c r="J190" s="1292"/>
      <c r="K190" s="1293"/>
      <c r="L190" s="1294"/>
      <c r="M190" s="222"/>
      <c r="N190" s="223"/>
      <c r="O190" s="224"/>
      <c r="P190" s="219"/>
      <c r="Q190" s="205"/>
      <c r="R190" s="303"/>
      <c r="S190" s="1587">
        <v>45786</v>
      </c>
      <c r="T190" s="1588" t="s">
        <v>6411</v>
      </c>
      <c r="U190" s="1521">
        <f t="shared" si="4"/>
        <v>9786.0330578512403</v>
      </c>
      <c r="V190" s="1589">
        <v>11841.1</v>
      </c>
      <c r="W190" s="225"/>
      <c r="X190" s="225"/>
    </row>
    <row r="191" spans="2:24" ht="13.8">
      <c r="B191" s="141"/>
      <c r="C191" s="210"/>
      <c r="D191" s="163"/>
      <c r="E191" s="210"/>
      <c r="F191" s="211"/>
      <c r="G191" s="211"/>
      <c r="H191" s="212"/>
      <c r="I191" s="213"/>
      <c r="J191" s="1292"/>
      <c r="K191" s="1293"/>
      <c r="L191" s="1294"/>
      <c r="M191" s="222"/>
      <c r="N191" s="223"/>
      <c r="O191" s="224"/>
      <c r="P191" s="219"/>
      <c r="Q191" s="205"/>
      <c r="R191" s="303"/>
      <c r="S191" s="1587">
        <v>45798</v>
      </c>
      <c r="T191" s="1588" t="s">
        <v>6412</v>
      </c>
      <c r="U191" s="1521">
        <f t="shared" si="4"/>
        <v>26000</v>
      </c>
      <c r="V191" s="1589">
        <v>31460</v>
      </c>
      <c r="W191" s="225"/>
      <c r="X191" s="225"/>
    </row>
    <row r="192" spans="2:24" ht="13.8">
      <c r="B192" s="141"/>
      <c r="C192" s="210"/>
      <c r="D192" s="163"/>
      <c r="E192" s="210"/>
      <c r="F192" s="211"/>
      <c r="G192" s="211"/>
      <c r="H192" s="212"/>
      <c r="I192" s="213"/>
      <c r="J192" s="1292"/>
      <c r="K192" s="1293"/>
      <c r="L192" s="1294"/>
      <c r="M192" s="222"/>
      <c r="N192" s="223"/>
      <c r="O192" s="224"/>
      <c r="P192" s="219"/>
      <c r="Q192" s="205"/>
      <c r="R192" s="303"/>
      <c r="S192" s="1587">
        <v>45812</v>
      </c>
      <c r="T192" s="1588" t="s">
        <v>6413</v>
      </c>
      <c r="U192" s="1521">
        <f t="shared" si="4"/>
        <v>12480</v>
      </c>
      <c r="V192" s="1589">
        <v>15100.8</v>
      </c>
      <c r="W192" s="225"/>
      <c r="X192" s="225"/>
    </row>
    <row r="193" spans="2:24" ht="13.8">
      <c r="B193" s="141"/>
      <c r="C193" s="210"/>
      <c r="D193" s="163"/>
      <c r="E193" s="210"/>
      <c r="F193" s="211"/>
      <c r="G193" s="211"/>
      <c r="H193" s="212"/>
      <c r="I193" s="213"/>
      <c r="J193" s="1292"/>
      <c r="K193" s="1293"/>
      <c r="L193" s="1294"/>
      <c r="M193" s="222"/>
      <c r="N193" s="223"/>
      <c r="O193" s="224"/>
      <c r="P193" s="219"/>
      <c r="Q193" s="205"/>
      <c r="R193" s="303"/>
      <c r="S193" s="1587">
        <v>45812</v>
      </c>
      <c r="T193" s="1588" t="s">
        <v>6414</v>
      </c>
      <c r="U193" s="1521">
        <f t="shared" si="4"/>
        <v>9320</v>
      </c>
      <c r="V193" s="1589">
        <v>11277.2</v>
      </c>
      <c r="W193" s="225"/>
      <c r="X193" s="225"/>
    </row>
    <row r="194" spans="2:24" ht="13.8">
      <c r="B194" s="141"/>
      <c r="C194" s="210"/>
      <c r="D194" s="163"/>
      <c r="E194" s="210"/>
      <c r="F194" s="211"/>
      <c r="G194" s="211"/>
      <c r="H194" s="212"/>
      <c r="I194" s="213"/>
      <c r="J194" s="1292"/>
      <c r="K194" s="1293"/>
      <c r="L194" s="1294"/>
      <c r="M194" s="222"/>
      <c r="N194" s="223"/>
      <c r="O194" s="224"/>
      <c r="P194" s="219"/>
      <c r="Q194" s="205"/>
      <c r="R194" s="303"/>
      <c r="S194" s="1587">
        <v>45835</v>
      </c>
      <c r="T194" s="1588" t="s">
        <v>6415</v>
      </c>
      <c r="U194" s="1521">
        <f t="shared" si="4"/>
        <v>11856.03305785124</v>
      </c>
      <c r="V194" s="1589">
        <v>14345.8</v>
      </c>
      <c r="W194" s="225"/>
      <c r="X194" s="225"/>
    </row>
    <row r="195" spans="2:24" ht="13.8">
      <c r="B195" s="141"/>
      <c r="C195" s="210"/>
      <c r="D195" s="163"/>
      <c r="E195" s="210"/>
      <c r="F195" s="211"/>
      <c r="G195" s="211"/>
      <c r="H195" s="212"/>
      <c r="I195" s="213"/>
      <c r="J195" s="1292"/>
      <c r="K195" s="1293"/>
      <c r="L195" s="1294"/>
      <c r="M195" s="222"/>
      <c r="N195" s="223"/>
      <c r="O195" s="224"/>
      <c r="P195" s="219"/>
      <c r="Q195" s="205"/>
      <c r="R195" s="303"/>
      <c r="S195" s="1587">
        <v>45835</v>
      </c>
      <c r="T195" s="1588" t="s">
        <v>6416</v>
      </c>
      <c r="U195" s="1521">
        <f t="shared" si="4"/>
        <v>8853.9669421487597</v>
      </c>
      <c r="V195" s="1589">
        <v>10713.3</v>
      </c>
      <c r="W195" s="225"/>
      <c r="X195" s="225"/>
    </row>
    <row r="196" spans="2:24" ht="13.8">
      <c r="B196" s="141"/>
      <c r="C196" s="210"/>
      <c r="D196" s="163"/>
      <c r="E196" s="210"/>
      <c r="F196" s="211"/>
      <c r="G196" s="211"/>
      <c r="H196" s="212"/>
      <c r="I196" s="213"/>
      <c r="J196" s="1292"/>
      <c r="K196" s="1293"/>
      <c r="L196" s="1294"/>
      <c r="M196" s="222"/>
      <c r="N196" s="223"/>
      <c r="O196" s="224"/>
      <c r="P196" s="219"/>
      <c r="Q196" s="205"/>
      <c r="R196" s="303"/>
      <c r="S196" s="1587">
        <v>45838</v>
      </c>
      <c r="T196" s="1588" t="s">
        <v>6417</v>
      </c>
      <c r="U196" s="1521">
        <f t="shared" si="4"/>
        <v>13103.96694214876</v>
      </c>
      <c r="V196" s="1589">
        <v>15855.8</v>
      </c>
      <c r="W196" s="225"/>
      <c r="X196" s="225"/>
    </row>
    <row r="197" spans="2:24" ht="13.8">
      <c r="B197" s="141"/>
      <c r="C197" s="210"/>
      <c r="D197" s="163"/>
      <c r="E197" s="210"/>
      <c r="F197" s="211"/>
      <c r="G197" s="211"/>
      <c r="H197" s="212"/>
      <c r="I197" s="213"/>
      <c r="J197" s="1292"/>
      <c r="K197" s="1293"/>
      <c r="L197" s="1294"/>
      <c r="M197" s="222"/>
      <c r="N197" s="223"/>
      <c r="O197" s="224"/>
      <c r="P197" s="219"/>
      <c r="Q197" s="205"/>
      <c r="R197" s="303"/>
      <c r="S197" s="1587">
        <v>45838</v>
      </c>
      <c r="T197" s="1588" t="s">
        <v>6418</v>
      </c>
      <c r="U197" s="1521">
        <f t="shared" si="4"/>
        <v>9786.0330578512403</v>
      </c>
      <c r="V197" s="1589">
        <v>11841.1</v>
      </c>
      <c r="W197" s="225"/>
      <c r="X197" s="225"/>
    </row>
    <row r="198" spans="2:24" ht="13.8">
      <c r="B198" s="141"/>
      <c r="C198" s="210"/>
      <c r="D198" s="163"/>
      <c r="E198" s="210"/>
      <c r="F198" s="211"/>
      <c r="G198" s="211"/>
      <c r="H198" s="212"/>
      <c r="I198" s="351"/>
      <c r="J198" s="1286"/>
      <c r="K198" s="1276"/>
      <c r="L198" s="1287"/>
      <c r="M198" s="754"/>
      <c r="N198" s="755"/>
      <c r="O198" s="757"/>
      <c r="P198" s="756"/>
      <c r="Q198" s="281"/>
      <c r="R198" s="1524"/>
      <c r="S198" s="1587">
        <v>45869</v>
      </c>
      <c r="T198" s="1588" t="s">
        <v>6419</v>
      </c>
      <c r="U198" s="1521">
        <f t="shared" si="4"/>
        <v>10718.01652892562</v>
      </c>
      <c r="V198" s="1589">
        <v>12968.8</v>
      </c>
      <c r="W198" s="225"/>
      <c r="X198" s="225"/>
    </row>
    <row r="199" spans="2:24" ht="13.8">
      <c r="B199" s="141"/>
      <c r="C199" s="210"/>
      <c r="D199" s="163"/>
      <c r="E199" s="210"/>
      <c r="F199" s="211"/>
      <c r="G199" s="211"/>
      <c r="H199" s="212"/>
      <c r="I199" s="351"/>
      <c r="J199" s="1286"/>
      <c r="K199" s="1276"/>
      <c r="L199" s="1287"/>
      <c r="M199" s="754"/>
      <c r="N199" s="755"/>
      <c r="O199" s="757"/>
      <c r="P199" s="756"/>
      <c r="Q199" s="281"/>
      <c r="R199" s="1524"/>
      <c r="S199" s="1587">
        <v>45902</v>
      </c>
      <c r="T199" s="1588" t="s">
        <v>6420</v>
      </c>
      <c r="U199" s="1521">
        <f t="shared" si="4"/>
        <v>1656.0330578512396</v>
      </c>
      <c r="V199" s="1589">
        <v>2003.8</v>
      </c>
      <c r="W199" s="225"/>
      <c r="X199" s="225"/>
    </row>
    <row r="200" spans="2:24" ht="13.8">
      <c r="B200" s="141"/>
      <c r="C200" s="210"/>
      <c r="D200" s="163"/>
      <c r="E200" s="210"/>
      <c r="F200" s="211"/>
      <c r="G200" s="211"/>
      <c r="H200" s="212"/>
      <c r="I200" s="351"/>
      <c r="J200" s="1286"/>
      <c r="K200" s="1276"/>
      <c r="L200" s="1287"/>
      <c r="M200" s="754"/>
      <c r="N200" s="755"/>
      <c r="O200" s="757"/>
      <c r="P200" s="756"/>
      <c r="Q200" s="281"/>
      <c r="R200" s="1524"/>
      <c r="S200" s="1587">
        <v>45902</v>
      </c>
      <c r="T200" s="1588" t="s">
        <v>6421</v>
      </c>
      <c r="U200" s="1521">
        <f t="shared" si="4"/>
        <v>9786.0330578512403</v>
      </c>
      <c r="V200" s="1589">
        <v>11841.1</v>
      </c>
      <c r="W200" s="225"/>
      <c r="X200" s="225"/>
    </row>
    <row r="201" spans="2:24" ht="13.8">
      <c r="B201" s="141"/>
      <c r="C201" s="210"/>
      <c r="D201" s="163"/>
      <c r="E201" s="210"/>
      <c r="F201" s="211"/>
      <c r="G201" s="211"/>
      <c r="H201" s="212"/>
      <c r="I201" s="351"/>
      <c r="J201" s="1286"/>
      <c r="K201" s="1276"/>
      <c r="L201" s="1287"/>
      <c r="M201" s="754"/>
      <c r="N201" s="755"/>
      <c r="O201" s="757"/>
      <c r="P201" s="756"/>
      <c r="Q201" s="281"/>
      <c r="R201" s="1524"/>
      <c r="S201" s="1587">
        <v>45902</v>
      </c>
      <c r="T201" s="1588" t="s">
        <v>6422</v>
      </c>
      <c r="U201" s="1521">
        <f t="shared" si="4"/>
        <v>13103.96694214876</v>
      </c>
      <c r="V201" s="1589">
        <v>15855.8</v>
      </c>
      <c r="W201" s="225"/>
      <c r="X201" s="225"/>
    </row>
    <row r="202" spans="2:24" ht="13.8">
      <c r="B202" s="141"/>
      <c r="C202" s="210"/>
      <c r="D202" s="163"/>
      <c r="E202" s="210"/>
      <c r="F202" s="211"/>
      <c r="G202" s="211"/>
      <c r="H202" s="212"/>
      <c r="I202" s="351"/>
      <c r="J202" s="1286"/>
      <c r="K202" s="1276"/>
      <c r="L202" s="1287"/>
      <c r="M202" s="754"/>
      <c r="N202" s="755"/>
      <c r="O202" s="757"/>
      <c r="P202" s="756"/>
      <c r="Q202" s="281"/>
      <c r="R202" s="1524"/>
      <c r="S202" s="1587">
        <v>45931</v>
      </c>
      <c r="T202" s="1588" t="s">
        <v>6423</v>
      </c>
      <c r="U202" s="1521">
        <f t="shared" si="4"/>
        <v>10251.98347107438</v>
      </c>
      <c r="V202" s="1589">
        <v>12404.9</v>
      </c>
      <c r="W202" s="225"/>
      <c r="X202" s="225"/>
    </row>
    <row r="203" spans="2:24" ht="13.8">
      <c r="B203" s="141"/>
      <c r="C203" s="210"/>
      <c r="D203" s="163"/>
      <c r="E203" s="210"/>
      <c r="F203" s="211"/>
      <c r="G203" s="211"/>
      <c r="H203" s="212"/>
      <c r="I203" s="351"/>
      <c r="J203" s="1286"/>
      <c r="K203" s="1276"/>
      <c r="L203" s="1287"/>
      <c r="M203" s="754"/>
      <c r="N203" s="755"/>
      <c r="O203" s="757"/>
      <c r="P203" s="756"/>
      <c r="Q203" s="281"/>
      <c r="R203" s="1524"/>
      <c r="S203" s="1587">
        <v>45931</v>
      </c>
      <c r="T203" s="1588" t="s">
        <v>6424</v>
      </c>
      <c r="U203" s="1521">
        <f t="shared" si="4"/>
        <v>13103.96694214876</v>
      </c>
      <c r="V203" s="1589">
        <v>15855.8</v>
      </c>
      <c r="W203" s="225"/>
      <c r="X203" s="225"/>
    </row>
    <row r="204" spans="2:24">
      <c r="B204" s="141"/>
      <c r="C204" s="210"/>
      <c r="D204" s="163"/>
      <c r="E204" s="210"/>
      <c r="F204" s="211"/>
      <c r="G204" s="211"/>
      <c r="H204" s="212"/>
      <c r="I204" s="351"/>
      <c r="J204" s="1286"/>
      <c r="K204" s="1276"/>
      <c r="L204" s="1287"/>
      <c r="M204" s="754"/>
      <c r="N204" s="755"/>
      <c r="O204" s="757"/>
      <c r="P204" s="756"/>
      <c r="Q204" s="281"/>
      <c r="R204" s="1524"/>
      <c r="S204" s="1529"/>
      <c r="T204" s="1522"/>
      <c r="U204" s="1521"/>
      <c r="V204" s="1530"/>
      <c r="W204" s="225"/>
      <c r="X204" s="225"/>
    </row>
    <row r="205" spans="2:24">
      <c r="B205" s="141"/>
      <c r="C205" s="210"/>
      <c r="D205" s="163"/>
      <c r="E205" s="210"/>
      <c r="F205" s="211"/>
      <c r="G205" s="211"/>
      <c r="H205" s="212"/>
      <c r="I205" s="351"/>
      <c r="J205" s="1286"/>
      <c r="K205" s="1276"/>
      <c r="L205" s="1287"/>
      <c r="M205" s="754"/>
      <c r="N205" s="755"/>
      <c r="O205" s="757"/>
      <c r="P205" s="756"/>
      <c r="Q205" s="281"/>
      <c r="R205" s="1524"/>
      <c r="S205" s="1529"/>
      <c r="T205" s="1522"/>
      <c r="U205" s="1521"/>
      <c r="V205" s="1530"/>
      <c r="W205" s="225"/>
      <c r="X205" s="225"/>
    </row>
    <row r="206" spans="2:24">
      <c r="B206" s="141"/>
      <c r="C206" s="210"/>
      <c r="D206" s="163"/>
      <c r="E206" s="210"/>
      <c r="F206" s="211"/>
      <c r="G206" s="211"/>
      <c r="H206" s="212"/>
      <c r="I206" s="232"/>
      <c r="J206" s="1295"/>
      <c r="K206" s="1296"/>
      <c r="L206" s="1297"/>
      <c r="M206" s="995"/>
      <c r="N206" s="996"/>
      <c r="O206" s="997"/>
      <c r="P206" s="756"/>
      <c r="Q206" s="281"/>
      <c r="R206" s="514"/>
      <c r="S206" s="1531"/>
      <c r="T206" s="1527"/>
      <c r="U206" s="1528"/>
      <c r="V206" s="1532"/>
      <c r="W206" s="225"/>
      <c r="X206" s="225"/>
    </row>
    <row r="207" spans="2:24" ht="13.8" thickBot="1">
      <c r="B207" s="141"/>
      <c r="C207" s="210"/>
      <c r="D207" s="163"/>
      <c r="E207" s="210"/>
      <c r="F207" s="211"/>
      <c r="G207" s="211"/>
      <c r="H207" s="212"/>
      <c r="I207" s="1004" t="s">
        <v>4865</v>
      </c>
      <c r="J207" s="1298"/>
      <c r="K207" s="1283">
        <f>SUM(K178:K206)</f>
        <v>0</v>
      </c>
      <c r="L207" s="1284">
        <f>SUM(L178:L206)</f>
        <v>0</v>
      </c>
      <c r="M207" s="1001"/>
      <c r="N207" s="296">
        <f>SUM(N178:N206)</f>
        <v>0</v>
      </c>
      <c r="O207" s="297">
        <f>SUM(O178:O206)</f>
        <v>0</v>
      </c>
      <c r="P207" s="298"/>
      <c r="Q207" s="299">
        <f>SUM(Q178:Q206)</f>
        <v>149734</v>
      </c>
      <c r="R207" s="516">
        <f>SUM(R178:R206)</f>
        <v>181178.14</v>
      </c>
      <c r="S207" s="1533"/>
      <c r="T207" s="1534"/>
      <c r="U207" s="1535">
        <f>SUM(U178:U189)</f>
        <v>145423.88429752065</v>
      </c>
      <c r="V207" s="1536">
        <f>SUM(V178:V189)</f>
        <v>175962.89999999997</v>
      </c>
      <c r="W207" s="225"/>
      <c r="X207" s="225"/>
    </row>
    <row r="208" spans="2:24" ht="13.8" thickBot="1">
      <c r="B208" s="1108" t="s">
        <v>365</v>
      </c>
      <c r="C208" s="1103" t="s">
        <v>5989</v>
      </c>
      <c r="D208" s="1104">
        <v>68855958</v>
      </c>
      <c r="E208" s="1105" t="s">
        <v>5980</v>
      </c>
      <c r="F208" s="1106">
        <v>1695000</v>
      </c>
      <c r="G208" s="1106">
        <f>F208*1.21</f>
        <v>2050950</v>
      </c>
      <c r="H208" s="1107">
        <v>46752</v>
      </c>
      <c r="I208" s="753"/>
      <c r="J208" s="1289">
        <v>44734</v>
      </c>
      <c r="K208" s="1290">
        <f>L208*100/121</f>
        <v>249400</v>
      </c>
      <c r="L208" s="1291">
        <v>301774</v>
      </c>
      <c r="M208" s="980"/>
      <c r="N208" s="981"/>
      <c r="O208" s="982"/>
      <c r="P208" s="983"/>
      <c r="Q208" s="984"/>
      <c r="R208" s="762"/>
      <c r="S208" s="1525"/>
      <c r="T208" s="1411"/>
      <c r="U208" s="1526"/>
      <c r="V208" s="993"/>
      <c r="W208" s="991">
        <f>F208-N216-Q216-U216</f>
        <v>1695000</v>
      </c>
      <c r="X208" s="992">
        <f>G208-O216-R216-V216</f>
        <v>2050950</v>
      </c>
    </row>
    <row r="209" spans="2:24">
      <c r="B209" s="141"/>
      <c r="C209" s="210"/>
      <c r="D209" s="163"/>
      <c r="E209" s="210"/>
      <c r="F209" s="211"/>
      <c r="G209" s="211"/>
      <c r="H209" s="212"/>
      <c r="I209" s="213"/>
      <c r="J209" s="1272">
        <v>44903</v>
      </c>
      <c r="K209" s="1273">
        <f>L209*100/121</f>
        <v>436900</v>
      </c>
      <c r="L209" s="1274">
        <v>528649</v>
      </c>
      <c r="M209" s="216"/>
      <c r="N209" s="217"/>
      <c r="O209" s="218"/>
      <c r="P209" s="219"/>
      <c r="Q209" s="205"/>
      <c r="R209" s="303"/>
      <c r="S209" s="1092"/>
      <c r="T209" s="1509"/>
      <c r="U209" s="1179"/>
      <c r="V209" s="1180"/>
      <c r="W209" s="225"/>
      <c r="X209" s="225"/>
    </row>
    <row r="210" spans="2:24">
      <c r="B210" s="141"/>
      <c r="C210" s="210"/>
      <c r="D210" s="163"/>
      <c r="E210" s="210"/>
      <c r="F210" s="211"/>
      <c r="G210" s="211"/>
      <c r="H210" s="212"/>
      <c r="I210" s="213"/>
      <c r="J210" s="1272"/>
      <c r="K210" s="1273"/>
      <c r="L210" s="1274"/>
      <c r="M210" s="216"/>
      <c r="N210" s="217"/>
      <c r="O210" s="218"/>
      <c r="P210" s="219"/>
      <c r="Q210" s="205"/>
      <c r="R210" s="303"/>
      <c r="S210" s="570"/>
      <c r="T210" s="1411"/>
      <c r="U210" s="987"/>
      <c r="V210" s="751"/>
      <c r="W210" s="225"/>
      <c r="X210" s="225"/>
    </row>
    <row r="211" spans="2:24">
      <c r="B211" s="141"/>
      <c r="C211" s="210"/>
      <c r="D211" s="163"/>
      <c r="E211" s="210"/>
      <c r="F211" s="211"/>
      <c r="G211" s="211"/>
      <c r="H211" s="212"/>
      <c r="I211" s="213"/>
      <c r="J211" s="1272"/>
      <c r="K211" s="1273"/>
      <c r="L211" s="1274"/>
      <c r="M211" s="216"/>
      <c r="N211" s="217"/>
      <c r="O211" s="218"/>
      <c r="P211" s="219"/>
      <c r="Q211" s="205"/>
      <c r="R211" s="303"/>
      <c r="S211" s="570"/>
      <c r="T211" s="1411"/>
      <c r="U211" s="614"/>
      <c r="V211" s="989"/>
      <c r="W211" s="225"/>
      <c r="X211" s="225"/>
    </row>
    <row r="212" spans="2:24">
      <c r="B212" s="141"/>
      <c r="C212" s="210"/>
      <c r="D212" s="163"/>
      <c r="E212" s="210"/>
      <c r="F212" s="211"/>
      <c r="G212" s="211"/>
      <c r="H212" s="212"/>
      <c r="I212" s="213"/>
      <c r="J212" s="1272"/>
      <c r="K212" s="1273"/>
      <c r="L212" s="1274"/>
      <c r="M212" s="216"/>
      <c r="N212" s="217"/>
      <c r="O212" s="218"/>
      <c r="P212" s="219"/>
      <c r="Q212" s="205"/>
      <c r="R212" s="303"/>
      <c r="S212" s="571"/>
      <c r="T212" s="1510"/>
      <c r="U212" s="614"/>
      <c r="V212" s="989"/>
      <c r="W212" s="225"/>
      <c r="X212" s="225"/>
    </row>
    <row r="213" spans="2:24">
      <c r="B213" s="141"/>
      <c r="C213" s="210"/>
      <c r="D213" s="163"/>
      <c r="E213" s="210"/>
      <c r="F213" s="211"/>
      <c r="G213" s="211"/>
      <c r="H213" s="212"/>
      <c r="I213" s="213"/>
      <c r="J213" s="1272"/>
      <c r="K213" s="1273"/>
      <c r="L213" s="1274"/>
      <c r="M213" s="216"/>
      <c r="N213" s="217"/>
      <c r="O213" s="218"/>
      <c r="P213" s="219"/>
      <c r="Q213" s="205"/>
      <c r="R213" s="303"/>
      <c r="S213" s="571"/>
      <c r="T213" s="1510"/>
      <c r="U213" s="988"/>
      <c r="V213" s="990"/>
      <c r="W213" s="225"/>
      <c r="X213" s="225"/>
    </row>
    <row r="214" spans="2:24">
      <c r="B214" s="141"/>
      <c r="C214" s="210"/>
      <c r="D214" s="163"/>
      <c r="E214" s="210"/>
      <c r="F214" s="211"/>
      <c r="G214" s="211"/>
      <c r="H214" s="212"/>
      <c r="I214" s="213"/>
      <c r="J214" s="1292"/>
      <c r="K214" s="1293"/>
      <c r="L214" s="1294"/>
      <c r="M214" s="222"/>
      <c r="N214" s="223"/>
      <c r="O214" s="224"/>
      <c r="P214" s="219"/>
      <c r="Q214" s="205"/>
      <c r="R214" s="303"/>
      <c r="S214" s="571"/>
      <c r="T214" s="1510"/>
      <c r="U214" s="988"/>
      <c r="V214" s="990"/>
      <c r="W214" s="225"/>
      <c r="X214" s="225"/>
    </row>
    <row r="215" spans="2:24">
      <c r="B215" s="141"/>
      <c r="C215" s="210"/>
      <c r="D215" s="163"/>
      <c r="E215" s="210"/>
      <c r="F215" s="211"/>
      <c r="G215" s="211"/>
      <c r="H215" s="212"/>
      <c r="I215" s="232"/>
      <c r="J215" s="1295"/>
      <c r="K215" s="1296"/>
      <c r="L215" s="1297"/>
      <c r="M215" s="995"/>
      <c r="N215" s="996"/>
      <c r="O215" s="997"/>
      <c r="P215" s="756"/>
      <c r="Q215" s="281"/>
      <c r="R215" s="514"/>
      <c r="S215" s="998"/>
      <c r="T215" s="1507"/>
      <c r="U215" s="999"/>
      <c r="V215" s="1000"/>
      <c r="W215" s="225"/>
      <c r="X215" s="225"/>
    </row>
    <row r="216" spans="2:24" ht="13.8" thickBot="1">
      <c r="B216" s="141"/>
      <c r="C216" s="210"/>
      <c r="D216" s="163"/>
      <c r="E216" s="210"/>
      <c r="F216" s="211"/>
      <c r="G216" s="211"/>
      <c r="H216" s="212"/>
      <c r="I216" s="1004" t="s">
        <v>4865</v>
      </c>
      <c r="J216" s="1298"/>
      <c r="K216" s="1283">
        <f>SUM(K208:K215)</f>
        <v>686300</v>
      </c>
      <c r="L216" s="1284">
        <f>SUM(L208:L215)</f>
        <v>830423</v>
      </c>
      <c r="M216" s="1001"/>
      <c r="N216" s="296">
        <f>SUM(N208:N215)</f>
        <v>0</v>
      </c>
      <c r="O216" s="297">
        <f>SUM(O208:O215)</f>
        <v>0</v>
      </c>
      <c r="P216" s="298"/>
      <c r="Q216" s="299">
        <f>SUM(Q208:Q215)</f>
        <v>0</v>
      </c>
      <c r="R216" s="516">
        <f>SUM(R208:R215)</f>
        <v>0</v>
      </c>
      <c r="S216" s="1002"/>
      <c r="T216" s="1508"/>
      <c r="U216" s="1003">
        <f>SUM(U208:U214)</f>
        <v>0</v>
      </c>
      <c r="V216" s="761">
        <f>SUM(V208:V214)</f>
        <v>0</v>
      </c>
      <c r="W216" s="225"/>
      <c r="X216" s="225"/>
    </row>
    <row r="217" spans="2:24" ht="13.8" thickBot="1">
      <c r="B217" s="1108" t="s">
        <v>489</v>
      </c>
      <c r="C217" s="1103" t="s">
        <v>5990</v>
      </c>
      <c r="D217" s="1104">
        <v>68855958</v>
      </c>
      <c r="E217" s="1105" t="s">
        <v>5980</v>
      </c>
      <c r="F217" s="1106">
        <v>1970000</v>
      </c>
      <c r="G217" s="1106">
        <v>2383700</v>
      </c>
      <c r="H217" s="1107">
        <v>46752</v>
      </c>
      <c r="I217" s="753"/>
      <c r="J217" s="1289"/>
      <c r="K217" s="1290"/>
      <c r="L217" s="1291"/>
      <c r="M217" s="980">
        <v>44942</v>
      </c>
      <c r="N217" s="981">
        <f>O217*100/121</f>
        <v>270500</v>
      </c>
      <c r="O217" s="982">
        <v>327305</v>
      </c>
      <c r="P217" s="983">
        <v>45365</v>
      </c>
      <c r="Q217" s="984">
        <f>R217*100/121</f>
        <v>1276300</v>
      </c>
      <c r="R217" s="1377">
        <v>1544323</v>
      </c>
      <c r="S217" s="985">
        <v>45701</v>
      </c>
      <c r="T217" s="1410"/>
      <c r="U217" s="986">
        <f>V217*100/121</f>
        <v>124700</v>
      </c>
      <c r="V217" s="970">
        <v>150887</v>
      </c>
      <c r="W217" s="991">
        <f>F217-N224-Q224-U224</f>
        <v>298500</v>
      </c>
      <c r="X217" s="992">
        <f>G217-O224-R224-V224</f>
        <v>361185</v>
      </c>
    </row>
    <row r="218" spans="2:24">
      <c r="B218" s="141"/>
      <c r="C218" s="210"/>
      <c r="D218" s="163"/>
      <c r="E218" s="210"/>
      <c r="F218" s="211"/>
      <c r="G218" s="211"/>
      <c r="H218" s="212"/>
      <c r="I218" s="213"/>
      <c r="J218" s="1272"/>
      <c r="K218" s="1273"/>
      <c r="L218" s="1274"/>
      <c r="M218" s="216"/>
      <c r="N218" s="217"/>
      <c r="O218" s="218"/>
      <c r="P218" s="219"/>
      <c r="Q218" s="205"/>
      <c r="R218" s="303"/>
      <c r="S218" s="570"/>
      <c r="T218" s="1411"/>
      <c r="U218" s="994"/>
      <c r="V218" s="993"/>
      <c r="W218" s="225"/>
      <c r="X218" s="225"/>
    </row>
    <row r="219" spans="2:24">
      <c r="B219" s="141"/>
      <c r="C219" s="210"/>
      <c r="D219" s="163"/>
      <c r="E219" s="210"/>
      <c r="F219" s="211"/>
      <c r="G219" s="211"/>
      <c r="H219" s="212"/>
      <c r="I219" s="213"/>
      <c r="J219" s="1272"/>
      <c r="K219" s="1273"/>
      <c r="L219" s="1274"/>
      <c r="M219" s="216"/>
      <c r="N219" s="217"/>
      <c r="O219" s="218"/>
      <c r="P219" s="219"/>
      <c r="Q219" s="205"/>
      <c r="R219" s="303"/>
      <c r="S219" s="570"/>
      <c r="T219" s="1411"/>
      <c r="U219" s="987"/>
      <c r="V219" s="751"/>
      <c r="W219" s="225"/>
      <c r="X219" s="225"/>
    </row>
    <row r="220" spans="2:24">
      <c r="B220" s="141"/>
      <c r="C220" s="210"/>
      <c r="D220" s="163"/>
      <c r="E220" s="210"/>
      <c r="F220" s="211"/>
      <c r="G220" s="211"/>
      <c r="H220" s="212"/>
      <c r="I220" s="213"/>
      <c r="J220" s="1272"/>
      <c r="K220" s="1273"/>
      <c r="L220" s="1274"/>
      <c r="M220" s="216"/>
      <c r="N220" s="217"/>
      <c r="O220" s="218"/>
      <c r="P220" s="219"/>
      <c r="Q220" s="205"/>
      <c r="R220" s="303"/>
      <c r="S220" s="570"/>
      <c r="T220" s="1411"/>
      <c r="U220" s="614"/>
      <c r="V220" s="989"/>
      <c r="W220" s="225"/>
      <c r="X220" s="225"/>
    </row>
    <row r="221" spans="2:24">
      <c r="B221" s="141"/>
      <c r="C221" s="210"/>
      <c r="D221" s="163"/>
      <c r="E221" s="210"/>
      <c r="F221" s="211"/>
      <c r="G221" s="211"/>
      <c r="H221" s="212"/>
      <c r="I221" s="213"/>
      <c r="J221" s="1272"/>
      <c r="K221" s="1273"/>
      <c r="L221" s="1274"/>
      <c r="M221" s="216"/>
      <c r="N221" s="217"/>
      <c r="O221" s="218"/>
      <c r="P221" s="219"/>
      <c r="Q221" s="205"/>
      <c r="R221" s="303"/>
      <c r="S221" s="571"/>
      <c r="T221" s="1510"/>
      <c r="U221" s="988"/>
      <c r="V221" s="990"/>
      <c r="W221" s="225"/>
      <c r="X221" s="225"/>
    </row>
    <row r="222" spans="2:24">
      <c r="B222" s="141"/>
      <c r="C222" s="210"/>
      <c r="D222" s="163"/>
      <c r="E222" s="210"/>
      <c r="F222" s="211"/>
      <c r="G222" s="211"/>
      <c r="H222" s="212"/>
      <c r="I222" s="213"/>
      <c r="J222" s="1292"/>
      <c r="K222" s="1293"/>
      <c r="L222" s="1294"/>
      <c r="M222" s="222"/>
      <c r="N222" s="223"/>
      <c r="O222" s="224"/>
      <c r="P222" s="219"/>
      <c r="Q222" s="205"/>
      <c r="R222" s="303"/>
      <c r="S222" s="571"/>
      <c r="T222" s="1510"/>
      <c r="U222" s="988"/>
      <c r="V222" s="990"/>
      <c r="W222" s="225"/>
      <c r="X222" s="225"/>
    </row>
    <row r="223" spans="2:24">
      <c r="B223" s="141"/>
      <c r="C223" s="210"/>
      <c r="D223" s="163"/>
      <c r="E223" s="210"/>
      <c r="F223" s="211"/>
      <c r="G223" s="211"/>
      <c r="H223" s="212"/>
      <c r="I223" s="232"/>
      <c r="J223" s="1295"/>
      <c r="K223" s="1296"/>
      <c r="L223" s="1297"/>
      <c r="M223" s="995"/>
      <c r="N223" s="996"/>
      <c r="O223" s="997"/>
      <c r="P223" s="756"/>
      <c r="Q223" s="281"/>
      <c r="R223" s="514"/>
      <c r="S223" s="998"/>
      <c r="T223" s="1507"/>
      <c r="U223" s="999"/>
      <c r="V223" s="1000"/>
      <c r="W223" s="225"/>
      <c r="X223" s="225"/>
    </row>
    <row r="224" spans="2:24" ht="13.8" thickBot="1">
      <c r="B224" s="141"/>
      <c r="C224" s="210"/>
      <c r="D224" s="163"/>
      <c r="E224" s="210"/>
      <c r="F224" s="211"/>
      <c r="G224" s="211"/>
      <c r="H224" s="212"/>
      <c r="I224" s="1004" t="s">
        <v>4865</v>
      </c>
      <c r="J224" s="1298"/>
      <c r="K224" s="1283"/>
      <c r="L224" s="1284"/>
      <c r="M224" s="1001"/>
      <c r="N224" s="296">
        <f>SUM(N217:N223)</f>
        <v>270500</v>
      </c>
      <c r="O224" s="297">
        <f>SUM(O217:O223)</f>
        <v>327305</v>
      </c>
      <c r="P224" s="298"/>
      <c r="Q224" s="299">
        <f>SUM(Q217:Q223)</f>
        <v>1276300</v>
      </c>
      <c r="R224" s="516">
        <f>SUM(R217:R223)</f>
        <v>1544323</v>
      </c>
      <c r="S224" s="1002"/>
      <c r="T224" s="1508"/>
      <c r="U224" s="1003">
        <f>SUM(U217:U222)</f>
        <v>124700</v>
      </c>
      <c r="V224" s="761">
        <f>SUM(V217:V222)</f>
        <v>150887</v>
      </c>
      <c r="W224" s="225"/>
      <c r="X224" s="225"/>
    </row>
    <row r="225" spans="2:24" ht="13.8" thickBot="1">
      <c r="B225" s="1108" t="s">
        <v>515</v>
      </c>
      <c r="C225" s="1103" t="s">
        <v>5981</v>
      </c>
      <c r="D225" s="1104">
        <v>68855958</v>
      </c>
      <c r="E225" s="1105" t="s">
        <v>5980</v>
      </c>
      <c r="F225" s="1106">
        <v>1365500</v>
      </c>
      <c r="G225" s="1106">
        <v>1652255</v>
      </c>
      <c r="H225" s="1107">
        <v>46752</v>
      </c>
      <c r="I225" s="753"/>
      <c r="J225" s="1289"/>
      <c r="K225" s="1290"/>
      <c r="L225" s="1291"/>
      <c r="M225" s="980"/>
      <c r="N225" s="981"/>
      <c r="O225" s="982"/>
      <c r="P225" s="983">
        <v>45455</v>
      </c>
      <c r="Q225" s="984">
        <f>R225*100/121</f>
        <v>55360.330578512396</v>
      </c>
      <c r="R225" s="1377">
        <v>66986</v>
      </c>
      <c r="S225" s="985">
        <v>45701</v>
      </c>
      <c r="T225" s="1410"/>
      <c r="U225" s="986">
        <f>V225*100/121</f>
        <v>255080</v>
      </c>
      <c r="V225" s="970">
        <v>308646.8</v>
      </c>
      <c r="W225" s="991">
        <f>F225-N233-Q233-U233</f>
        <v>461869.66942148749</v>
      </c>
      <c r="X225" s="992">
        <f>G225-O233-R233-V233</f>
        <v>558863.19999999995</v>
      </c>
    </row>
    <row r="226" spans="2:24">
      <c r="B226" s="141"/>
      <c r="C226" s="210"/>
      <c r="D226" s="163"/>
      <c r="E226" s="210"/>
      <c r="F226" s="211"/>
      <c r="G226" s="211"/>
      <c r="H226" s="212"/>
      <c r="I226" s="213"/>
      <c r="J226" s="1272"/>
      <c r="K226" s="1273"/>
      <c r="L226" s="1274"/>
      <c r="M226" s="216"/>
      <c r="N226" s="217"/>
      <c r="O226" s="218"/>
      <c r="P226" s="219"/>
      <c r="Q226" s="205"/>
      <c r="R226" s="1378"/>
      <c r="S226" s="570">
        <v>45896</v>
      </c>
      <c r="T226" s="1411"/>
      <c r="U226" s="994">
        <v>593190</v>
      </c>
      <c r="V226" s="993">
        <v>717759</v>
      </c>
      <c r="W226" s="225"/>
      <c r="X226" s="225"/>
    </row>
    <row r="227" spans="2:24">
      <c r="B227" s="141"/>
      <c r="C227" s="210"/>
      <c r="D227" s="163"/>
      <c r="E227" s="210"/>
      <c r="F227" s="211"/>
      <c r="G227" s="211"/>
      <c r="H227" s="212"/>
      <c r="I227" s="213"/>
      <c r="J227" s="1272"/>
      <c r="K227" s="1273"/>
      <c r="L227" s="1274"/>
      <c r="M227" s="216"/>
      <c r="N227" s="217"/>
      <c r="O227" s="218"/>
      <c r="P227" s="219"/>
      <c r="Q227" s="205"/>
      <c r="R227" s="303"/>
      <c r="S227" s="570" t="s">
        <v>5445</v>
      </c>
      <c r="T227" s="1411"/>
      <c r="U227" s="987"/>
      <c r="V227" s="751" t="s">
        <v>5445</v>
      </c>
      <c r="W227" s="225"/>
      <c r="X227" s="225"/>
    </row>
    <row r="228" spans="2:24">
      <c r="B228" s="141"/>
      <c r="C228" s="210"/>
      <c r="D228" s="163"/>
      <c r="E228" s="210"/>
      <c r="F228" s="211"/>
      <c r="G228" s="211"/>
      <c r="H228" s="212"/>
      <c r="I228" s="213"/>
      <c r="J228" s="1272"/>
      <c r="K228" s="1273"/>
      <c r="L228" s="1274"/>
      <c r="M228" s="216"/>
      <c r="N228" s="217"/>
      <c r="O228" s="218"/>
      <c r="P228" s="219"/>
      <c r="Q228" s="205"/>
      <c r="R228" s="303"/>
      <c r="S228" s="570"/>
      <c r="T228" s="1411"/>
      <c r="U228" s="614"/>
      <c r="V228" s="989"/>
      <c r="W228" s="225"/>
      <c r="X228" s="225"/>
    </row>
    <row r="229" spans="2:24">
      <c r="B229" s="141"/>
      <c r="C229" s="210"/>
      <c r="D229" s="163"/>
      <c r="E229" s="210"/>
      <c r="F229" s="211"/>
      <c r="G229" s="211"/>
      <c r="H229" s="212"/>
      <c r="I229" s="213"/>
      <c r="J229" s="1272"/>
      <c r="K229" s="1273"/>
      <c r="L229" s="1274"/>
      <c r="M229" s="216"/>
      <c r="N229" s="217"/>
      <c r="O229" s="218"/>
      <c r="P229" s="219"/>
      <c r="Q229" s="205"/>
      <c r="R229" s="303"/>
      <c r="S229" s="571"/>
      <c r="T229" s="1510"/>
      <c r="U229" s="614"/>
      <c r="V229" s="989"/>
      <c r="W229" s="225"/>
      <c r="X229" s="225"/>
    </row>
    <row r="230" spans="2:24">
      <c r="B230" s="141"/>
      <c r="C230" s="210"/>
      <c r="D230" s="163"/>
      <c r="E230" s="210"/>
      <c r="F230" s="211"/>
      <c r="G230" s="211"/>
      <c r="H230" s="212"/>
      <c r="I230" s="213"/>
      <c r="J230" s="1272"/>
      <c r="K230" s="1273"/>
      <c r="L230" s="1274"/>
      <c r="M230" s="216"/>
      <c r="N230" s="217"/>
      <c r="O230" s="218"/>
      <c r="P230" s="219"/>
      <c r="Q230" s="205"/>
      <c r="R230" s="303"/>
      <c r="S230" s="571"/>
      <c r="T230" s="1510"/>
      <c r="U230" s="988"/>
      <c r="V230" s="990"/>
      <c r="W230" s="225"/>
      <c r="X230" s="225"/>
    </row>
    <row r="231" spans="2:24">
      <c r="B231" s="141"/>
      <c r="C231" s="210"/>
      <c r="D231" s="163"/>
      <c r="E231" s="210"/>
      <c r="F231" s="211"/>
      <c r="G231" s="211"/>
      <c r="H231" s="212"/>
      <c r="I231" s="213"/>
      <c r="J231" s="1292"/>
      <c r="K231" s="1293"/>
      <c r="L231" s="1294"/>
      <c r="M231" s="222"/>
      <c r="N231" s="223"/>
      <c r="O231" s="224"/>
      <c r="P231" s="219"/>
      <c r="Q231" s="205"/>
      <c r="R231" s="303"/>
      <c r="S231" s="571"/>
      <c r="T231" s="1510"/>
      <c r="U231" s="988"/>
      <c r="V231" s="990"/>
      <c r="W231" s="225"/>
      <c r="X231" s="225"/>
    </row>
    <row r="232" spans="2:24">
      <c r="B232" s="141"/>
      <c r="C232" s="210"/>
      <c r="D232" s="163"/>
      <c r="E232" s="210"/>
      <c r="F232" s="211"/>
      <c r="G232" s="211"/>
      <c r="H232" s="212"/>
      <c r="I232" s="232"/>
      <c r="J232" s="1295"/>
      <c r="K232" s="1296"/>
      <c r="L232" s="1297"/>
      <c r="M232" s="995"/>
      <c r="N232" s="996"/>
      <c r="O232" s="997"/>
      <c r="P232" s="756"/>
      <c r="Q232" s="281"/>
      <c r="R232" s="514"/>
      <c r="S232" s="998"/>
      <c r="T232" s="1507"/>
      <c r="U232" s="999"/>
      <c r="V232" s="1000"/>
      <c r="W232" s="225"/>
      <c r="X232" s="225"/>
    </row>
    <row r="233" spans="2:24" ht="13.8" thickBot="1">
      <c r="B233" s="141"/>
      <c r="C233" s="210"/>
      <c r="D233" s="163"/>
      <c r="E233" s="210"/>
      <c r="F233" s="211"/>
      <c r="G233" s="211"/>
      <c r="H233" s="212"/>
      <c r="I233" s="1004" t="s">
        <v>4865</v>
      </c>
      <c r="J233" s="1298"/>
      <c r="K233" s="1283">
        <f>SUM(K225:K232)</f>
        <v>0</v>
      </c>
      <c r="L233" s="1284">
        <f>SUM(L225:L232)</f>
        <v>0</v>
      </c>
      <c r="M233" s="1001"/>
      <c r="N233" s="296">
        <f>SUM(N225:N232)</f>
        <v>0</v>
      </c>
      <c r="O233" s="297">
        <f>SUM(O225:O232)</f>
        <v>0</v>
      </c>
      <c r="P233" s="298"/>
      <c r="Q233" s="299">
        <f>SUM(Q225:Q232)</f>
        <v>55360.330578512396</v>
      </c>
      <c r="R233" s="516">
        <f>SUM(R225:R232)</f>
        <v>66986</v>
      </c>
      <c r="S233" s="1002"/>
      <c r="T233" s="1508"/>
      <c r="U233" s="1003">
        <f>SUM(U225:U231)</f>
        <v>848270</v>
      </c>
      <c r="V233" s="761">
        <f>SUM(V225:V231)</f>
        <v>1026405.8</v>
      </c>
      <c r="W233" s="225"/>
      <c r="X233" s="225"/>
    </row>
    <row r="234" spans="2:24" ht="13.8" thickBot="1">
      <c r="B234" s="1108" t="s">
        <v>759</v>
      </c>
      <c r="C234" s="1103" t="s">
        <v>5982</v>
      </c>
      <c r="D234" s="1104">
        <v>68855958</v>
      </c>
      <c r="E234" s="1105" t="s">
        <v>5980</v>
      </c>
      <c r="F234" s="1106">
        <v>1338500</v>
      </c>
      <c r="G234" s="1106">
        <v>1619585</v>
      </c>
      <c r="H234" s="1107">
        <v>46752</v>
      </c>
      <c r="I234" s="753"/>
      <c r="J234" s="1289"/>
      <c r="K234" s="1290"/>
      <c r="L234" s="1291"/>
      <c r="M234" s="980"/>
      <c r="N234" s="981"/>
      <c r="O234" s="982"/>
      <c r="P234" s="983">
        <v>45320</v>
      </c>
      <c r="Q234" s="984">
        <f>R234/1.21</f>
        <v>63119.834710743802</v>
      </c>
      <c r="R234" s="762">
        <v>76375</v>
      </c>
      <c r="S234" s="985">
        <v>45882</v>
      </c>
      <c r="T234" s="1410"/>
      <c r="U234" s="986">
        <v>502675</v>
      </c>
      <c r="V234" s="970">
        <v>608236</v>
      </c>
      <c r="W234" s="991">
        <f>F234-N241-Q241-U241</f>
        <v>445900.2066115702</v>
      </c>
      <c r="X234" s="992">
        <f>G234-O241-R241-V241</f>
        <v>539540</v>
      </c>
    </row>
    <row r="235" spans="2:24">
      <c r="B235" s="141"/>
      <c r="C235" s="210"/>
      <c r="D235" s="163"/>
      <c r="E235" s="210"/>
      <c r="F235" s="211"/>
      <c r="G235" s="211"/>
      <c r="H235" s="212"/>
      <c r="I235" s="213"/>
      <c r="J235" s="1272"/>
      <c r="K235" s="1273"/>
      <c r="L235" s="1274"/>
      <c r="M235" s="216"/>
      <c r="N235" s="217"/>
      <c r="O235" s="218"/>
      <c r="P235" s="219">
        <v>45628</v>
      </c>
      <c r="Q235" s="205">
        <f>R235*100/121</f>
        <v>326804.95867768594</v>
      </c>
      <c r="R235" s="303">
        <v>395434</v>
      </c>
      <c r="S235" s="570"/>
      <c r="T235" s="1411"/>
      <c r="U235" s="994"/>
      <c r="V235" s="993"/>
      <c r="W235" s="225"/>
      <c r="X235" s="225"/>
    </row>
    <row r="236" spans="2:24">
      <c r="B236" s="141"/>
      <c r="C236" s="210"/>
      <c r="D236" s="163"/>
      <c r="E236" s="210"/>
      <c r="F236" s="211"/>
      <c r="G236" s="211"/>
      <c r="H236" s="212"/>
      <c r="I236" s="213"/>
      <c r="J236" s="1272"/>
      <c r="K236" s="1273"/>
      <c r="L236" s="1274"/>
      <c r="M236" s="216"/>
      <c r="N236" s="217"/>
      <c r="O236" s="218"/>
      <c r="P236" s="219"/>
      <c r="Q236" s="205"/>
      <c r="R236" s="303"/>
      <c r="S236" s="570"/>
      <c r="T236" s="1411"/>
      <c r="U236" s="987"/>
      <c r="V236" s="751"/>
      <c r="W236" s="225"/>
      <c r="X236" s="225"/>
    </row>
    <row r="237" spans="2:24">
      <c r="B237" s="141"/>
      <c r="C237" s="210"/>
      <c r="D237" s="163"/>
      <c r="E237" s="210"/>
      <c r="F237" s="211"/>
      <c r="G237" s="211"/>
      <c r="H237" s="212"/>
      <c r="I237" s="213"/>
      <c r="J237" s="1272"/>
      <c r="K237" s="1273"/>
      <c r="L237" s="1274"/>
      <c r="M237" s="216"/>
      <c r="N237" s="217"/>
      <c r="O237" s="218"/>
      <c r="P237" s="219"/>
      <c r="Q237" s="205"/>
      <c r="R237" s="303"/>
      <c r="S237" s="570"/>
      <c r="T237" s="1411"/>
      <c r="U237" s="614"/>
      <c r="V237" s="989"/>
      <c r="W237" s="225"/>
      <c r="X237" s="225"/>
    </row>
    <row r="238" spans="2:24">
      <c r="B238" s="141"/>
      <c r="C238" s="210"/>
      <c r="D238" s="163"/>
      <c r="E238" s="210"/>
      <c r="F238" s="211"/>
      <c r="G238" s="211"/>
      <c r="H238" s="212"/>
      <c r="I238" s="213"/>
      <c r="J238" s="1272"/>
      <c r="K238" s="1273"/>
      <c r="L238" s="1274"/>
      <c r="M238" s="216"/>
      <c r="N238" s="217"/>
      <c r="O238" s="218"/>
      <c r="P238" s="219"/>
      <c r="Q238" s="205"/>
      <c r="R238" s="303"/>
      <c r="S238" s="571"/>
      <c r="T238" s="1510"/>
      <c r="U238" s="988"/>
      <c r="V238" s="990"/>
      <c r="W238" s="225"/>
      <c r="X238" s="225"/>
    </row>
    <row r="239" spans="2:24">
      <c r="B239" s="141"/>
      <c r="C239" s="210"/>
      <c r="D239" s="163"/>
      <c r="E239" s="210"/>
      <c r="F239" s="211"/>
      <c r="G239" s="211"/>
      <c r="H239" s="212"/>
      <c r="I239" s="213"/>
      <c r="J239" s="1292"/>
      <c r="K239" s="1293"/>
      <c r="L239" s="1294"/>
      <c r="M239" s="222"/>
      <c r="N239" s="223"/>
      <c r="O239" s="224"/>
      <c r="P239" s="219"/>
      <c r="Q239" s="205"/>
      <c r="R239" s="303"/>
      <c r="S239" s="571"/>
      <c r="T239" s="1510"/>
      <c r="U239" s="988"/>
      <c r="V239" s="990"/>
      <c r="W239" s="225"/>
      <c r="X239" s="225"/>
    </row>
    <row r="240" spans="2:24">
      <c r="B240" s="141"/>
      <c r="C240" s="210"/>
      <c r="D240" s="163"/>
      <c r="E240" s="210"/>
      <c r="F240" s="211"/>
      <c r="G240" s="211"/>
      <c r="H240" s="212"/>
      <c r="I240" s="232"/>
      <c r="J240" s="1295"/>
      <c r="K240" s="1296"/>
      <c r="L240" s="1297"/>
      <c r="M240" s="995"/>
      <c r="N240" s="996"/>
      <c r="O240" s="997"/>
      <c r="P240" s="756"/>
      <c r="Q240" s="281"/>
      <c r="R240" s="514"/>
      <c r="S240" s="998"/>
      <c r="T240" s="1507"/>
      <c r="U240" s="999"/>
      <c r="V240" s="1000"/>
      <c r="W240" s="225"/>
      <c r="X240" s="225"/>
    </row>
    <row r="241" spans="2:24" ht="13.8" thickBot="1">
      <c r="B241" s="141"/>
      <c r="C241" s="210"/>
      <c r="D241" s="163"/>
      <c r="E241" s="210"/>
      <c r="F241" s="211"/>
      <c r="G241" s="211"/>
      <c r="H241" s="212"/>
      <c r="I241" s="1004" t="s">
        <v>4865</v>
      </c>
      <c r="J241" s="1298"/>
      <c r="K241" s="1283">
        <f>SUM(K234:K240)</f>
        <v>0</v>
      </c>
      <c r="L241" s="1284">
        <f>SUM(L234:L240)</f>
        <v>0</v>
      </c>
      <c r="M241" s="1001"/>
      <c r="N241" s="296">
        <f>SUM(N234:N240)</f>
        <v>0</v>
      </c>
      <c r="O241" s="297">
        <f>SUM(O234:O240)</f>
        <v>0</v>
      </c>
      <c r="P241" s="298"/>
      <c r="Q241" s="299">
        <f>SUM(Q234:Q240)</f>
        <v>389924.79338842974</v>
      </c>
      <c r="R241" s="516">
        <f>SUM(R234:R240)</f>
        <v>471809</v>
      </c>
      <c r="S241" s="1002"/>
      <c r="T241" s="1508"/>
      <c r="U241" s="1003">
        <f>SUM(U234:U239)</f>
        <v>502675</v>
      </c>
      <c r="V241" s="761">
        <f>SUM(V234:V239)</f>
        <v>608236</v>
      </c>
      <c r="W241" s="225"/>
      <c r="X241" s="225"/>
    </row>
    <row r="242" spans="2:24" ht="13.8" thickBot="1">
      <c r="B242" s="1108" t="s">
        <v>762</v>
      </c>
      <c r="C242" s="1103" t="s">
        <v>5983</v>
      </c>
      <c r="D242" s="1104">
        <v>68855958</v>
      </c>
      <c r="E242" s="1105" t="s">
        <v>5980</v>
      </c>
      <c r="F242" s="1106">
        <v>1344950</v>
      </c>
      <c r="G242" s="1106">
        <v>1627390</v>
      </c>
      <c r="H242" s="1107">
        <v>46752</v>
      </c>
      <c r="I242" s="753"/>
      <c r="J242" s="1289"/>
      <c r="K242" s="1290"/>
      <c r="L242" s="1291"/>
      <c r="M242" s="980"/>
      <c r="N242" s="981"/>
      <c r="O242" s="982"/>
      <c r="P242" s="983">
        <v>45320</v>
      </c>
      <c r="Q242" s="205">
        <f>R242*100/121</f>
        <v>86000</v>
      </c>
      <c r="R242" s="762">
        <v>104060</v>
      </c>
      <c r="S242" s="985">
        <v>45882</v>
      </c>
      <c r="T242" s="1410"/>
      <c r="U242" s="986">
        <v>472070</v>
      </c>
      <c r="V242" s="970">
        <v>571204</v>
      </c>
      <c r="W242" s="991">
        <f>F242-N250-Q250-U250</f>
        <v>438680</v>
      </c>
      <c r="X242" s="992">
        <f>G242-O250-R250-V250</f>
        <v>530804</v>
      </c>
    </row>
    <row r="243" spans="2:24">
      <c r="B243" s="141"/>
      <c r="C243" s="210"/>
      <c r="D243" s="163"/>
      <c r="E243" s="210"/>
      <c r="F243" s="211"/>
      <c r="G243" s="211"/>
      <c r="H243" s="212"/>
      <c r="I243" s="213"/>
      <c r="J243" s="1272"/>
      <c r="K243" s="1273"/>
      <c r="L243" s="1274"/>
      <c r="M243" s="216"/>
      <c r="N243" s="217"/>
      <c r="O243" s="218"/>
      <c r="P243" s="219">
        <v>45628</v>
      </c>
      <c r="Q243" s="205">
        <f>R243*100/121</f>
        <v>348200</v>
      </c>
      <c r="R243" s="303">
        <v>421322</v>
      </c>
      <c r="S243" s="570"/>
      <c r="T243" s="1411"/>
      <c r="U243" s="994"/>
      <c r="V243" s="993"/>
      <c r="W243" s="225"/>
      <c r="X243" s="225"/>
    </row>
    <row r="244" spans="2:24">
      <c r="B244" s="141"/>
      <c r="C244" s="210"/>
      <c r="D244" s="163"/>
      <c r="E244" s="210"/>
      <c r="F244" s="211"/>
      <c r="G244" s="211"/>
      <c r="H244" s="212"/>
      <c r="I244" s="213"/>
      <c r="J244" s="1272"/>
      <c r="K244" s="1273"/>
      <c r="L244" s="1274"/>
      <c r="M244" s="216"/>
      <c r="N244" s="217"/>
      <c r="O244" s="218"/>
      <c r="P244" s="219"/>
      <c r="Q244" s="205"/>
      <c r="R244" s="303"/>
      <c r="S244" s="570"/>
      <c r="T244" s="1411"/>
      <c r="U244" s="987"/>
      <c r="V244" s="751"/>
      <c r="W244" s="225"/>
      <c r="X244" s="225"/>
    </row>
    <row r="245" spans="2:24">
      <c r="B245" s="141"/>
      <c r="C245" s="210"/>
      <c r="D245" s="163"/>
      <c r="E245" s="210"/>
      <c r="F245" s="211"/>
      <c r="G245" s="211"/>
      <c r="H245" s="212"/>
      <c r="I245" s="213"/>
      <c r="J245" s="1272"/>
      <c r="K245" s="1273"/>
      <c r="L245" s="1274"/>
      <c r="M245" s="216"/>
      <c r="N245" s="217"/>
      <c r="O245" s="218"/>
      <c r="P245" s="219"/>
      <c r="Q245" s="205"/>
      <c r="R245" s="303"/>
      <c r="S245" s="570"/>
      <c r="T245" s="1411"/>
      <c r="U245" s="614"/>
      <c r="V245" s="989"/>
      <c r="W245" s="225"/>
      <c r="X245" s="225"/>
    </row>
    <row r="246" spans="2:24">
      <c r="B246" s="141"/>
      <c r="C246" s="210"/>
      <c r="D246" s="163"/>
      <c r="E246" s="210"/>
      <c r="F246" s="211"/>
      <c r="G246" s="211"/>
      <c r="H246" s="212"/>
      <c r="I246" s="213"/>
      <c r="J246" s="1272"/>
      <c r="K246" s="1273"/>
      <c r="L246" s="1274"/>
      <c r="M246" s="216"/>
      <c r="N246" s="217"/>
      <c r="O246" s="218"/>
      <c r="P246" s="219"/>
      <c r="Q246" s="205"/>
      <c r="R246" s="303"/>
      <c r="S246" s="570"/>
      <c r="T246" s="1411"/>
      <c r="U246" s="614"/>
      <c r="V246" s="989"/>
      <c r="W246" s="225"/>
      <c r="X246" s="225"/>
    </row>
    <row r="247" spans="2:24">
      <c r="B247" s="141"/>
      <c r="C247" s="210"/>
      <c r="D247" s="163"/>
      <c r="E247" s="210"/>
      <c r="F247" s="211"/>
      <c r="G247" s="211"/>
      <c r="H247" s="212"/>
      <c r="I247" s="213"/>
      <c r="J247" s="1272"/>
      <c r="K247" s="1273"/>
      <c r="L247" s="1274"/>
      <c r="M247" s="216"/>
      <c r="N247" s="217"/>
      <c r="O247" s="218"/>
      <c r="P247" s="219"/>
      <c r="Q247" s="205"/>
      <c r="R247" s="303"/>
      <c r="S247" s="571"/>
      <c r="T247" s="1510"/>
      <c r="U247" s="988"/>
      <c r="V247" s="990"/>
      <c r="W247" s="225"/>
      <c r="X247" s="225"/>
    </row>
    <row r="248" spans="2:24">
      <c r="B248" s="141"/>
      <c r="C248" s="210"/>
      <c r="D248" s="163"/>
      <c r="E248" s="210"/>
      <c r="F248" s="211"/>
      <c r="G248" s="211"/>
      <c r="H248" s="212"/>
      <c r="I248" s="213"/>
      <c r="J248" s="1292"/>
      <c r="K248" s="1293"/>
      <c r="L248" s="1294"/>
      <c r="M248" s="222"/>
      <c r="N248" s="223"/>
      <c r="O248" s="224"/>
      <c r="P248" s="219"/>
      <c r="Q248" s="205"/>
      <c r="R248" s="303"/>
      <c r="S248" s="571"/>
      <c r="T248" s="1510"/>
      <c r="U248" s="988"/>
      <c r="V248" s="990"/>
      <c r="W248" s="225"/>
      <c r="X248" s="225"/>
    </row>
    <row r="249" spans="2:24">
      <c r="B249" s="141"/>
      <c r="C249" s="210"/>
      <c r="D249" s="163"/>
      <c r="E249" s="210"/>
      <c r="F249" s="211"/>
      <c r="G249" s="211"/>
      <c r="H249" s="212"/>
      <c r="I249" s="232"/>
      <c r="J249" s="1295"/>
      <c r="K249" s="1296"/>
      <c r="L249" s="1297"/>
      <c r="M249" s="995"/>
      <c r="N249" s="996"/>
      <c r="O249" s="997"/>
      <c r="P249" s="756"/>
      <c r="Q249" s="281"/>
      <c r="R249" s="514"/>
      <c r="S249" s="998"/>
      <c r="T249" s="1507"/>
      <c r="U249" s="999"/>
      <c r="V249" s="1000"/>
      <c r="W249" s="225"/>
      <c r="X249" s="225"/>
    </row>
    <row r="250" spans="2:24" ht="13.8" thickBot="1">
      <c r="B250" s="141"/>
      <c r="C250" s="210"/>
      <c r="D250" s="163"/>
      <c r="E250" s="210"/>
      <c r="F250" s="211"/>
      <c r="G250" s="211"/>
      <c r="H250" s="212"/>
      <c r="I250" s="1004" t="s">
        <v>4865</v>
      </c>
      <c r="J250" s="1298"/>
      <c r="K250" s="1283">
        <f>SUM(K242:K249)</f>
        <v>0</v>
      </c>
      <c r="L250" s="1284">
        <f>SUM(L242:L249)</f>
        <v>0</v>
      </c>
      <c r="M250" s="1001"/>
      <c r="N250" s="296">
        <f>SUM(N242:N249)</f>
        <v>0</v>
      </c>
      <c r="O250" s="297">
        <f>SUM(O242:O249)</f>
        <v>0</v>
      </c>
      <c r="P250" s="298"/>
      <c r="Q250" s="299">
        <f>SUM(Q242:Q249)</f>
        <v>434200</v>
      </c>
      <c r="R250" s="516">
        <f>SUM(R242:R249)</f>
        <v>525382</v>
      </c>
      <c r="S250" s="573"/>
      <c r="T250" s="1539"/>
      <c r="U250" s="1540">
        <f>SUM(U242:U248)</f>
        <v>472070</v>
      </c>
      <c r="V250" s="979">
        <f>SUM(V242:V248)</f>
        <v>571204</v>
      </c>
      <c r="W250" s="225"/>
      <c r="X250" s="225"/>
    </row>
    <row r="251" spans="2:24" ht="13.8" thickBot="1">
      <c r="B251" s="172" t="s">
        <v>5994</v>
      </c>
      <c r="C251" s="192" t="s">
        <v>6198</v>
      </c>
      <c r="D251" s="1104">
        <v>2891506</v>
      </c>
      <c r="E251" s="193" t="s">
        <v>4895</v>
      </c>
      <c r="F251" s="194">
        <v>1150000</v>
      </c>
      <c r="G251" s="195">
        <v>1391500</v>
      </c>
      <c r="H251" s="196">
        <v>46752</v>
      </c>
      <c r="I251" s="197"/>
      <c r="J251" s="1383"/>
      <c r="K251" s="1384"/>
      <c r="L251" s="1385"/>
      <c r="M251" s="1395"/>
      <c r="N251" s="201"/>
      <c r="O251" s="1400"/>
      <c r="P251" s="1188"/>
      <c r="Q251" s="1403"/>
      <c r="R251" s="1492"/>
      <c r="S251" s="1543"/>
      <c r="T251" s="1544">
        <v>12500038</v>
      </c>
      <c r="U251" s="1545">
        <f>V251/1.21</f>
        <v>93055</v>
      </c>
      <c r="V251" s="1546">
        <v>112596.55</v>
      </c>
      <c r="W251" s="207">
        <f>SUM(F251-Q263-U263)</f>
        <v>724953</v>
      </c>
      <c r="X251" s="208">
        <f>SUM(G251-R263-V263)</f>
        <v>877193.13</v>
      </c>
    </row>
    <row r="252" spans="2:24">
      <c r="B252" s="209"/>
      <c r="C252" s="210"/>
      <c r="D252" s="163"/>
      <c r="E252" s="210"/>
      <c r="F252" s="211"/>
      <c r="G252" s="211"/>
      <c r="H252" s="212"/>
      <c r="I252" s="213"/>
      <c r="J252" s="1386"/>
      <c r="K252" s="1387"/>
      <c r="L252" s="1388"/>
      <c r="M252" s="1396"/>
      <c r="N252" s="216"/>
      <c r="O252" s="1401"/>
      <c r="P252" s="1413"/>
      <c r="Q252" s="315"/>
      <c r="R252" s="1491"/>
      <c r="S252" s="1494"/>
      <c r="T252" s="1541">
        <v>12500003</v>
      </c>
      <c r="U252" s="1542">
        <f t="shared" ref="U252:U258" si="5">V252/1.21</f>
        <v>59890</v>
      </c>
      <c r="V252" s="1547">
        <v>72466.899999999994</v>
      </c>
      <c r="W252" s="221"/>
      <c r="X252" s="221"/>
    </row>
    <row r="253" spans="2:24">
      <c r="B253" s="141"/>
      <c r="C253" s="210"/>
      <c r="D253" s="163"/>
      <c r="E253" s="210"/>
      <c r="F253" s="211"/>
      <c r="G253" s="211"/>
      <c r="H253" s="212"/>
      <c r="I253" s="213"/>
      <c r="J253" s="1389"/>
      <c r="K253" s="1390"/>
      <c r="L253" s="1391"/>
      <c r="M253" s="1396"/>
      <c r="N253" s="216"/>
      <c r="O253" s="1401"/>
      <c r="P253" s="1413"/>
      <c r="Q253" s="315"/>
      <c r="R253" s="1491"/>
      <c r="S253" s="1494"/>
      <c r="T253" s="1541">
        <v>12500006</v>
      </c>
      <c r="U253" s="1542">
        <f t="shared" si="5"/>
        <v>39220</v>
      </c>
      <c r="V253" s="1547">
        <v>47456.2</v>
      </c>
      <c r="W253" s="225"/>
      <c r="X253" s="225"/>
    </row>
    <row r="254" spans="2:24">
      <c r="B254" s="141"/>
      <c r="C254" s="210"/>
      <c r="D254" s="163"/>
      <c r="E254" s="210"/>
      <c r="F254" s="211"/>
      <c r="G254" s="211"/>
      <c r="H254" s="212"/>
      <c r="I254" s="213"/>
      <c r="J254" s="1389"/>
      <c r="K254" s="1390"/>
      <c r="L254" s="1391"/>
      <c r="M254" s="1396"/>
      <c r="N254" s="216"/>
      <c r="O254" s="1401"/>
      <c r="P254" s="1413"/>
      <c r="Q254" s="315"/>
      <c r="R254" s="1491"/>
      <c r="S254" s="1494"/>
      <c r="T254" s="1541">
        <v>12500007</v>
      </c>
      <c r="U254" s="1542">
        <f t="shared" si="5"/>
        <v>23850</v>
      </c>
      <c r="V254" s="1547">
        <v>28858.5</v>
      </c>
      <c r="W254" s="225"/>
      <c r="X254" s="225"/>
    </row>
    <row r="255" spans="2:24">
      <c r="B255" s="141"/>
      <c r="C255" s="210"/>
      <c r="D255" s="163"/>
      <c r="E255" s="210"/>
      <c r="F255" s="211"/>
      <c r="G255" s="211"/>
      <c r="H255" s="212"/>
      <c r="I255" s="213"/>
      <c r="J255" s="1389"/>
      <c r="K255" s="1390"/>
      <c r="L255" s="1391"/>
      <c r="M255" s="1396"/>
      <c r="N255" s="216"/>
      <c r="O255" s="1401"/>
      <c r="P255" s="1413"/>
      <c r="Q255" s="315"/>
      <c r="R255" s="1491"/>
      <c r="S255" s="1494"/>
      <c r="T255" s="1541">
        <v>12500010</v>
      </c>
      <c r="U255" s="1542">
        <f t="shared" si="5"/>
        <v>39220</v>
      </c>
      <c r="V255" s="1547">
        <v>47456.2</v>
      </c>
      <c r="W255" s="225"/>
      <c r="X255" s="225"/>
    </row>
    <row r="256" spans="2:24">
      <c r="B256" s="141"/>
      <c r="C256" s="210"/>
      <c r="D256" s="163"/>
      <c r="E256" s="210"/>
      <c r="F256" s="211"/>
      <c r="G256" s="211"/>
      <c r="H256" s="212"/>
      <c r="I256" s="213"/>
      <c r="J256" s="1389"/>
      <c r="K256" s="1390"/>
      <c r="L256" s="1391"/>
      <c r="M256" s="1396"/>
      <c r="N256" s="216"/>
      <c r="O256" s="1401"/>
      <c r="P256" s="1413"/>
      <c r="Q256" s="315"/>
      <c r="R256" s="1491"/>
      <c r="S256" s="1494"/>
      <c r="T256" s="1541" t="s">
        <v>6425</v>
      </c>
      <c r="U256" s="1542">
        <f t="shared" si="5"/>
        <v>58830.000000000007</v>
      </c>
      <c r="V256" s="1547">
        <v>71184.3</v>
      </c>
      <c r="W256" s="225"/>
      <c r="X256" s="225"/>
    </row>
    <row r="257" spans="2:24">
      <c r="B257" s="141"/>
      <c r="C257" s="210"/>
      <c r="D257" s="163"/>
      <c r="E257" s="210"/>
      <c r="F257" s="211"/>
      <c r="G257" s="211"/>
      <c r="H257" s="212"/>
      <c r="I257" s="213"/>
      <c r="J257" s="1389"/>
      <c r="K257" s="1390"/>
      <c r="L257" s="1391"/>
      <c r="M257" s="1396"/>
      <c r="N257" s="216"/>
      <c r="O257" s="1401"/>
      <c r="P257" s="1413"/>
      <c r="Q257" s="315"/>
      <c r="R257" s="1491"/>
      <c r="S257" s="1494"/>
      <c r="T257" s="1541">
        <v>12500018</v>
      </c>
      <c r="U257" s="1542">
        <f t="shared" si="5"/>
        <v>59360.000000000007</v>
      </c>
      <c r="V257" s="1547">
        <v>71825.600000000006</v>
      </c>
      <c r="W257" s="225"/>
      <c r="X257" s="225"/>
    </row>
    <row r="258" spans="2:24">
      <c r="B258" s="141"/>
      <c r="C258" s="210"/>
      <c r="D258" s="163"/>
      <c r="E258" s="210"/>
      <c r="F258" s="211"/>
      <c r="G258" s="211"/>
      <c r="H258" s="212"/>
      <c r="I258" s="213"/>
      <c r="J258" s="1389"/>
      <c r="K258" s="1390"/>
      <c r="L258" s="1391"/>
      <c r="M258" s="1396"/>
      <c r="N258" s="216"/>
      <c r="O258" s="1401"/>
      <c r="P258" s="1413"/>
      <c r="Q258" s="315"/>
      <c r="R258" s="1491"/>
      <c r="S258" s="1494"/>
      <c r="T258" s="1541">
        <v>12500029</v>
      </c>
      <c r="U258" s="1542">
        <f t="shared" si="5"/>
        <v>51622.000000000007</v>
      </c>
      <c r="V258" s="1547">
        <v>62462.62</v>
      </c>
      <c r="W258" s="225"/>
      <c r="X258" s="225"/>
    </row>
    <row r="259" spans="2:24">
      <c r="B259" s="141"/>
      <c r="C259" s="210"/>
      <c r="D259" s="163"/>
      <c r="E259" s="210"/>
      <c r="F259" s="211"/>
      <c r="G259" s="211"/>
      <c r="H259" s="212"/>
      <c r="I259" s="213"/>
      <c r="J259" s="1389"/>
      <c r="K259" s="1390"/>
      <c r="L259" s="1391"/>
      <c r="M259" s="1396"/>
      <c r="N259" s="216"/>
      <c r="O259" s="1401"/>
      <c r="P259" s="1413"/>
      <c r="Q259" s="315"/>
      <c r="R259" s="1491"/>
      <c r="S259" s="1494"/>
      <c r="T259" s="1541"/>
      <c r="U259" s="1542"/>
      <c r="V259" s="1547"/>
      <c r="W259" s="225"/>
      <c r="X259" s="225"/>
    </row>
    <row r="260" spans="2:24">
      <c r="B260" s="141"/>
      <c r="C260" s="210"/>
      <c r="D260" s="163"/>
      <c r="E260" s="210"/>
      <c r="F260" s="211"/>
      <c r="G260" s="211"/>
      <c r="H260" s="212"/>
      <c r="I260" s="213"/>
      <c r="J260" s="1389"/>
      <c r="K260" s="1390"/>
      <c r="L260" s="1391"/>
      <c r="M260" s="1396"/>
      <c r="N260" s="216"/>
      <c r="O260" s="1401"/>
      <c r="P260" s="1413"/>
      <c r="Q260" s="315"/>
      <c r="R260" s="1491"/>
      <c r="S260" s="1494"/>
      <c r="T260" s="1541"/>
      <c r="U260" s="1542" t="s">
        <v>5445</v>
      </c>
      <c r="V260" s="1547" t="s">
        <v>5445</v>
      </c>
      <c r="W260" s="225"/>
      <c r="X260" s="225"/>
    </row>
    <row r="261" spans="2:24">
      <c r="B261" s="141"/>
      <c r="C261" s="210"/>
      <c r="D261" s="163"/>
      <c r="E261" s="210"/>
      <c r="F261" s="211"/>
      <c r="G261" s="211"/>
      <c r="H261" s="212"/>
      <c r="I261" s="213"/>
      <c r="J261" s="1389"/>
      <c r="K261" s="1390"/>
      <c r="L261" s="1391"/>
      <c r="M261" s="1396"/>
      <c r="N261" s="216"/>
      <c r="O261" s="1401"/>
      <c r="P261" s="1413"/>
      <c r="Q261" s="315"/>
      <c r="R261" s="1491"/>
      <c r="S261" s="1494"/>
      <c r="T261" s="1541"/>
      <c r="U261" s="1542"/>
      <c r="V261" s="1547"/>
      <c r="W261" s="225"/>
      <c r="X261" s="225"/>
    </row>
    <row r="262" spans="2:24">
      <c r="B262" s="141"/>
      <c r="C262" s="210"/>
      <c r="D262" s="163"/>
      <c r="E262" s="210"/>
      <c r="F262" s="211"/>
      <c r="G262" s="211"/>
      <c r="H262" s="212"/>
      <c r="I262" s="213"/>
      <c r="J262" s="1389"/>
      <c r="K262" s="1390"/>
      <c r="L262" s="1391"/>
      <c r="M262" s="1396"/>
      <c r="N262" s="216"/>
      <c r="O262" s="1401"/>
      <c r="P262" s="1413"/>
      <c r="Q262" s="315"/>
      <c r="R262" s="1491"/>
      <c r="S262" s="1494"/>
      <c r="T262" s="1541"/>
      <c r="U262" s="1542"/>
      <c r="V262" s="1547"/>
      <c r="W262" s="225"/>
      <c r="X262" s="225"/>
    </row>
    <row r="263" spans="2:24" ht="13.8" thickBot="1">
      <c r="B263" s="141"/>
      <c r="C263" s="210"/>
      <c r="D263" s="163"/>
      <c r="E263" s="210"/>
      <c r="F263" s="211"/>
      <c r="G263" s="211"/>
      <c r="H263" s="212"/>
      <c r="I263" s="1004" t="s">
        <v>4865</v>
      </c>
      <c r="J263" s="1392"/>
      <c r="K263" s="1393"/>
      <c r="L263" s="1394"/>
      <c r="M263" s="1501"/>
      <c r="N263" s="255"/>
      <c r="O263" s="1502"/>
      <c r="P263" s="1503"/>
      <c r="Q263" s="519">
        <f>SUM(Q251:Q262)</f>
        <v>0</v>
      </c>
      <c r="R263" s="1557">
        <f>SUM(R251:R262)</f>
        <v>0</v>
      </c>
      <c r="S263" s="1561"/>
      <c r="T263" s="1562"/>
      <c r="U263" s="1563">
        <f>SUM(U251:U262)</f>
        <v>425047</v>
      </c>
      <c r="V263" s="1564">
        <f>SUM(V251:V262)</f>
        <v>514306.87</v>
      </c>
      <c r="W263" s="225"/>
      <c r="X263" s="225"/>
    </row>
    <row r="264" spans="2:24" ht="13.8" thickBot="1">
      <c r="B264" s="172" t="s">
        <v>6190</v>
      </c>
      <c r="C264" s="192" t="s">
        <v>6205</v>
      </c>
      <c r="D264" s="1104">
        <v>48111198</v>
      </c>
      <c r="E264" s="193" t="s">
        <v>6204</v>
      </c>
      <c r="F264" s="194">
        <v>1900000</v>
      </c>
      <c r="G264" s="195">
        <v>2299000</v>
      </c>
      <c r="H264" s="196">
        <v>46682</v>
      </c>
      <c r="I264" s="197"/>
      <c r="J264" s="1383"/>
      <c r="K264" s="1384"/>
      <c r="L264" s="1550"/>
      <c r="M264" s="1576"/>
      <c r="N264" s="1577"/>
      <c r="O264" s="1578"/>
      <c r="P264" s="1567"/>
      <c r="Q264" s="1568"/>
      <c r="R264" s="1569"/>
      <c r="S264" s="1543"/>
      <c r="T264" s="1544">
        <v>1325274304</v>
      </c>
      <c r="U264" s="1545">
        <f>V264/1.21</f>
        <v>517.35537190082641</v>
      </c>
      <c r="V264" s="1546">
        <v>626</v>
      </c>
      <c r="W264" s="207">
        <f>SUM(F264-Q300-U300)</f>
        <v>1756223.8147933884</v>
      </c>
      <c r="X264" s="208">
        <f>SUM(G264-R300-V300)</f>
        <v>2125031</v>
      </c>
    </row>
    <row r="265" spans="2:24" ht="13.8" thickBot="1">
      <c r="B265" s="209"/>
      <c r="C265" s="210"/>
      <c r="D265" s="163"/>
      <c r="E265" s="210"/>
      <c r="F265" s="211"/>
      <c r="G265" s="211"/>
      <c r="H265" s="212"/>
      <c r="I265" s="213"/>
      <c r="J265" s="1386"/>
      <c r="K265" s="1387"/>
      <c r="L265" s="1551"/>
      <c r="M265" s="1579"/>
      <c r="N265" s="1558"/>
      <c r="O265" s="1580"/>
      <c r="P265" s="1570"/>
      <c r="Q265" s="1565"/>
      <c r="R265" s="1571"/>
      <c r="S265" s="1494"/>
      <c r="T265" s="1541">
        <v>1325274649</v>
      </c>
      <c r="U265" s="1545">
        <f t="shared" ref="U265:U287" si="6">V265/1.21</f>
        <v>1930.5785123966944</v>
      </c>
      <c r="V265" s="1547">
        <v>2336</v>
      </c>
      <c r="W265" s="221"/>
      <c r="X265" s="221"/>
    </row>
    <row r="266" spans="2:24" ht="13.8" thickBot="1">
      <c r="B266" s="141"/>
      <c r="C266" s="210"/>
      <c r="D266" s="163"/>
      <c r="E266" s="210"/>
      <c r="F266" s="211"/>
      <c r="G266" s="211"/>
      <c r="H266" s="212"/>
      <c r="I266" s="213"/>
      <c r="J266" s="1389"/>
      <c r="K266" s="1390"/>
      <c r="L266" s="1552"/>
      <c r="M266" s="1579"/>
      <c r="N266" s="1558"/>
      <c r="O266" s="1580"/>
      <c r="P266" s="1570"/>
      <c r="Q266" s="1565"/>
      <c r="R266" s="1571"/>
      <c r="S266" s="1494"/>
      <c r="T266" s="1541">
        <v>1325274650</v>
      </c>
      <c r="U266" s="1545">
        <f t="shared" si="6"/>
        <v>3681.818181818182</v>
      </c>
      <c r="V266" s="1547">
        <v>4455</v>
      </c>
      <c r="W266" s="225"/>
      <c r="X266" s="225"/>
    </row>
    <row r="267" spans="2:24" ht="13.8" thickBot="1">
      <c r="B267" s="141"/>
      <c r="C267" s="210"/>
      <c r="D267" s="163"/>
      <c r="E267" s="210"/>
      <c r="F267" s="211"/>
      <c r="G267" s="211"/>
      <c r="H267" s="212"/>
      <c r="I267" s="213"/>
      <c r="J267" s="1389"/>
      <c r="K267" s="1390"/>
      <c r="L267" s="1552"/>
      <c r="M267" s="1579"/>
      <c r="N267" s="1558"/>
      <c r="O267" s="1580"/>
      <c r="P267" s="1570"/>
      <c r="Q267" s="1565"/>
      <c r="R267" s="1571"/>
      <c r="S267" s="1494"/>
      <c r="T267" s="1541">
        <v>1325274951</v>
      </c>
      <c r="U267" s="1545">
        <f t="shared" si="6"/>
        <v>1442.9752066115702</v>
      </c>
      <c r="V267" s="1547">
        <v>1746</v>
      </c>
      <c r="W267" s="225"/>
      <c r="X267" s="225"/>
    </row>
    <row r="268" spans="2:24" ht="13.8" thickBot="1">
      <c r="B268" s="141"/>
      <c r="C268" s="210"/>
      <c r="D268" s="163"/>
      <c r="E268" s="210"/>
      <c r="F268" s="211"/>
      <c r="G268" s="211"/>
      <c r="H268" s="212"/>
      <c r="I268" s="213"/>
      <c r="J268" s="1389"/>
      <c r="K268" s="1390"/>
      <c r="L268" s="1552"/>
      <c r="M268" s="1579"/>
      <c r="N268" s="1558"/>
      <c r="O268" s="1580"/>
      <c r="P268" s="1570"/>
      <c r="Q268" s="1565"/>
      <c r="R268" s="1571"/>
      <c r="S268" s="1494"/>
      <c r="T268" s="1541">
        <v>1325281814</v>
      </c>
      <c r="U268" s="1545">
        <f t="shared" si="6"/>
        <v>1436.3636363636365</v>
      </c>
      <c r="V268" s="1547">
        <v>1738</v>
      </c>
      <c r="W268" s="225"/>
      <c r="X268" s="225"/>
    </row>
    <row r="269" spans="2:24" ht="13.8" thickBot="1">
      <c r="B269" s="141"/>
      <c r="C269" s="210"/>
      <c r="D269" s="163"/>
      <c r="E269" s="210"/>
      <c r="F269" s="211"/>
      <c r="G269" s="211"/>
      <c r="H269" s="212"/>
      <c r="I269" s="213"/>
      <c r="J269" s="1389"/>
      <c r="K269" s="1390"/>
      <c r="L269" s="1552"/>
      <c r="M269" s="1579"/>
      <c r="N269" s="1558"/>
      <c r="O269" s="1580"/>
      <c r="P269" s="1570"/>
      <c r="Q269" s="1565"/>
      <c r="R269" s="1571"/>
      <c r="S269" s="1494"/>
      <c r="T269" s="1541">
        <v>1325282288</v>
      </c>
      <c r="U269" s="1545">
        <f t="shared" si="6"/>
        <v>2257.8512396694214</v>
      </c>
      <c r="V269" s="1547">
        <v>2732</v>
      </c>
      <c r="W269" s="225"/>
      <c r="X269" s="225"/>
    </row>
    <row r="270" spans="2:24" ht="13.8" thickBot="1">
      <c r="B270" s="141"/>
      <c r="C270" s="210"/>
      <c r="D270" s="163"/>
      <c r="E270" s="210"/>
      <c r="F270" s="211"/>
      <c r="G270" s="211"/>
      <c r="H270" s="212"/>
      <c r="I270" s="213"/>
      <c r="J270" s="1389"/>
      <c r="K270" s="1390"/>
      <c r="L270" s="1552"/>
      <c r="M270" s="1579"/>
      <c r="N270" s="1558"/>
      <c r="O270" s="1580"/>
      <c r="P270" s="1570"/>
      <c r="Q270" s="1565"/>
      <c r="R270" s="1571"/>
      <c r="S270" s="1494"/>
      <c r="T270" s="1541" t="s">
        <v>6426</v>
      </c>
      <c r="U270" s="1545">
        <f t="shared" si="6"/>
        <v>3592.5619834710747</v>
      </c>
      <c r="V270" s="1547">
        <v>4347</v>
      </c>
      <c r="W270" s="225"/>
      <c r="X270" s="225"/>
    </row>
    <row r="271" spans="2:24" ht="13.8" thickBot="1">
      <c r="B271" s="141"/>
      <c r="C271" s="210"/>
      <c r="D271" s="163"/>
      <c r="E271" s="210"/>
      <c r="F271" s="211"/>
      <c r="G271" s="211"/>
      <c r="H271" s="212"/>
      <c r="I271" s="213"/>
      <c r="J271" s="1389"/>
      <c r="K271" s="1390"/>
      <c r="L271" s="1552"/>
      <c r="M271" s="1579"/>
      <c r="N271" s="1558"/>
      <c r="O271" s="1580"/>
      <c r="P271" s="1570"/>
      <c r="Q271" s="1565"/>
      <c r="R271" s="1571"/>
      <c r="S271" s="1494"/>
      <c r="T271" s="1541" t="s">
        <v>6427</v>
      </c>
      <c r="U271" s="1545">
        <f t="shared" si="6"/>
        <v>1137.1900826446281</v>
      </c>
      <c r="V271" s="1547">
        <v>1376</v>
      </c>
      <c r="W271" s="225"/>
      <c r="X271" s="225"/>
    </row>
    <row r="272" spans="2:24" ht="13.8" thickBot="1">
      <c r="B272" s="141"/>
      <c r="C272" s="210"/>
      <c r="D272" s="163"/>
      <c r="E272" s="210"/>
      <c r="F272" s="211"/>
      <c r="G272" s="211"/>
      <c r="H272" s="212"/>
      <c r="I272" s="213"/>
      <c r="J272" s="1389"/>
      <c r="K272" s="1390"/>
      <c r="L272" s="1552"/>
      <c r="M272" s="1579"/>
      <c r="N272" s="1558"/>
      <c r="O272" s="1580"/>
      <c r="P272" s="1570"/>
      <c r="Q272" s="1565"/>
      <c r="R272" s="1571"/>
      <c r="S272" s="1494"/>
      <c r="T272" s="1541" t="s">
        <v>6428</v>
      </c>
      <c r="U272" s="1545">
        <f t="shared" si="6"/>
        <v>10770.247933884299</v>
      </c>
      <c r="V272" s="1547">
        <v>13032</v>
      </c>
      <c r="W272" s="225"/>
      <c r="X272" s="225"/>
    </row>
    <row r="273" spans="2:24" ht="13.8" thickBot="1">
      <c r="B273" s="141"/>
      <c r="C273" s="210"/>
      <c r="D273" s="163"/>
      <c r="E273" s="210"/>
      <c r="F273" s="211"/>
      <c r="G273" s="211"/>
      <c r="H273" s="212"/>
      <c r="I273" s="213"/>
      <c r="J273" s="1389"/>
      <c r="K273" s="1390"/>
      <c r="L273" s="1552"/>
      <c r="M273" s="1579"/>
      <c r="N273" s="1558"/>
      <c r="O273" s="1580"/>
      <c r="P273" s="1570"/>
      <c r="Q273" s="1565"/>
      <c r="R273" s="1571"/>
      <c r="S273" s="1494"/>
      <c r="T273" s="1541" t="s">
        <v>6429</v>
      </c>
      <c r="U273" s="1545">
        <f t="shared" si="6"/>
        <v>6815.7024793388427</v>
      </c>
      <c r="V273" s="1547">
        <v>8247</v>
      </c>
      <c r="W273" s="225"/>
      <c r="X273" s="225"/>
    </row>
    <row r="274" spans="2:24" ht="13.8" thickBot="1">
      <c r="B274" s="141"/>
      <c r="C274" s="210"/>
      <c r="D274" s="163"/>
      <c r="E274" s="210"/>
      <c r="F274" s="211"/>
      <c r="G274" s="211"/>
      <c r="H274" s="212"/>
      <c r="I274" s="213"/>
      <c r="J274" s="1389"/>
      <c r="K274" s="1390"/>
      <c r="L274" s="1552"/>
      <c r="M274" s="1579"/>
      <c r="N274" s="1558"/>
      <c r="O274" s="1580"/>
      <c r="P274" s="1570"/>
      <c r="Q274" s="1565"/>
      <c r="R274" s="1571"/>
      <c r="S274" s="1494"/>
      <c r="T274" s="1541" t="s">
        <v>6430</v>
      </c>
      <c r="U274" s="1545">
        <f t="shared" si="6"/>
        <v>1843.8016528925621</v>
      </c>
      <c r="V274" s="1547">
        <v>2231</v>
      </c>
      <c r="W274" s="225"/>
      <c r="X274" s="225"/>
    </row>
    <row r="275" spans="2:24" ht="13.8" thickBot="1">
      <c r="B275" s="141"/>
      <c r="C275" s="210"/>
      <c r="D275" s="163"/>
      <c r="E275" s="210"/>
      <c r="F275" s="211"/>
      <c r="G275" s="211"/>
      <c r="H275" s="212"/>
      <c r="I275" s="213"/>
      <c r="J275" s="1389"/>
      <c r="K275" s="1390"/>
      <c r="L275" s="1552"/>
      <c r="M275" s="1579"/>
      <c r="N275" s="1558"/>
      <c r="O275" s="1580"/>
      <c r="P275" s="1570"/>
      <c r="Q275" s="1565"/>
      <c r="R275" s="1571"/>
      <c r="S275" s="1494"/>
      <c r="T275" s="1541" t="s">
        <v>6431</v>
      </c>
      <c r="U275" s="1545">
        <f t="shared" si="6"/>
        <v>4790.909090909091</v>
      </c>
      <c r="V275" s="1547">
        <v>5797</v>
      </c>
      <c r="W275" s="225"/>
      <c r="X275" s="225"/>
    </row>
    <row r="276" spans="2:24" ht="13.8" thickBot="1">
      <c r="B276" s="141"/>
      <c r="C276" s="210"/>
      <c r="D276" s="163"/>
      <c r="E276" s="210"/>
      <c r="F276" s="211"/>
      <c r="G276" s="211"/>
      <c r="H276" s="212"/>
      <c r="I276" s="213"/>
      <c r="J276" s="1389"/>
      <c r="K276" s="1390"/>
      <c r="L276" s="1552"/>
      <c r="M276" s="1579"/>
      <c r="N276" s="1558"/>
      <c r="O276" s="1580"/>
      <c r="P276" s="1570"/>
      <c r="Q276" s="1565"/>
      <c r="R276" s="1571"/>
      <c r="S276" s="1494"/>
      <c r="T276" s="1541" t="s">
        <v>6432</v>
      </c>
      <c r="U276" s="1545">
        <f t="shared" si="6"/>
        <v>14839.669421487604</v>
      </c>
      <c r="V276" s="1547">
        <v>17956</v>
      </c>
      <c r="W276" s="225"/>
      <c r="X276" s="225"/>
    </row>
    <row r="277" spans="2:24" ht="13.8" thickBot="1">
      <c r="B277" s="141"/>
      <c r="C277" s="210"/>
      <c r="D277" s="163"/>
      <c r="E277" s="210"/>
      <c r="F277" s="211"/>
      <c r="G277" s="211"/>
      <c r="H277" s="212"/>
      <c r="I277" s="213"/>
      <c r="J277" s="1389"/>
      <c r="K277" s="1390"/>
      <c r="L277" s="1552"/>
      <c r="M277" s="1579"/>
      <c r="N277" s="1558"/>
      <c r="O277" s="1580"/>
      <c r="P277" s="1570"/>
      <c r="Q277" s="1565"/>
      <c r="R277" s="1571"/>
      <c r="S277" s="1494"/>
      <c r="T277" s="1541" t="s">
        <v>6433</v>
      </c>
      <c r="U277" s="1545">
        <f t="shared" si="6"/>
        <v>4179.3388429752067</v>
      </c>
      <c r="V277" s="1547">
        <v>5057</v>
      </c>
      <c r="W277" s="225"/>
      <c r="X277" s="225"/>
    </row>
    <row r="278" spans="2:24" ht="13.8" thickBot="1">
      <c r="B278" s="141"/>
      <c r="C278" s="210"/>
      <c r="D278" s="163"/>
      <c r="E278" s="210"/>
      <c r="F278" s="211"/>
      <c r="G278" s="211"/>
      <c r="H278" s="212"/>
      <c r="I278" s="213"/>
      <c r="J278" s="1389"/>
      <c r="K278" s="1390"/>
      <c r="L278" s="1552"/>
      <c r="M278" s="1579"/>
      <c r="N278" s="1558"/>
      <c r="O278" s="1580"/>
      <c r="P278" s="1570"/>
      <c r="Q278" s="1565"/>
      <c r="R278" s="1571"/>
      <c r="S278" s="1494"/>
      <c r="T278" s="1541" t="s">
        <v>6434</v>
      </c>
      <c r="U278" s="1545">
        <f t="shared" si="6"/>
        <v>17925.619834710746</v>
      </c>
      <c r="V278" s="1547">
        <v>21690</v>
      </c>
      <c r="W278" s="225"/>
      <c r="X278" s="225"/>
    </row>
    <row r="279" spans="2:24" ht="13.8" thickBot="1">
      <c r="B279" s="141"/>
      <c r="C279" s="210"/>
      <c r="D279" s="163"/>
      <c r="E279" s="210"/>
      <c r="F279" s="211"/>
      <c r="G279" s="211"/>
      <c r="H279" s="212"/>
      <c r="I279" s="213"/>
      <c r="J279" s="1389"/>
      <c r="K279" s="1390"/>
      <c r="L279" s="1552"/>
      <c r="M279" s="1579"/>
      <c r="N279" s="1558"/>
      <c r="O279" s="1580"/>
      <c r="P279" s="1570"/>
      <c r="Q279" s="1565"/>
      <c r="R279" s="1571"/>
      <c r="S279" s="1494"/>
      <c r="T279" s="1541" t="s">
        <v>6435</v>
      </c>
      <c r="U279" s="1545">
        <f t="shared" si="6"/>
        <v>2239.6694214876034</v>
      </c>
      <c r="V279" s="1547">
        <v>2710</v>
      </c>
      <c r="W279" s="225"/>
      <c r="X279" s="225"/>
    </row>
    <row r="280" spans="2:24" ht="13.8" thickBot="1">
      <c r="B280" s="141"/>
      <c r="C280" s="210"/>
      <c r="D280" s="163"/>
      <c r="E280" s="210"/>
      <c r="F280" s="211"/>
      <c r="G280" s="211"/>
      <c r="H280" s="212"/>
      <c r="I280" s="213"/>
      <c r="J280" s="1389"/>
      <c r="K280" s="1390"/>
      <c r="L280" s="1552"/>
      <c r="M280" s="1579"/>
      <c r="N280" s="1558"/>
      <c r="O280" s="1580"/>
      <c r="P280" s="1570"/>
      <c r="Q280" s="1565"/>
      <c r="R280" s="1571"/>
      <c r="S280" s="1494"/>
      <c r="T280" s="1541" t="s">
        <v>6436</v>
      </c>
      <c r="U280" s="1545">
        <f t="shared" si="6"/>
        <v>5475.2066115702482</v>
      </c>
      <c r="V280" s="1547">
        <v>6625</v>
      </c>
      <c r="W280" s="225"/>
      <c r="X280" s="225"/>
    </row>
    <row r="281" spans="2:24" ht="13.8" thickBot="1">
      <c r="B281" s="141"/>
      <c r="C281" s="210"/>
      <c r="D281" s="163"/>
      <c r="E281" s="210"/>
      <c r="F281" s="211"/>
      <c r="G281" s="211"/>
      <c r="H281" s="212"/>
      <c r="I281" s="213"/>
      <c r="J281" s="1389"/>
      <c r="K281" s="1390"/>
      <c r="L281" s="1552"/>
      <c r="M281" s="1579"/>
      <c r="N281" s="1558"/>
      <c r="O281" s="1580"/>
      <c r="P281" s="1570"/>
      <c r="Q281" s="1565"/>
      <c r="R281" s="1571"/>
      <c r="S281" s="1494"/>
      <c r="T281" s="1541" t="s">
        <v>6437</v>
      </c>
      <c r="U281" s="1545">
        <f t="shared" si="6"/>
        <v>6296.6942148760336</v>
      </c>
      <c r="V281" s="1547">
        <v>7619</v>
      </c>
      <c r="W281" s="225"/>
      <c r="X281" s="225"/>
    </row>
    <row r="282" spans="2:24" ht="13.8" thickBot="1">
      <c r="B282" s="141"/>
      <c r="C282" s="210"/>
      <c r="D282" s="163"/>
      <c r="E282" s="210"/>
      <c r="F282" s="211"/>
      <c r="G282" s="211"/>
      <c r="H282" s="212"/>
      <c r="I282" s="213"/>
      <c r="J282" s="1389"/>
      <c r="K282" s="1390"/>
      <c r="L282" s="1552"/>
      <c r="M282" s="1579"/>
      <c r="N282" s="1558"/>
      <c r="O282" s="1580"/>
      <c r="P282" s="1570"/>
      <c r="Q282" s="1565"/>
      <c r="R282" s="1571"/>
      <c r="S282" s="1494"/>
      <c r="T282" s="1541" t="s">
        <v>6438</v>
      </c>
      <c r="U282" s="1545">
        <f t="shared" si="6"/>
        <v>6409.9173553719011</v>
      </c>
      <c r="V282" s="1547">
        <v>7756</v>
      </c>
      <c r="W282" s="225"/>
      <c r="X282" s="225"/>
    </row>
    <row r="283" spans="2:24" ht="13.8" thickBot="1">
      <c r="B283" s="141"/>
      <c r="C283" s="210"/>
      <c r="D283" s="163"/>
      <c r="E283" s="210"/>
      <c r="F283" s="211"/>
      <c r="G283" s="211"/>
      <c r="H283" s="212"/>
      <c r="I283" s="213"/>
      <c r="J283" s="1389"/>
      <c r="K283" s="1390"/>
      <c r="L283" s="1552"/>
      <c r="M283" s="1579"/>
      <c r="N283" s="1558"/>
      <c r="O283" s="1580"/>
      <c r="P283" s="1570"/>
      <c r="Q283" s="1565"/>
      <c r="R283" s="1571"/>
      <c r="S283" s="1494"/>
      <c r="T283" s="1541" t="s">
        <v>6439</v>
      </c>
      <c r="U283" s="1545">
        <f t="shared" si="6"/>
        <v>3771.0743801652893</v>
      </c>
      <c r="V283" s="1547">
        <v>4563</v>
      </c>
      <c r="W283" s="225"/>
      <c r="X283" s="225"/>
    </row>
    <row r="284" spans="2:24" ht="13.8" thickBot="1">
      <c r="B284" s="141"/>
      <c r="C284" s="210"/>
      <c r="D284" s="163"/>
      <c r="E284" s="210"/>
      <c r="F284" s="211"/>
      <c r="G284" s="211"/>
      <c r="H284" s="212"/>
      <c r="I284" s="213"/>
      <c r="J284" s="1389"/>
      <c r="K284" s="1390"/>
      <c r="L284" s="1552"/>
      <c r="M284" s="1579"/>
      <c r="N284" s="1558"/>
      <c r="O284" s="1580"/>
      <c r="P284" s="1570"/>
      <c r="Q284" s="1565"/>
      <c r="R284" s="1571"/>
      <c r="S284" s="1494"/>
      <c r="T284" s="1541" t="s">
        <v>6440</v>
      </c>
      <c r="U284" s="1545">
        <f t="shared" si="6"/>
        <v>3565.2892561983472</v>
      </c>
      <c r="V284" s="1547">
        <v>4314</v>
      </c>
      <c r="W284" s="225"/>
      <c r="X284" s="225"/>
    </row>
    <row r="285" spans="2:24" ht="13.8" thickBot="1">
      <c r="B285" s="141"/>
      <c r="C285" s="210"/>
      <c r="D285" s="163"/>
      <c r="E285" s="210"/>
      <c r="F285" s="211"/>
      <c r="G285" s="211"/>
      <c r="H285" s="212"/>
      <c r="I285" s="213"/>
      <c r="J285" s="1389"/>
      <c r="K285" s="1390"/>
      <c r="L285" s="1552"/>
      <c r="M285" s="1579"/>
      <c r="N285" s="1558"/>
      <c r="O285" s="1580"/>
      <c r="P285" s="1570"/>
      <c r="Q285" s="1565"/>
      <c r="R285" s="1571"/>
      <c r="S285" s="1494"/>
      <c r="T285" s="1541" t="s">
        <v>6441</v>
      </c>
      <c r="U285" s="1545">
        <f t="shared" si="6"/>
        <v>5213.2231404958675</v>
      </c>
      <c r="V285" s="1547">
        <v>6308</v>
      </c>
      <c r="W285" s="225"/>
      <c r="X285" s="225"/>
    </row>
    <row r="286" spans="2:24" ht="13.8" thickBot="1">
      <c r="B286" s="141"/>
      <c r="C286" s="210"/>
      <c r="D286" s="163"/>
      <c r="E286" s="210"/>
      <c r="F286" s="211"/>
      <c r="G286" s="211"/>
      <c r="H286" s="212"/>
      <c r="I286" s="213"/>
      <c r="J286" s="1389"/>
      <c r="K286" s="1390"/>
      <c r="L286" s="1552"/>
      <c r="M286" s="1579"/>
      <c r="N286" s="1558"/>
      <c r="O286" s="1580"/>
      <c r="P286" s="1570"/>
      <c r="Q286" s="1565"/>
      <c r="R286" s="1571"/>
      <c r="S286" s="1494"/>
      <c r="T286" s="1541" t="s">
        <v>6442</v>
      </c>
      <c r="U286" s="1545">
        <f t="shared" si="6"/>
        <v>6184.2975206611573</v>
      </c>
      <c r="V286" s="1547">
        <v>7483</v>
      </c>
      <c r="W286" s="225"/>
      <c r="X286" s="225"/>
    </row>
    <row r="287" spans="2:24">
      <c r="B287" s="141"/>
      <c r="C287" s="210"/>
      <c r="D287" s="163"/>
      <c r="E287" s="210"/>
      <c r="F287" s="211"/>
      <c r="G287" s="211"/>
      <c r="H287" s="212"/>
      <c r="I287" s="213"/>
      <c r="J287" s="1389"/>
      <c r="K287" s="1390"/>
      <c r="L287" s="1552"/>
      <c r="M287" s="1579"/>
      <c r="N287" s="1558"/>
      <c r="O287" s="1580"/>
      <c r="P287" s="1570"/>
      <c r="Q287" s="1565"/>
      <c r="R287" s="1571"/>
      <c r="S287" s="1494"/>
      <c r="T287" s="1541" t="s">
        <v>6443</v>
      </c>
      <c r="U287" s="1545">
        <f t="shared" si="6"/>
        <v>13425.619834710744</v>
      </c>
      <c r="V287" s="1547">
        <v>16245</v>
      </c>
      <c r="W287" s="225"/>
      <c r="X287" s="225"/>
    </row>
    <row r="288" spans="2:24">
      <c r="B288" s="141"/>
      <c r="C288" s="210"/>
      <c r="D288" s="163"/>
      <c r="E288" s="210"/>
      <c r="F288" s="211"/>
      <c r="G288" s="211"/>
      <c r="H288" s="212"/>
      <c r="I288" s="213"/>
      <c r="J288" s="1389"/>
      <c r="K288" s="1390"/>
      <c r="L288" s="1552"/>
      <c r="M288" s="1579"/>
      <c r="N288" s="1558"/>
      <c r="O288" s="1580"/>
      <c r="P288" s="1570"/>
      <c r="Q288" s="1565"/>
      <c r="R288" s="1571"/>
      <c r="S288" s="1494">
        <v>45999</v>
      </c>
      <c r="T288" s="1541" t="s">
        <v>6591</v>
      </c>
      <c r="U288" s="1542">
        <v>517.42999999999995</v>
      </c>
      <c r="V288" s="1547">
        <v>626</v>
      </c>
      <c r="W288" s="225"/>
      <c r="X288" s="225"/>
    </row>
    <row r="289" spans="2:24">
      <c r="B289" s="141"/>
      <c r="C289" s="210"/>
      <c r="D289" s="163"/>
      <c r="E289" s="210"/>
      <c r="F289" s="211"/>
      <c r="G289" s="211"/>
      <c r="H289" s="212"/>
      <c r="I289" s="213"/>
      <c r="J289" s="1389"/>
      <c r="K289" s="1390"/>
      <c r="L289" s="1552"/>
      <c r="M289" s="1579"/>
      <c r="N289" s="1558"/>
      <c r="O289" s="1580"/>
      <c r="P289" s="1570"/>
      <c r="Q289" s="1565"/>
      <c r="R289" s="1571"/>
      <c r="S289" s="1494"/>
      <c r="T289" s="1541" t="s">
        <v>6612</v>
      </c>
      <c r="U289" s="1542">
        <v>4576.1000000000004</v>
      </c>
      <c r="V289" s="1547">
        <v>5537</v>
      </c>
      <c r="W289" s="225"/>
      <c r="X289" s="225"/>
    </row>
    <row r="290" spans="2:24">
      <c r="B290" s="141"/>
      <c r="C290" s="210"/>
      <c r="D290" s="163"/>
      <c r="E290" s="210"/>
      <c r="F290" s="211"/>
      <c r="G290" s="211"/>
      <c r="H290" s="212"/>
      <c r="I290" s="213"/>
      <c r="J290" s="1389"/>
      <c r="K290" s="1390"/>
      <c r="L290" s="1552"/>
      <c r="M290" s="1579"/>
      <c r="N290" s="1558"/>
      <c r="O290" s="1580"/>
      <c r="P290" s="1570"/>
      <c r="Q290" s="1565"/>
      <c r="R290" s="1571"/>
      <c r="S290" s="1494">
        <v>46006</v>
      </c>
      <c r="T290" s="1541" t="s">
        <v>6619</v>
      </c>
      <c r="U290" s="1542">
        <v>18.18</v>
      </c>
      <c r="V290" s="1547">
        <v>22</v>
      </c>
      <c r="W290" s="225"/>
      <c r="X290" s="225"/>
    </row>
    <row r="291" spans="2:24">
      <c r="B291" s="141"/>
      <c r="C291" s="210"/>
      <c r="D291" s="163"/>
      <c r="E291" s="210"/>
      <c r="F291" s="211"/>
      <c r="G291" s="211"/>
      <c r="H291" s="212"/>
      <c r="I291" s="213"/>
      <c r="J291" s="1272"/>
      <c r="K291" s="1273"/>
      <c r="L291" s="1553"/>
      <c r="M291" s="1579"/>
      <c r="N291" s="1559"/>
      <c r="O291" s="1581"/>
      <c r="P291" s="1570"/>
      <c r="Q291" s="1566"/>
      <c r="R291" s="1572"/>
      <c r="S291" s="1494">
        <v>46006</v>
      </c>
      <c r="T291" s="1541" t="s">
        <v>6620</v>
      </c>
      <c r="U291" s="1542">
        <v>1824.02</v>
      </c>
      <c r="V291" s="1547">
        <v>2207</v>
      </c>
      <c r="W291" s="225"/>
      <c r="X291" s="225"/>
    </row>
    <row r="292" spans="2:24">
      <c r="B292" s="141"/>
      <c r="C292" s="210"/>
      <c r="D292" s="163"/>
      <c r="E292" s="210"/>
      <c r="F292" s="211"/>
      <c r="G292" s="211"/>
      <c r="H292" s="212"/>
      <c r="I292" s="213"/>
      <c r="J292" s="1272"/>
      <c r="K292" s="1273"/>
      <c r="L292" s="1553"/>
      <c r="M292" s="1579"/>
      <c r="N292" s="1559"/>
      <c r="O292" s="1581"/>
      <c r="P292" s="1570"/>
      <c r="Q292" s="1566"/>
      <c r="R292" s="1572"/>
      <c r="S292" s="1494">
        <v>46006</v>
      </c>
      <c r="T292" s="1541" t="s">
        <v>6621</v>
      </c>
      <c r="U292" s="1542">
        <v>2233.86</v>
      </c>
      <c r="V292" s="1547">
        <v>2703</v>
      </c>
      <c r="W292" s="225"/>
      <c r="X292" s="225"/>
    </row>
    <row r="293" spans="2:24">
      <c r="B293" s="141"/>
      <c r="C293" s="210"/>
      <c r="D293" s="163"/>
      <c r="E293" s="210"/>
      <c r="F293" s="211"/>
      <c r="G293" s="211"/>
      <c r="H293" s="212"/>
      <c r="I293" s="213"/>
      <c r="J293" s="1272"/>
      <c r="K293" s="1273"/>
      <c r="L293" s="1553"/>
      <c r="M293" s="1579"/>
      <c r="N293" s="1559"/>
      <c r="O293" s="1581"/>
      <c r="P293" s="1570"/>
      <c r="Q293" s="1566"/>
      <c r="R293" s="1572"/>
      <c r="S293" s="1494">
        <v>46010</v>
      </c>
      <c r="T293" s="1541" t="s">
        <v>6631</v>
      </c>
      <c r="U293" s="1542">
        <v>226.37</v>
      </c>
      <c r="V293" s="1547">
        <v>274</v>
      </c>
      <c r="W293" s="225"/>
      <c r="X293" s="225"/>
    </row>
    <row r="294" spans="2:24">
      <c r="B294" s="141"/>
      <c r="C294" s="210"/>
      <c r="D294" s="163"/>
      <c r="E294" s="210"/>
      <c r="F294" s="211"/>
      <c r="G294" s="211"/>
      <c r="H294" s="212"/>
      <c r="I294" s="213"/>
      <c r="J294" s="1272"/>
      <c r="K294" s="1273"/>
      <c r="L294" s="1553"/>
      <c r="M294" s="1579"/>
      <c r="N294" s="1559"/>
      <c r="O294" s="1581"/>
      <c r="P294" s="1570"/>
      <c r="Q294" s="1566"/>
      <c r="R294" s="1572"/>
      <c r="S294" s="1494">
        <v>46010</v>
      </c>
      <c r="T294" s="1541" t="s">
        <v>6632</v>
      </c>
      <c r="U294" s="1521">
        <v>633.88</v>
      </c>
      <c r="V294" s="1530">
        <v>767</v>
      </c>
      <c r="W294" s="225"/>
      <c r="X294" s="225"/>
    </row>
    <row r="295" spans="2:24">
      <c r="B295" s="141"/>
      <c r="C295" s="210"/>
      <c r="D295" s="163"/>
      <c r="E295" s="210"/>
      <c r="F295" s="211"/>
      <c r="G295" s="211"/>
      <c r="H295" s="212"/>
      <c r="I295" s="213"/>
      <c r="J295" s="1292"/>
      <c r="K295" s="1293"/>
      <c r="L295" s="1554"/>
      <c r="M295" s="1582"/>
      <c r="N295" s="1560"/>
      <c r="O295" s="1583"/>
      <c r="P295" s="1570"/>
      <c r="Q295" s="1566"/>
      <c r="R295" s="1572"/>
      <c r="S295" s="1494">
        <v>46010</v>
      </c>
      <c r="T295" s="1541" t="s">
        <v>6633</v>
      </c>
      <c r="U295" s="1521">
        <v>4003.37</v>
      </c>
      <c r="V295" s="1530">
        <v>4844</v>
      </c>
      <c r="W295" s="225"/>
      <c r="X295" s="225"/>
    </row>
    <row r="296" spans="2:24">
      <c r="B296" s="141"/>
      <c r="C296" s="210"/>
      <c r="D296" s="163"/>
      <c r="E296" s="210"/>
      <c r="F296" s="211"/>
      <c r="G296" s="211"/>
      <c r="H296" s="212"/>
      <c r="I296" s="232"/>
      <c r="J296" s="1295"/>
      <c r="K296" s="1296"/>
      <c r="L296" s="1555"/>
      <c r="M296" s="1582"/>
      <c r="N296" s="1560"/>
      <c r="O296" s="1583"/>
      <c r="P296" s="1570"/>
      <c r="Q296" s="1566"/>
      <c r="R296" s="1572"/>
      <c r="S296" s="1531"/>
      <c r="T296" s="1541"/>
      <c r="U296" s="1521"/>
      <c r="V296" s="1530"/>
      <c r="W296" s="225"/>
      <c r="X296" s="225"/>
    </row>
    <row r="297" spans="2:24">
      <c r="B297" s="141"/>
      <c r="C297" s="210"/>
      <c r="D297" s="163"/>
      <c r="E297" s="210"/>
      <c r="F297" s="211"/>
      <c r="G297" s="211"/>
      <c r="H297" s="212"/>
      <c r="I297" s="213"/>
      <c r="J297" s="1389"/>
      <c r="K297" s="1390"/>
      <c r="L297" s="1552"/>
      <c r="M297" s="1579"/>
      <c r="N297" s="1558"/>
      <c r="O297" s="1580"/>
      <c r="P297" s="1570"/>
      <c r="Q297" s="1565"/>
      <c r="R297" s="1571"/>
      <c r="S297" s="1494"/>
      <c r="T297" s="1541"/>
      <c r="U297" s="1542" t="s">
        <v>5445</v>
      </c>
      <c r="V297" s="1547" t="s">
        <v>5445</v>
      </c>
      <c r="W297" s="225"/>
      <c r="X297" s="225"/>
    </row>
    <row r="298" spans="2:24">
      <c r="B298" s="141"/>
      <c r="C298" s="210"/>
      <c r="D298" s="163"/>
      <c r="E298" s="210"/>
      <c r="F298" s="211"/>
      <c r="G298" s="211"/>
      <c r="H298" s="212"/>
      <c r="I298" s="213"/>
      <c r="J298" s="1389"/>
      <c r="K298" s="1390"/>
      <c r="L298" s="1552"/>
      <c r="M298" s="1579"/>
      <c r="N298" s="1558"/>
      <c r="O298" s="1580"/>
      <c r="P298" s="1570"/>
      <c r="Q298" s="1565"/>
      <c r="R298" s="1571"/>
      <c r="S298" s="1494"/>
      <c r="T298" s="1541"/>
      <c r="U298" s="1542"/>
      <c r="V298" s="1547"/>
      <c r="W298" s="225"/>
      <c r="X298" s="225"/>
    </row>
    <row r="299" spans="2:24">
      <c r="B299" s="141"/>
      <c r="C299" s="210"/>
      <c r="D299" s="163"/>
      <c r="E299" s="210"/>
      <c r="F299" s="211"/>
      <c r="G299" s="211"/>
      <c r="H299" s="212"/>
      <c r="I299" s="213"/>
      <c r="J299" s="1389"/>
      <c r="K299" s="1390"/>
      <c r="L299" s="1552"/>
      <c r="M299" s="1579"/>
      <c r="N299" s="1558"/>
      <c r="O299" s="1580"/>
      <c r="P299" s="1570"/>
      <c r="Q299" s="1565"/>
      <c r="R299" s="1571"/>
      <c r="S299" s="1494"/>
      <c r="T299" s="1541"/>
      <c r="U299" s="1542"/>
      <c r="V299" s="1547"/>
      <c r="W299" s="225"/>
      <c r="X299" s="225"/>
    </row>
    <row r="300" spans="2:24" ht="13.8" thickBot="1">
      <c r="B300" s="141"/>
      <c r="C300" s="210"/>
      <c r="D300" s="163"/>
      <c r="E300" s="210"/>
      <c r="F300" s="211"/>
      <c r="G300" s="211"/>
      <c r="H300" s="212"/>
      <c r="I300" s="1004" t="s">
        <v>4865</v>
      </c>
      <c r="J300" s="1392"/>
      <c r="K300" s="1393"/>
      <c r="L300" s="1556"/>
      <c r="M300" s="1584"/>
      <c r="N300" s="1585"/>
      <c r="O300" s="1586"/>
      <c r="P300" s="1573"/>
      <c r="Q300" s="1574">
        <f>SUM(Q264:Q299)</f>
        <v>0</v>
      </c>
      <c r="R300" s="1575">
        <f>SUM(R264:R299)</f>
        <v>0</v>
      </c>
      <c r="S300" s="1533"/>
      <c r="T300" s="1534"/>
      <c r="U300" s="1548">
        <f>SUM(U264:U299)</f>
        <v>143776.18520661152</v>
      </c>
      <c r="V300" s="1549">
        <f>SUM(V264:V299)</f>
        <v>173969</v>
      </c>
      <c r="W300" s="225"/>
      <c r="X300" s="225"/>
    </row>
    <row r="301" spans="2:24" ht="13.8" thickBot="1">
      <c r="B301" s="172" t="s">
        <v>5991</v>
      </c>
      <c r="C301" s="192" t="s">
        <v>5993</v>
      </c>
      <c r="D301" s="1104">
        <v>25347047</v>
      </c>
      <c r="E301" s="193" t="s">
        <v>5992</v>
      </c>
      <c r="F301" s="194">
        <v>2900000</v>
      </c>
      <c r="G301" s="195">
        <v>3509000</v>
      </c>
      <c r="H301" s="196">
        <v>46627</v>
      </c>
      <c r="I301" s="197"/>
      <c r="J301" s="1383"/>
      <c r="K301" s="1384"/>
      <c r="L301" s="1385"/>
      <c r="M301" s="1396"/>
      <c r="N301" s="216"/>
      <c r="O301" s="1401"/>
      <c r="P301" s="1413"/>
      <c r="Q301" s="315"/>
      <c r="R301" s="1405"/>
      <c r="S301" s="1411"/>
      <c r="T301" s="1537">
        <v>1032513719</v>
      </c>
      <c r="U301" s="1408">
        <f>V301/1.21</f>
        <v>9891.7520661157032</v>
      </c>
      <c r="V301" s="525">
        <v>11969.02</v>
      </c>
      <c r="W301" s="207">
        <f>SUM(F301-Q349-U349)</f>
        <v>2793781.7520661158</v>
      </c>
      <c r="X301" s="208">
        <f>SUM(G301-R349-V349)</f>
        <v>3380475.92</v>
      </c>
    </row>
    <row r="302" spans="2:24">
      <c r="B302" s="209"/>
      <c r="C302" s="210"/>
      <c r="D302" s="163"/>
      <c r="E302" s="210"/>
      <c r="F302" s="211"/>
      <c r="G302" s="211"/>
      <c r="H302" s="212"/>
      <c r="I302" s="213"/>
      <c r="J302" s="1386"/>
      <c r="K302" s="1387"/>
      <c r="L302" s="1388"/>
      <c r="M302" s="1396"/>
      <c r="N302" s="216"/>
      <c r="O302" s="1401"/>
      <c r="P302" s="1413"/>
      <c r="Q302" s="315"/>
      <c r="R302" s="1405"/>
      <c r="S302" s="1411"/>
      <c r="T302" s="1537">
        <v>1032513721</v>
      </c>
      <c r="U302" s="1408">
        <f t="shared" ref="U302:U318" si="7">V302/1.21</f>
        <v>10612.041322314049</v>
      </c>
      <c r="V302" s="525">
        <v>12840.57</v>
      </c>
      <c r="W302" s="221"/>
      <c r="X302" s="221"/>
    </row>
    <row r="303" spans="2:24">
      <c r="B303" s="141"/>
      <c r="C303" s="210"/>
      <c r="D303" s="163"/>
      <c r="E303" s="210"/>
      <c r="F303" s="211"/>
      <c r="G303" s="211"/>
      <c r="H303" s="212"/>
      <c r="I303" s="213"/>
      <c r="J303" s="1389"/>
      <c r="K303" s="1390"/>
      <c r="L303" s="1391"/>
      <c r="M303" s="1396"/>
      <c r="N303" s="216"/>
      <c r="O303" s="1401"/>
      <c r="P303" s="1413"/>
      <c r="Q303" s="315"/>
      <c r="R303" s="1405"/>
      <c r="S303" s="1411"/>
      <c r="T303" s="1537">
        <v>1032513792</v>
      </c>
      <c r="U303" s="1408">
        <f t="shared" si="7"/>
        <v>4034.2975206611573</v>
      </c>
      <c r="V303" s="525">
        <v>4881.5</v>
      </c>
      <c r="W303" s="225"/>
      <c r="X303" s="225"/>
    </row>
    <row r="304" spans="2:24">
      <c r="B304" s="141"/>
      <c r="C304" s="210"/>
      <c r="D304" s="163"/>
      <c r="E304" s="210"/>
      <c r="F304" s="211"/>
      <c r="G304" s="211"/>
      <c r="H304" s="212"/>
      <c r="I304" s="213"/>
      <c r="J304" s="1389"/>
      <c r="K304" s="1390"/>
      <c r="L304" s="1391"/>
      <c r="M304" s="1396"/>
      <c r="N304" s="216"/>
      <c r="O304" s="1401"/>
      <c r="P304" s="1413"/>
      <c r="Q304" s="315"/>
      <c r="R304" s="1405"/>
      <c r="S304" s="1411"/>
      <c r="T304" s="1537">
        <v>1032513807</v>
      </c>
      <c r="U304" s="1408">
        <f t="shared" si="7"/>
        <v>3638.231404958678</v>
      </c>
      <c r="V304" s="525">
        <v>4402.26</v>
      </c>
      <c r="W304" s="225"/>
      <c r="X304" s="225"/>
    </row>
    <row r="305" spans="2:24">
      <c r="B305" s="141"/>
      <c r="C305" s="210"/>
      <c r="D305" s="163"/>
      <c r="E305" s="210"/>
      <c r="F305" s="211"/>
      <c r="G305" s="211"/>
      <c r="H305" s="212"/>
      <c r="I305" s="213"/>
      <c r="J305" s="1389"/>
      <c r="K305" s="1390"/>
      <c r="L305" s="1391"/>
      <c r="M305" s="1396"/>
      <c r="N305" s="216"/>
      <c r="O305" s="1401"/>
      <c r="P305" s="1413"/>
      <c r="Q305" s="315"/>
      <c r="R305" s="1405"/>
      <c r="S305" s="1411"/>
      <c r="T305" s="1537">
        <v>1032514164</v>
      </c>
      <c r="U305" s="1408">
        <f t="shared" si="7"/>
        <v>6064.5867768595044</v>
      </c>
      <c r="V305" s="525">
        <v>7338.15</v>
      </c>
      <c r="W305" s="225"/>
      <c r="X305" s="225"/>
    </row>
    <row r="306" spans="2:24">
      <c r="B306" s="141"/>
      <c r="C306" s="210"/>
      <c r="D306" s="163"/>
      <c r="E306" s="210"/>
      <c r="F306" s="211"/>
      <c r="G306" s="211"/>
      <c r="H306" s="212"/>
      <c r="I306" s="213"/>
      <c r="J306" s="1389"/>
      <c r="K306" s="1390"/>
      <c r="L306" s="1391"/>
      <c r="M306" s="1396"/>
      <c r="N306" s="216"/>
      <c r="O306" s="1401"/>
      <c r="P306" s="1413"/>
      <c r="Q306" s="315"/>
      <c r="R306" s="1405"/>
      <c r="S306" s="1411"/>
      <c r="T306" s="1537">
        <v>1032514404</v>
      </c>
      <c r="U306" s="1408">
        <f t="shared" si="7"/>
        <v>8122.3471074380177</v>
      </c>
      <c r="V306" s="525">
        <v>9828.0400000000009</v>
      </c>
      <c r="W306" s="225"/>
      <c r="X306" s="225"/>
    </row>
    <row r="307" spans="2:24">
      <c r="B307" s="141"/>
      <c r="C307" s="210"/>
      <c r="D307" s="163"/>
      <c r="E307" s="210"/>
      <c r="F307" s="211"/>
      <c r="G307" s="211"/>
      <c r="H307" s="212"/>
      <c r="I307" s="213"/>
      <c r="J307" s="1389"/>
      <c r="K307" s="1390"/>
      <c r="L307" s="1391"/>
      <c r="M307" s="1396"/>
      <c r="N307" s="216"/>
      <c r="O307" s="1401"/>
      <c r="P307" s="1413"/>
      <c r="Q307" s="315"/>
      <c r="R307" s="1405"/>
      <c r="S307" s="1411"/>
      <c r="T307" s="1537">
        <v>1032514752</v>
      </c>
      <c r="U307" s="1408">
        <f t="shared" si="7"/>
        <v>3337.6776859504134</v>
      </c>
      <c r="V307" s="525">
        <v>4038.59</v>
      </c>
      <c r="W307" s="225"/>
      <c r="X307" s="225"/>
    </row>
    <row r="308" spans="2:24">
      <c r="B308" s="141"/>
      <c r="C308" s="210"/>
      <c r="D308" s="163"/>
      <c r="E308" s="210"/>
      <c r="F308" s="211"/>
      <c r="G308" s="211"/>
      <c r="H308" s="212"/>
      <c r="I308" s="213"/>
      <c r="J308" s="1389"/>
      <c r="K308" s="1390"/>
      <c r="L308" s="1391"/>
      <c r="M308" s="1396"/>
      <c r="N308" s="216"/>
      <c r="O308" s="1401"/>
      <c r="P308" s="1413"/>
      <c r="Q308" s="315"/>
      <c r="R308" s="1405"/>
      <c r="S308" s="1411"/>
      <c r="T308" s="1537">
        <v>1032514860</v>
      </c>
      <c r="U308" s="1408">
        <f t="shared" si="7"/>
        <v>3418.644628099174</v>
      </c>
      <c r="V308" s="525">
        <v>4136.5600000000004</v>
      </c>
      <c r="W308" s="225"/>
      <c r="X308" s="225"/>
    </row>
    <row r="309" spans="2:24">
      <c r="B309" s="141"/>
      <c r="C309" s="210"/>
      <c r="D309" s="163"/>
      <c r="E309" s="210"/>
      <c r="F309" s="211"/>
      <c r="G309" s="211"/>
      <c r="H309" s="212"/>
      <c r="I309" s="213"/>
      <c r="J309" s="1389"/>
      <c r="K309" s="1390"/>
      <c r="L309" s="1391"/>
      <c r="M309" s="1396"/>
      <c r="N309" s="216"/>
      <c r="O309" s="1401"/>
      <c r="P309" s="1413"/>
      <c r="Q309" s="315"/>
      <c r="R309" s="1405"/>
      <c r="S309" s="1411"/>
      <c r="T309" s="1537">
        <v>1032514911</v>
      </c>
      <c r="U309" s="1408">
        <f t="shared" si="7"/>
        <v>2595.1239669421489</v>
      </c>
      <c r="V309" s="1490">
        <v>3140.1</v>
      </c>
      <c r="W309" s="225"/>
      <c r="X309" s="225"/>
    </row>
    <row r="310" spans="2:24">
      <c r="B310" s="141"/>
      <c r="C310" s="210"/>
      <c r="D310" s="163"/>
      <c r="E310" s="210"/>
      <c r="F310" s="211"/>
      <c r="G310" s="211"/>
      <c r="H310" s="212"/>
      <c r="I310" s="213"/>
      <c r="J310" s="1389"/>
      <c r="K310" s="1390"/>
      <c r="L310" s="1391"/>
      <c r="M310" s="1396"/>
      <c r="N310" s="216"/>
      <c r="O310" s="1401"/>
      <c r="P310" s="1413"/>
      <c r="Q310" s="315"/>
      <c r="R310" s="1405"/>
      <c r="S310" s="1411"/>
      <c r="T310" s="1537">
        <v>1032514936</v>
      </c>
      <c r="U310" s="1408">
        <f t="shared" si="7"/>
        <v>4891.3223140495866</v>
      </c>
      <c r="V310" s="1490">
        <v>5918.5</v>
      </c>
      <c r="W310" s="225"/>
      <c r="X310" s="225"/>
    </row>
    <row r="311" spans="2:24">
      <c r="B311" s="141"/>
      <c r="C311" s="210"/>
      <c r="D311" s="163"/>
      <c r="E311" s="210"/>
      <c r="F311" s="211"/>
      <c r="G311" s="211"/>
      <c r="H311" s="212"/>
      <c r="I311" s="213"/>
      <c r="J311" s="1389"/>
      <c r="K311" s="1390"/>
      <c r="L311" s="1391"/>
      <c r="M311" s="1396"/>
      <c r="N311" s="216"/>
      <c r="O311" s="1401"/>
      <c r="P311" s="1413"/>
      <c r="Q311" s="315"/>
      <c r="R311" s="1405"/>
      <c r="S311" s="1411"/>
      <c r="T311" s="1537">
        <v>1032515007</v>
      </c>
      <c r="U311" s="1408">
        <f t="shared" si="7"/>
        <v>344.15702479338847</v>
      </c>
      <c r="V311" s="1490">
        <v>416.43</v>
      </c>
      <c r="W311" s="225"/>
      <c r="X311" s="225"/>
    </row>
    <row r="312" spans="2:24">
      <c r="B312" s="141"/>
      <c r="C312" s="210"/>
      <c r="D312" s="163"/>
      <c r="E312" s="210"/>
      <c r="F312" s="211"/>
      <c r="G312" s="211"/>
      <c r="H312" s="212"/>
      <c r="I312" s="213"/>
      <c r="J312" s="1389"/>
      <c r="K312" s="1390"/>
      <c r="L312" s="1391"/>
      <c r="M312" s="1396"/>
      <c r="N312" s="216"/>
      <c r="O312" s="1401"/>
      <c r="P312" s="1413"/>
      <c r="Q312" s="315"/>
      <c r="R312" s="1405"/>
      <c r="S312" s="1411"/>
      <c r="T312" s="1537">
        <v>1032515315</v>
      </c>
      <c r="U312" s="1408">
        <f t="shared" si="7"/>
        <v>3995.3719008264461</v>
      </c>
      <c r="V312" s="1490">
        <v>4834.3999999999996</v>
      </c>
      <c r="W312" s="225"/>
      <c r="X312" s="225"/>
    </row>
    <row r="313" spans="2:24">
      <c r="B313" s="141"/>
      <c r="C313" s="210"/>
      <c r="D313" s="163"/>
      <c r="E313" s="210"/>
      <c r="F313" s="211"/>
      <c r="G313" s="211"/>
      <c r="H313" s="212"/>
      <c r="I313" s="213"/>
      <c r="J313" s="1389"/>
      <c r="K313" s="1390"/>
      <c r="L313" s="1391"/>
      <c r="M313" s="1396"/>
      <c r="N313" s="216"/>
      <c r="O313" s="1401"/>
      <c r="P313" s="1413"/>
      <c r="Q313" s="315"/>
      <c r="R313" s="1405"/>
      <c r="S313" s="1411"/>
      <c r="T313" s="1537">
        <v>1032515454</v>
      </c>
      <c r="U313" s="1408">
        <f t="shared" si="7"/>
        <v>1889.3553719008264</v>
      </c>
      <c r="V313" s="1490">
        <v>2286.12</v>
      </c>
      <c r="W313" s="225"/>
      <c r="X313" s="225"/>
    </row>
    <row r="314" spans="2:24">
      <c r="B314" s="141"/>
      <c r="C314" s="210"/>
      <c r="D314" s="163"/>
      <c r="E314" s="210"/>
      <c r="F314" s="211"/>
      <c r="G314" s="211"/>
      <c r="H314" s="212"/>
      <c r="I314" s="213"/>
      <c r="J314" s="1389"/>
      <c r="K314" s="1390"/>
      <c r="L314" s="1391"/>
      <c r="M314" s="1396"/>
      <c r="N314" s="216"/>
      <c r="O314" s="1401"/>
      <c r="P314" s="1413"/>
      <c r="Q314" s="315"/>
      <c r="R314" s="1405"/>
      <c r="S314" s="1411"/>
      <c r="T314" s="1537">
        <v>1032515707</v>
      </c>
      <c r="U314" s="1408">
        <f t="shared" si="7"/>
        <v>11928.89256198347</v>
      </c>
      <c r="V314" s="1490">
        <v>14433.96</v>
      </c>
      <c r="W314" s="225"/>
      <c r="X314" s="225"/>
    </row>
    <row r="315" spans="2:24">
      <c r="B315" s="141"/>
      <c r="C315" s="210"/>
      <c r="D315" s="163"/>
      <c r="E315" s="210"/>
      <c r="F315" s="211"/>
      <c r="G315" s="211"/>
      <c r="H315" s="212"/>
      <c r="I315" s="213"/>
      <c r="J315" s="1389"/>
      <c r="K315" s="1390"/>
      <c r="L315" s="1391"/>
      <c r="M315" s="1396"/>
      <c r="N315" s="216"/>
      <c r="O315" s="1401"/>
      <c r="P315" s="1413"/>
      <c r="Q315" s="315"/>
      <c r="R315" s="1405"/>
      <c r="S315" s="1411"/>
      <c r="T315" s="1537">
        <v>1032515708</v>
      </c>
      <c r="U315" s="1408">
        <f t="shared" si="7"/>
        <v>26698.876033057852</v>
      </c>
      <c r="V315" s="1490">
        <v>32305.64</v>
      </c>
      <c r="W315" s="225"/>
      <c r="X315" s="225"/>
    </row>
    <row r="316" spans="2:24">
      <c r="B316" s="141"/>
      <c r="C316" s="210"/>
      <c r="D316" s="163"/>
      <c r="E316" s="210"/>
      <c r="F316" s="211"/>
      <c r="G316" s="211"/>
      <c r="H316" s="212"/>
      <c r="I316" s="232"/>
      <c r="J316" s="1498"/>
      <c r="K316" s="1499"/>
      <c r="L316" s="1500"/>
      <c r="M316" s="1501"/>
      <c r="N316" s="255"/>
      <c r="O316" s="1502"/>
      <c r="P316" s="1503"/>
      <c r="Q316" s="519"/>
      <c r="R316" s="1504"/>
      <c r="S316" s="1493"/>
      <c r="T316" s="1538">
        <v>1032515790</v>
      </c>
      <c r="U316" s="1408">
        <f t="shared" si="7"/>
        <v>4755.5702479338843</v>
      </c>
      <c r="V316" s="1506">
        <v>5754.24</v>
      </c>
      <c r="W316" s="225"/>
      <c r="X316" s="225"/>
    </row>
    <row r="317" spans="2:24">
      <c r="B317" s="141"/>
      <c r="C317" s="210"/>
      <c r="D317" s="163"/>
      <c r="E317" s="210"/>
      <c r="F317" s="211"/>
      <c r="G317" s="211"/>
      <c r="H317" s="212"/>
      <c r="I317" s="232"/>
      <c r="J317" s="1498"/>
      <c r="K317" s="1499"/>
      <c r="L317" s="1500"/>
      <c r="M317" s="1501"/>
      <c r="N317" s="255"/>
      <c r="O317" s="1502"/>
      <c r="P317" s="1503"/>
      <c r="Q317" s="519"/>
      <c r="R317" s="1504"/>
      <c r="S317" s="1493"/>
      <c r="T317" s="1538">
        <v>1032513661</v>
      </c>
      <c r="U317" s="1408">
        <f t="shared" si="7"/>
        <v>4628.3966942148763</v>
      </c>
      <c r="V317" s="1506">
        <v>5600.36</v>
      </c>
      <c r="W317" s="225"/>
      <c r="X317" s="225"/>
    </row>
    <row r="318" spans="2:24">
      <c r="B318" s="141"/>
      <c r="C318" s="210"/>
      <c r="D318" s="163"/>
      <c r="E318" s="210"/>
      <c r="F318" s="211"/>
      <c r="G318" s="211"/>
      <c r="H318" s="212"/>
      <c r="I318" s="232"/>
      <c r="J318" s="1498"/>
      <c r="K318" s="1499"/>
      <c r="L318" s="1500"/>
      <c r="M318" s="1501"/>
      <c r="N318" s="255"/>
      <c r="O318" s="1502"/>
      <c r="P318" s="1503"/>
      <c r="Q318" s="519"/>
      <c r="R318" s="1504"/>
      <c r="S318" s="1493"/>
      <c r="T318" s="1538">
        <v>1032513716</v>
      </c>
      <c r="U318" s="1408">
        <f t="shared" si="7"/>
        <v>1771.6280991735539</v>
      </c>
      <c r="V318" s="1506">
        <v>2143.67</v>
      </c>
      <c r="W318" s="225"/>
      <c r="X318" s="225"/>
    </row>
    <row r="319" spans="2:24">
      <c r="B319" s="141"/>
      <c r="C319" s="210"/>
      <c r="D319" s="163"/>
      <c r="E319" s="210"/>
      <c r="F319" s="211"/>
      <c r="G319" s="211"/>
      <c r="H319" s="212"/>
      <c r="I319" s="232"/>
      <c r="J319" s="1498"/>
      <c r="K319" s="1499"/>
      <c r="L319" s="1500"/>
      <c r="M319" s="1501"/>
      <c r="N319" s="255"/>
      <c r="O319" s="1502"/>
      <c r="P319" s="1503"/>
      <c r="Q319" s="519"/>
      <c r="R319" s="1504"/>
      <c r="S319" s="1493">
        <v>46000</v>
      </c>
      <c r="T319" s="1538">
        <v>1032516339</v>
      </c>
      <c r="U319" s="1505">
        <v>829.98</v>
      </c>
      <c r="V319" s="1506">
        <v>1004.27</v>
      </c>
      <c r="W319" s="225"/>
      <c r="X319" s="225"/>
    </row>
    <row r="320" spans="2:24">
      <c r="B320" s="141"/>
      <c r="C320" s="210"/>
      <c r="D320" s="163"/>
      <c r="E320" s="210"/>
      <c r="F320" s="211"/>
      <c r="G320" s="211"/>
      <c r="H320" s="212"/>
      <c r="I320" s="232"/>
      <c r="J320" s="1498"/>
      <c r="K320" s="1499"/>
      <c r="L320" s="1500"/>
      <c r="M320" s="1501"/>
      <c r="N320" s="255"/>
      <c r="O320" s="1502"/>
      <c r="P320" s="1503"/>
      <c r="Q320" s="519"/>
      <c r="R320" s="1504"/>
      <c r="S320" s="1493">
        <v>46000</v>
      </c>
      <c r="T320" s="1538">
        <v>1032516422</v>
      </c>
      <c r="U320" s="1505">
        <v>448.2</v>
      </c>
      <c r="V320" s="1506">
        <v>542.32000000000005</v>
      </c>
      <c r="W320" s="225"/>
      <c r="X320" s="225"/>
    </row>
    <row r="321" spans="2:24">
      <c r="B321" s="141"/>
      <c r="C321" s="210"/>
      <c r="D321" s="163"/>
      <c r="E321" s="210"/>
      <c r="F321" s="211"/>
      <c r="G321" s="211"/>
      <c r="H321" s="212"/>
      <c r="I321" s="232"/>
      <c r="J321" s="1498"/>
      <c r="K321" s="1499"/>
      <c r="L321" s="1500"/>
      <c r="M321" s="1501"/>
      <c r="N321" s="255"/>
      <c r="O321" s="1502"/>
      <c r="P321" s="1503"/>
      <c r="Q321" s="519"/>
      <c r="R321" s="1504"/>
      <c r="S321" s="1493">
        <v>46000</v>
      </c>
      <c r="T321" s="1538" t="s">
        <v>6593</v>
      </c>
      <c r="U321" s="1505">
        <v>5291.62</v>
      </c>
      <c r="V321" s="1506">
        <v>6402.87</v>
      </c>
      <c r="W321" s="225"/>
      <c r="X321" s="225"/>
    </row>
    <row r="322" spans="2:24">
      <c r="B322" s="141"/>
      <c r="C322" s="210"/>
      <c r="D322" s="163"/>
      <c r="E322" s="210"/>
      <c r="F322" s="211"/>
      <c r="G322" s="211"/>
      <c r="H322" s="212"/>
      <c r="I322" s="232"/>
      <c r="J322" s="1498"/>
      <c r="K322" s="1499"/>
      <c r="L322" s="1500"/>
      <c r="M322" s="1501"/>
      <c r="N322" s="255"/>
      <c r="O322" s="1502"/>
      <c r="P322" s="1503"/>
      <c r="Q322" s="519"/>
      <c r="R322" s="1504"/>
      <c r="S322" s="1493">
        <v>46006</v>
      </c>
      <c r="T322" s="1538" t="s">
        <v>6611</v>
      </c>
      <c r="U322" s="1505">
        <v>2870.12</v>
      </c>
      <c r="V322" s="1506">
        <v>3472.86</v>
      </c>
      <c r="W322" s="225"/>
      <c r="X322" s="225"/>
    </row>
    <row r="323" spans="2:24">
      <c r="B323" s="141"/>
      <c r="C323" s="210"/>
      <c r="D323" s="163"/>
      <c r="E323" s="210"/>
      <c r="F323" s="211"/>
      <c r="G323" s="211"/>
      <c r="H323" s="212"/>
      <c r="I323" s="232"/>
      <c r="J323" s="1498"/>
      <c r="K323" s="1499"/>
      <c r="L323" s="1500"/>
      <c r="M323" s="1501"/>
      <c r="N323" s="255"/>
      <c r="O323" s="1502"/>
      <c r="P323" s="1503"/>
      <c r="Q323" s="519"/>
      <c r="R323" s="1504"/>
      <c r="S323" s="1493">
        <v>46006</v>
      </c>
      <c r="T323" s="1538">
        <v>222251848</v>
      </c>
      <c r="U323" s="1505">
        <v>279.72000000000003</v>
      </c>
      <c r="V323" s="1506">
        <v>338.46</v>
      </c>
      <c r="W323" s="225"/>
      <c r="X323" s="225"/>
    </row>
    <row r="324" spans="2:24">
      <c r="B324" s="141"/>
      <c r="C324" s="210"/>
      <c r="D324" s="163"/>
      <c r="E324" s="210"/>
      <c r="F324" s="211"/>
      <c r="G324" s="211"/>
      <c r="H324" s="212"/>
      <c r="I324" s="232"/>
      <c r="J324" s="1498"/>
      <c r="K324" s="1499"/>
      <c r="L324" s="1500"/>
      <c r="M324" s="1501"/>
      <c r="N324" s="255"/>
      <c r="O324" s="1502"/>
      <c r="P324" s="1503"/>
      <c r="Q324" s="519"/>
      <c r="R324" s="1504"/>
      <c r="S324" s="1493">
        <v>46006</v>
      </c>
      <c r="T324" s="1538" t="s">
        <v>6616</v>
      </c>
      <c r="U324" s="1505">
        <v>1347.66</v>
      </c>
      <c r="V324" s="1506">
        <v>1630.67</v>
      </c>
      <c r="W324" s="225"/>
      <c r="X324" s="225"/>
    </row>
    <row r="325" spans="2:24">
      <c r="B325" s="141"/>
      <c r="C325" s="210"/>
      <c r="D325" s="163"/>
      <c r="E325" s="210"/>
      <c r="F325" s="211"/>
      <c r="G325" s="211"/>
      <c r="H325" s="212"/>
      <c r="I325" s="232"/>
      <c r="J325" s="1498"/>
      <c r="K325" s="1499"/>
      <c r="L325" s="1500"/>
      <c r="M325" s="1501"/>
      <c r="N325" s="255"/>
      <c r="O325" s="1502"/>
      <c r="P325" s="1503"/>
      <c r="Q325" s="519"/>
      <c r="R325" s="1504"/>
      <c r="S325" s="1493">
        <v>46006</v>
      </c>
      <c r="T325" s="1538" t="s">
        <v>6617</v>
      </c>
      <c r="U325" s="1505">
        <v>6940</v>
      </c>
      <c r="V325" s="1506">
        <v>8397.4</v>
      </c>
      <c r="W325" s="225"/>
      <c r="X325" s="225"/>
    </row>
    <row r="326" spans="2:24">
      <c r="B326" s="141"/>
      <c r="C326" s="210"/>
      <c r="D326" s="163"/>
      <c r="E326" s="210"/>
      <c r="F326" s="211"/>
      <c r="G326" s="211"/>
      <c r="H326" s="212"/>
      <c r="I326" s="232"/>
      <c r="J326" s="1498"/>
      <c r="K326" s="1499"/>
      <c r="L326" s="1500"/>
      <c r="M326" s="1501"/>
      <c r="N326" s="255"/>
      <c r="O326" s="1502"/>
      <c r="P326" s="1503"/>
      <c r="Q326" s="519"/>
      <c r="R326" s="1504"/>
      <c r="S326" s="1493">
        <v>46009</v>
      </c>
      <c r="T326" s="1538" t="s">
        <v>6629</v>
      </c>
      <c r="U326" s="1505">
        <v>3020.16</v>
      </c>
      <c r="V326" s="1506">
        <v>3654.39</v>
      </c>
      <c r="W326" s="225"/>
      <c r="X326" s="225"/>
    </row>
    <row r="327" spans="2:24">
      <c r="B327" s="141"/>
      <c r="C327" s="210"/>
      <c r="D327" s="163"/>
      <c r="E327" s="210"/>
      <c r="F327" s="211"/>
      <c r="G327" s="211"/>
      <c r="H327" s="212"/>
      <c r="I327" s="232"/>
      <c r="J327" s="1498"/>
      <c r="K327" s="1499"/>
      <c r="L327" s="1500"/>
      <c r="M327" s="1501"/>
      <c r="N327" s="255"/>
      <c r="O327" s="1502"/>
      <c r="P327" s="1503"/>
      <c r="Q327" s="519"/>
      <c r="R327" s="1504"/>
      <c r="S327" s="1493">
        <v>46009</v>
      </c>
      <c r="T327" s="1538">
        <v>1032517125</v>
      </c>
      <c r="U327" s="1505">
        <v>1090</v>
      </c>
      <c r="V327" s="1506">
        <v>1318</v>
      </c>
      <c r="W327" s="225"/>
      <c r="X327" s="225"/>
    </row>
    <row r="328" spans="2:24">
      <c r="B328" s="141"/>
      <c r="C328" s="210"/>
      <c r="D328" s="163"/>
      <c r="E328" s="210"/>
      <c r="F328" s="211"/>
      <c r="G328" s="211"/>
      <c r="H328" s="212"/>
      <c r="I328" s="232"/>
      <c r="J328" s="1498"/>
      <c r="K328" s="1499"/>
      <c r="L328" s="1500"/>
      <c r="M328" s="1501"/>
      <c r="N328" s="255"/>
      <c r="O328" s="1502"/>
      <c r="P328" s="1503"/>
      <c r="Q328" s="519"/>
      <c r="R328" s="1504"/>
      <c r="S328" s="1493">
        <v>46010</v>
      </c>
      <c r="T328" s="1538">
        <v>1032516842</v>
      </c>
      <c r="U328" s="1505">
        <v>6933.12</v>
      </c>
      <c r="V328" s="1506">
        <v>8389.07</v>
      </c>
      <c r="W328" s="225"/>
      <c r="X328" s="225"/>
    </row>
    <row r="329" spans="2:24">
      <c r="B329" s="141"/>
      <c r="C329" s="210"/>
      <c r="D329" s="163"/>
      <c r="E329" s="210"/>
      <c r="F329" s="211"/>
      <c r="G329" s="211"/>
      <c r="H329" s="212"/>
      <c r="I329" s="232"/>
      <c r="J329" s="1498"/>
      <c r="K329" s="1499"/>
      <c r="L329" s="1500"/>
      <c r="M329" s="1501"/>
      <c r="N329" s="255"/>
      <c r="O329" s="1502"/>
      <c r="P329" s="1503"/>
      <c r="Q329" s="519"/>
      <c r="R329" s="1504"/>
      <c r="S329" s="1493">
        <v>46010</v>
      </c>
      <c r="T329" s="1538" t="s">
        <v>6630</v>
      </c>
      <c r="U329" s="1505">
        <v>8520.65</v>
      </c>
      <c r="V329" s="1506">
        <v>10309.98</v>
      </c>
      <c r="W329" s="225"/>
      <c r="X329" s="225"/>
    </row>
    <row r="330" spans="2:24">
      <c r="B330" s="141"/>
      <c r="C330" s="210"/>
      <c r="D330" s="163"/>
      <c r="E330" s="210"/>
      <c r="F330" s="211"/>
      <c r="G330" s="211"/>
      <c r="H330" s="212"/>
      <c r="I330" s="232"/>
      <c r="J330" s="1498"/>
      <c r="K330" s="1499"/>
      <c r="L330" s="1500"/>
      <c r="M330" s="1501"/>
      <c r="N330" s="255"/>
      <c r="O330" s="1502"/>
      <c r="P330" s="1503"/>
      <c r="Q330" s="519"/>
      <c r="R330" s="1504"/>
      <c r="S330" s="1493"/>
      <c r="T330" s="1538"/>
      <c r="U330" s="1505"/>
      <c r="V330" s="1506"/>
      <c r="W330" s="225"/>
      <c r="X330" s="225"/>
    </row>
    <row r="331" spans="2:24">
      <c r="B331" s="141"/>
      <c r="C331" s="210"/>
      <c r="D331" s="163"/>
      <c r="E331" s="210"/>
      <c r="F331" s="211"/>
      <c r="G331" s="211"/>
      <c r="H331" s="212"/>
      <c r="I331" s="232"/>
      <c r="J331" s="1498"/>
      <c r="K331" s="1499"/>
      <c r="L331" s="1500"/>
      <c r="M331" s="1501"/>
      <c r="N331" s="255"/>
      <c r="O331" s="1502"/>
      <c r="P331" s="1503"/>
      <c r="Q331" s="519"/>
      <c r="R331" s="1504"/>
      <c r="S331" s="1493"/>
      <c r="T331" s="1538"/>
      <c r="U331" s="1505"/>
      <c r="V331" s="1506"/>
      <c r="W331" s="225"/>
      <c r="X331" s="225"/>
    </row>
    <row r="332" spans="2:24">
      <c r="B332" s="141"/>
      <c r="C332" s="210"/>
      <c r="D332" s="163"/>
      <c r="E332" s="210"/>
      <c r="F332" s="211"/>
      <c r="G332" s="211"/>
      <c r="H332" s="212"/>
      <c r="I332" s="232"/>
      <c r="J332" s="1498"/>
      <c r="K332" s="1499"/>
      <c r="L332" s="1500"/>
      <c r="M332" s="1501"/>
      <c r="N332" s="255"/>
      <c r="O332" s="1502"/>
      <c r="P332" s="1503"/>
      <c r="Q332" s="519"/>
      <c r="R332" s="1504"/>
      <c r="S332" s="1493"/>
      <c r="T332" s="1538"/>
      <c r="U332" s="1505"/>
      <c r="V332" s="1506"/>
      <c r="W332" s="225"/>
      <c r="X332" s="225"/>
    </row>
    <row r="333" spans="2:24">
      <c r="B333" s="141"/>
      <c r="C333" s="210"/>
      <c r="D333" s="163"/>
      <c r="E333" s="210"/>
      <c r="F333" s="211"/>
      <c r="G333" s="211"/>
      <c r="H333" s="212"/>
      <c r="I333" s="232"/>
      <c r="J333" s="1498"/>
      <c r="K333" s="1499"/>
      <c r="L333" s="1500"/>
      <c r="M333" s="1501"/>
      <c r="N333" s="255"/>
      <c r="O333" s="1502"/>
      <c r="P333" s="1503"/>
      <c r="Q333" s="519"/>
      <c r="R333" s="1504"/>
      <c r="S333" s="1493"/>
      <c r="T333" s="1538"/>
      <c r="U333" s="1505"/>
      <c r="V333" s="1506"/>
      <c r="W333" s="225"/>
      <c r="X333" s="225"/>
    </row>
    <row r="334" spans="2:24">
      <c r="B334" s="141"/>
      <c r="C334" s="210"/>
      <c r="D334" s="163"/>
      <c r="E334" s="210"/>
      <c r="F334" s="211"/>
      <c r="G334" s="211"/>
      <c r="H334" s="212"/>
      <c r="I334" s="232"/>
      <c r="J334" s="1498"/>
      <c r="K334" s="1499"/>
      <c r="L334" s="1500"/>
      <c r="M334" s="1501"/>
      <c r="N334" s="255"/>
      <c r="O334" s="1502"/>
      <c r="P334" s="1503"/>
      <c r="Q334" s="519"/>
      <c r="R334" s="1504"/>
      <c r="S334" s="1493"/>
      <c r="T334" s="1493"/>
      <c r="U334" s="1505"/>
      <c r="V334" s="1506"/>
      <c r="W334" s="225"/>
      <c r="X334" s="225"/>
    </row>
    <row r="335" spans="2:24">
      <c r="B335" s="141"/>
      <c r="C335" s="210"/>
      <c r="D335" s="163"/>
      <c r="E335" s="210"/>
      <c r="F335" s="211"/>
      <c r="G335" s="211"/>
      <c r="H335" s="212"/>
      <c r="I335" s="232"/>
      <c r="J335" s="1498"/>
      <c r="K335" s="1499"/>
      <c r="L335" s="1500"/>
      <c r="M335" s="1501"/>
      <c r="N335" s="255"/>
      <c r="O335" s="1502"/>
      <c r="P335" s="1503"/>
      <c r="Q335" s="519"/>
      <c r="R335" s="1504"/>
      <c r="S335" s="1493"/>
      <c r="T335" s="1493"/>
      <c r="U335" s="1505"/>
      <c r="V335" s="1506"/>
      <c r="W335" s="225"/>
      <c r="X335" s="225"/>
    </row>
    <row r="336" spans="2:24">
      <c r="B336" s="141"/>
      <c r="C336" s="210"/>
      <c r="D336" s="163"/>
      <c r="E336" s="210"/>
      <c r="F336" s="211"/>
      <c r="G336" s="211"/>
      <c r="H336" s="212"/>
      <c r="I336" s="232"/>
      <c r="J336" s="1498"/>
      <c r="K336" s="1499"/>
      <c r="L336" s="1500"/>
      <c r="M336" s="1501"/>
      <c r="N336" s="255"/>
      <c r="O336" s="1502"/>
      <c r="P336" s="1503"/>
      <c r="Q336" s="519"/>
      <c r="R336" s="1504"/>
      <c r="S336" s="1493"/>
      <c r="T336" s="1493"/>
      <c r="U336" s="1505"/>
      <c r="V336" s="1506"/>
      <c r="W336" s="225"/>
      <c r="X336" s="225"/>
    </row>
    <row r="337" spans="2:24">
      <c r="B337" s="141"/>
      <c r="C337" s="210"/>
      <c r="D337" s="163"/>
      <c r="E337" s="210"/>
      <c r="F337" s="211"/>
      <c r="G337" s="211"/>
      <c r="H337" s="212"/>
      <c r="I337" s="232"/>
      <c r="J337" s="1498"/>
      <c r="K337" s="1499"/>
      <c r="L337" s="1500"/>
      <c r="M337" s="1501"/>
      <c r="N337" s="255"/>
      <c r="O337" s="1502"/>
      <c r="P337" s="1503"/>
      <c r="Q337" s="519"/>
      <c r="R337" s="1504"/>
      <c r="S337" s="1493"/>
      <c r="T337" s="1493"/>
      <c r="U337" s="1505"/>
      <c r="V337" s="1506"/>
      <c r="W337" s="225"/>
      <c r="X337" s="225"/>
    </row>
    <row r="338" spans="2:24">
      <c r="B338" s="141"/>
      <c r="C338" s="210"/>
      <c r="D338" s="163"/>
      <c r="E338" s="210"/>
      <c r="F338" s="211"/>
      <c r="G338" s="211"/>
      <c r="H338" s="212"/>
      <c r="I338" s="232"/>
      <c r="J338" s="1498"/>
      <c r="K338" s="1499"/>
      <c r="L338" s="1500"/>
      <c r="M338" s="1501"/>
      <c r="N338" s="255"/>
      <c r="O338" s="1502"/>
      <c r="P338" s="1503"/>
      <c r="Q338" s="519"/>
      <c r="R338" s="1504"/>
      <c r="S338" s="1493"/>
      <c r="T338" s="1493"/>
      <c r="U338" s="1505"/>
      <c r="V338" s="1506"/>
      <c r="W338" s="225"/>
      <c r="X338" s="225"/>
    </row>
    <row r="339" spans="2:24">
      <c r="B339" s="141"/>
      <c r="C339" s="210"/>
      <c r="D339" s="163"/>
      <c r="E339" s="210"/>
      <c r="F339" s="211"/>
      <c r="G339" s="211"/>
      <c r="H339" s="212"/>
      <c r="I339" s="232"/>
      <c r="J339" s="1498"/>
      <c r="K339" s="1499"/>
      <c r="L339" s="1500"/>
      <c r="M339" s="1501"/>
      <c r="N339" s="255"/>
      <c r="O339" s="1502"/>
      <c r="P339" s="1503"/>
      <c r="Q339" s="519"/>
      <c r="R339" s="1504"/>
      <c r="S339" s="1493"/>
      <c r="T339" s="1493"/>
      <c r="U339" s="1505"/>
      <c r="V339" s="1506"/>
      <c r="W339" s="225"/>
      <c r="X339" s="225"/>
    </row>
    <row r="340" spans="2:24">
      <c r="B340" s="141"/>
      <c r="C340" s="210"/>
      <c r="D340" s="163"/>
      <c r="E340" s="210"/>
      <c r="F340" s="211"/>
      <c r="G340" s="211"/>
      <c r="H340" s="212"/>
      <c r="I340" s="232"/>
      <c r="J340" s="1498"/>
      <c r="K340" s="1499"/>
      <c r="L340" s="1500"/>
      <c r="M340" s="1501"/>
      <c r="N340" s="255"/>
      <c r="O340" s="1502"/>
      <c r="P340" s="1503"/>
      <c r="Q340" s="519"/>
      <c r="R340" s="1504"/>
      <c r="S340" s="1493"/>
      <c r="T340" s="1493"/>
      <c r="U340" s="1505"/>
      <c r="V340" s="1506"/>
      <c r="W340" s="225"/>
      <c r="X340" s="225"/>
    </row>
    <row r="341" spans="2:24">
      <c r="B341" s="141"/>
      <c r="C341" s="210"/>
      <c r="D341" s="163"/>
      <c r="E341" s="210"/>
      <c r="F341" s="211"/>
      <c r="G341" s="211"/>
      <c r="H341" s="212"/>
      <c r="I341" s="232"/>
      <c r="J341" s="1498"/>
      <c r="K341" s="1499"/>
      <c r="L341" s="1500"/>
      <c r="M341" s="1501"/>
      <c r="N341" s="255"/>
      <c r="O341" s="1502"/>
      <c r="P341" s="1503"/>
      <c r="Q341" s="519"/>
      <c r="R341" s="1504"/>
      <c r="S341" s="1493"/>
      <c r="T341" s="1493"/>
      <c r="U341" s="1505"/>
      <c r="V341" s="1506"/>
      <c r="W341" s="225"/>
      <c r="X341" s="225"/>
    </row>
    <row r="342" spans="2:24">
      <c r="B342" s="141"/>
      <c r="C342" s="210"/>
      <c r="D342" s="163"/>
      <c r="E342" s="210"/>
      <c r="F342" s="211"/>
      <c r="G342" s="211"/>
      <c r="H342" s="212"/>
      <c r="I342" s="232"/>
      <c r="J342" s="1498"/>
      <c r="K342" s="1499"/>
      <c r="L342" s="1500"/>
      <c r="M342" s="1501"/>
      <c r="N342" s="255"/>
      <c r="O342" s="1502"/>
      <c r="P342" s="1503"/>
      <c r="Q342" s="519"/>
      <c r="R342" s="1504"/>
      <c r="S342" s="1493"/>
      <c r="T342" s="1493"/>
      <c r="U342" s="1505"/>
      <c r="V342" s="1506"/>
      <c r="W342" s="225"/>
      <c r="X342" s="225"/>
    </row>
    <row r="343" spans="2:24">
      <c r="B343" s="141"/>
      <c r="C343" s="210"/>
      <c r="D343" s="163"/>
      <c r="E343" s="210"/>
      <c r="F343" s="211"/>
      <c r="G343" s="211"/>
      <c r="H343" s="212"/>
      <c r="I343" s="232"/>
      <c r="J343" s="1498"/>
      <c r="K343" s="1499"/>
      <c r="L343" s="1500"/>
      <c r="M343" s="1501"/>
      <c r="N343" s="255"/>
      <c r="O343" s="1502"/>
      <c r="P343" s="1503"/>
      <c r="Q343" s="519"/>
      <c r="R343" s="1504"/>
      <c r="S343" s="1493"/>
      <c r="T343" s="1493"/>
      <c r="U343" s="1505"/>
      <c r="V343" s="1506"/>
      <c r="W343" s="225"/>
      <c r="X343" s="225"/>
    </row>
    <row r="344" spans="2:24">
      <c r="B344" s="141"/>
      <c r="C344" s="210"/>
      <c r="D344" s="163"/>
      <c r="E344" s="210"/>
      <c r="F344" s="211"/>
      <c r="G344" s="211"/>
      <c r="H344" s="212"/>
      <c r="I344" s="232"/>
      <c r="J344" s="1498"/>
      <c r="K344" s="1499"/>
      <c r="L344" s="1500"/>
      <c r="M344" s="1501"/>
      <c r="N344" s="255"/>
      <c r="O344" s="1502"/>
      <c r="P344" s="1503"/>
      <c r="Q344" s="519"/>
      <c r="R344" s="1504"/>
      <c r="S344" s="1493"/>
      <c r="T344" s="1493"/>
      <c r="U344" s="1505"/>
      <c r="V344" s="1506"/>
      <c r="W344" s="225"/>
      <c r="X344" s="225"/>
    </row>
    <row r="345" spans="2:24">
      <c r="B345" s="141"/>
      <c r="C345" s="210"/>
      <c r="D345" s="163"/>
      <c r="E345" s="210"/>
      <c r="F345" s="211"/>
      <c r="G345" s="211"/>
      <c r="H345" s="212"/>
      <c r="I345" s="232"/>
      <c r="J345" s="1498"/>
      <c r="K345" s="1499"/>
      <c r="L345" s="1500"/>
      <c r="M345" s="1501"/>
      <c r="N345" s="255"/>
      <c r="O345" s="1502"/>
      <c r="P345" s="1503"/>
      <c r="Q345" s="519"/>
      <c r="R345" s="1504"/>
      <c r="S345" s="1493"/>
      <c r="T345" s="1493"/>
      <c r="U345" s="1505"/>
      <c r="V345" s="1506"/>
      <c r="W345" s="225"/>
      <c r="X345" s="225"/>
    </row>
    <row r="346" spans="2:24">
      <c r="B346" s="141"/>
      <c r="C346" s="210"/>
      <c r="D346" s="163"/>
      <c r="E346" s="210"/>
      <c r="F346" s="211"/>
      <c r="G346" s="211"/>
      <c r="H346" s="212"/>
      <c r="I346" s="232"/>
      <c r="J346" s="1498"/>
      <c r="K346" s="1499"/>
      <c r="L346" s="1500"/>
      <c r="M346" s="1501"/>
      <c r="N346" s="255"/>
      <c r="O346" s="1502"/>
      <c r="P346" s="1503"/>
      <c r="Q346" s="519"/>
      <c r="R346" s="1504"/>
      <c r="S346" s="1493"/>
      <c r="T346" s="1493"/>
      <c r="U346" s="1505"/>
      <c r="V346" s="1506"/>
      <c r="W346" s="225"/>
      <c r="X346" s="225"/>
    </row>
    <row r="347" spans="2:24">
      <c r="B347" s="141"/>
      <c r="C347" s="210"/>
      <c r="D347" s="163"/>
      <c r="E347" s="210"/>
      <c r="F347" s="211"/>
      <c r="G347" s="211"/>
      <c r="H347" s="212"/>
      <c r="I347" s="232"/>
      <c r="J347" s="1498"/>
      <c r="K347" s="1499"/>
      <c r="L347" s="1500"/>
      <c r="M347" s="1501"/>
      <c r="N347" s="255"/>
      <c r="O347" s="1502"/>
      <c r="P347" s="1503"/>
      <c r="Q347" s="519"/>
      <c r="R347" s="1504"/>
      <c r="S347" s="1493"/>
      <c r="T347" s="1493"/>
      <c r="U347" s="1505"/>
      <c r="V347" s="1506"/>
      <c r="W347" s="225"/>
      <c r="X347" s="225"/>
    </row>
    <row r="348" spans="2:24">
      <c r="B348" s="141"/>
      <c r="C348" s="210"/>
      <c r="D348" s="163"/>
      <c r="E348" s="210"/>
      <c r="F348" s="211"/>
      <c r="G348" s="211"/>
      <c r="H348" s="212"/>
      <c r="I348" s="232"/>
      <c r="J348" s="1498"/>
      <c r="K348" s="1499"/>
      <c r="L348" s="1500"/>
      <c r="M348" s="1501"/>
      <c r="N348" s="255"/>
      <c r="O348" s="1502"/>
      <c r="P348" s="1503"/>
      <c r="Q348" s="519"/>
      <c r="R348" s="1504"/>
      <c r="S348" s="1493"/>
      <c r="T348" s="1493"/>
      <c r="U348" s="1505"/>
      <c r="V348" s="1506"/>
      <c r="W348" s="225"/>
      <c r="X348" s="225"/>
    </row>
    <row r="349" spans="2:24" ht="13.8" thickBot="1">
      <c r="B349" s="141"/>
      <c r="C349" s="210"/>
      <c r="D349" s="163"/>
      <c r="E349" s="210"/>
      <c r="F349" s="211"/>
      <c r="G349" s="211"/>
      <c r="H349" s="212"/>
      <c r="I349" s="1004" t="s">
        <v>4865</v>
      </c>
      <c r="J349" s="1392"/>
      <c r="K349" s="1393"/>
      <c r="L349" s="1394"/>
      <c r="M349" s="1397"/>
      <c r="N349" s="1398"/>
      <c r="O349" s="1402"/>
      <c r="P349" s="1414"/>
      <c r="Q349" s="1404">
        <f>SUM(Q301:Q315)</f>
        <v>0</v>
      </c>
      <c r="R349" s="1406">
        <f>SUM(R301:R315)</f>
        <v>0</v>
      </c>
      <c r="S349" s="1412"/>
      <c r="T349" s="1412"/>
      <c r="U349" s="1409">
        <f>SUM(U301:U316)</f>
        <v>106218.2479338843</v>
      </c>
      <c r="V349" s="1399">
        <f>SUM(V301:V316)</f>
        <v>128524.07999999999</v>
      </c>
      <c r="W349" s="225"/>
      <c r="X349" s="225"/>
    </row>
    <row r="350" spans="2:24" ht="13.8" thickBot="1">
      <c r="B350" s="172" t="s">
        <v>547</v>
      </c>
      <c r="C350" s="192" t="s">
        <v>548</v>
      </c>
      <c r="D350" s="1104">
        <v>11754</v>
      </c>
      <c r="E350" s="193" t="s">
        <v>3885</v>
      </c>
      <c r="F350" s="194">
        <v>27860600</v>
      </c>
      <c r="G350" s="195">
        <v>32789546</v>
      </c>
      <c r="H350" s="196">
        <v>46321</v>
      </c>
      <c r="I350" s="197"/>
      <c r="J350" s="1481">
        <v>2022</v>
      </c>
      <c r="K350" s="1387">
        <v>543461.15702479344</v>
      </c>
      <c r="L350" s="1388">
        <v>657588.00000000012</v>
      </c>
      <c r="M350" s="1479">
        <v>2023</v>
      </c>
      <c r="N350" s="1480">
        <f>O350*100/121</f>
        <v>7074372.7603305774</v>
      </c>
      <c r="O350" s="1478">
        <v>8559991.0399999991</v>
      </c>
      <c r="P350" s="1486">
        <v>2024</v>
      </c>
      <c r="Q350" s="1403">
        <f>R350*100/121</f>
        <v>7412252.2479338851</v>
      </c>
      <c r="R350" s="764">
        <v>8968825.2200000007</v>
      </c>
      <c r="S350" s="1410" t="s">
        <v>6325</v>
      </c>
      <c r="T350" s="1410"/>
      <c r="U350" s="1407">
        <f>V350*100/121</f>
        <v>6539850.9834710741</v>
      </c>
      <c r="V350" s="535">
        <v>7913219.6900000004</v>
      </c>
      <c r="W350" s="1487">
        <f>F350-K355-N355-Q355-U355</f>
        <v>4981732.1408264479</v>
      </c>
      <c r="X350" s="248">
        <f>G350-L355-O355-R355-V355</f>
        <v>5106115.8900000006</v>
      </c>
    </row>
    <row r="351" spans="2:24">
      <c r="B351" s="141"/>
      <c r="C351" s="210"/>
      <c r="D351" s="163"/>
      <c r="E351" s="210"/>
      <c r="F351" s="211"/>
      <c r="G351" s="211"/>
      <c r="H351" s="212"/>
      <c r="I351" s="213"/>
      <c r="J351" s="1386"/>
      <c r="K351" s="1387"/>
      <c r="L351" s="1388"/>
      <c r="M351" s="1396"/>
      <c r="N351" s="216"/>
      <c r="O351" s="1401"/>
      <c r="P351" s="1413"/>
      <c r="Q351" s="315"/>
      <c r="R351" s="1405"/>
      <c r="S351" s="1411" t="s">
        <v>6637</v>
      </c>
      <c r="T351" s="1411"/>
      <c r="U351" s="1408">
        <f>V351*100/121</f>
        <v>705066.44628099177</v>
      </c>
      <c r="V351" s="525">
        <v>853130.4</v>
      </c>
      <c r="W351" s="225"/>
      <c r="X351" s="225"/>
    </row>
    <row r="352" spans="2:24">
      <c r="B352" s="141"/>
      <c r="C352" s="210"/>
      <c r="D352" s="163"/>
      <c r="E352" s="210"/>
      <c r="F352" s="211"/>
      <c r="G352" s="211"/>
      <c r="H352" s="212"/>
      <c r="I352" s="213"/>
      <c r="J352" s="1386"/>
      <c r="K352" s="1387"/>
      <c r="L352" s="1388"/>
      <c r="M352" s="1396"/>
      <c r="N352" s="216"/>
      <c r="O352" s="1401"/>
      <c r="P352" s="1413"/>
      <c r="Q352" s="315"/>
      <c r="R352" s="1405"/>
      <c r="S352" s="1411" t="s">
        <v>6638</v>
      </c>
      <c r="T352" s="1411"/>
      <c r="U352" s="1408">
        <f>V352*100/121</f>
        <v>603864.26446280989</v>
      </c>
      <c r="V352" s="525">
        <v>730675.76</v>
      </c>
      <c r="W352" s="225"/>
      <c r="X352" s="225"/>
    </row>
    <row r="353" spans="2:24">
      <c r="B353" s="141"/>
      <c r="C353" s="210"/>
      <c r="D353" s="163"/>
      <c r="E353" s="210"/>
      <c r="F353" s="211"/>
      <c r="G353" s="211"/>
      <c r="H353" s="212"/>
      <c r="I353" s="213"/>
      <c r="J353" s="1389"/>
      <c r="K353" s="1390"/>
      <c r="L353" s="1391"/>
      <c r="M353" s="1396"/>
      <c r="N353" s="216"/>
      <c r="O353" s="1401"/>
      <c r="P353" s="1413"/>
      <c r="Q353" s="315"/>
      <c r="R353" s="1405"/>
      <c r="S353" s="1411"/>
      <c r="T353" s="1411"/>
      <c r="U353" s="1408"/>
      <c r="V353" s="525"/>
      <c r="W353" s="225"/>
      <c r="X353" s="225"/>
    </row>
    <row r="354" spans="2:24">
      <c r="B354" s="141"/>
      <c r="C354" s="210"/>
      <c r="D354" s="163"/>
      <c r="E354" s="210"/>
      <c r="F354" s="211"/>
      <c r="G354" s="211"/>
      <c r="H354" s="212"/>
      <c r="I354" s="213"/>
      <c r="J354" s="1389"/>
      <c r="K354" s="1390"/>
      <c r="L354" s="1391"/>
      <c r="M354" s="1396"/>
      <c r="N354" s="216"/>
      <c r="O354" s="1401"/>
      <c r="P354" s="1413"/>
      <c r="Q354" s="315"/>
      <c r="R354" s="1405"/>
      <c r="S354" s="1411"/>
      <c r="T354" s="1411"/>
      <c r="U354" s="1408"/>
      <c r="V354" s="525"/>
      <c r="W354" s="225"/>
      <c r="X354" s="225"/>
    </row>
    <row r="355" spans="2:24" ht="13.8" thickBot="1">
      <c r="B355" s="141"/>
      <c r="C355" s="210"/>
      <c r="D355" s="163"/>
      <c r="E355" s="210"/>
      <c r="F355" s="211"/>
      <c r="G355" s="211"/>
      <c r="H355" s="212"/>
      <c r="I355" s="1004" t="s">
        <v>4865</v>
      </c>
      <c r="J355" s="1392"/>
      <c r="K355" s="1476">
        <f>SUM(K350:K354)</f>
        <v>543461.15702479344</v>
      </c>
      <c r="L355" s="1477">
        <f>SUM(L350:L354)</f>
        <v>657588.00000000012</v>
      </c>
      <c r="M355" s="1397"/>
      <c r="N355" s="1482">
        <v>7074372.7599999998</v>
      </c>
      <c r="O355" s="1483">
        <v>8559991.0399999991</v>
      </c>
      <c r="P355" s="1414"/>
      <c r="Q355" s="1484">
        <f>SUM(Q350:Q354)</f>
        <v>7412252.2479338851</v>
      </c>
      <c r="R355" s="1485">
        <f>SUM(R350:R354)</f>
        <v>8968825.2200000007</v>
      </c>
      <c r="S355" s="1412"/>
      <c r="T355" s="1412"/>
      <c r="U355" s="1488">
        <f>SUM(U350:U354)</f>
        <v>7848781.6942148758</v>
      </c>
      <c r="V355" s="1489">
        <f>SUM(V350:V354)</f>
        <v>9497025.8499999996</v>
      </c>
      <c r="W355" s="225"/>
      <c r="X355" s="225"/>
    </row>
    <row r="370" spans="2:24" ht="13.8" thickBot="1"/>
    <row r="371" spans="2:24" ht="14.4" thickBot="1">
      <c r="B371" s="1730" t="s">
        <v>5976</v>
      </c>
      <c r="C371" s="1731"/>
      <c r="D371" s="1731"/>
      <c r="E371" s="1731"/>
      <c r="F371" s="1732"/>
    </row>
    <row r="373" spans="2:24" ht="13.8" thickBot="1"/>
    <row r="374" spans="2:24" ht="13.8" thickBot="1">
      <c r="B374" s="1011" t="s">
        <v>4065</v>
      </c>
      <c r="C374" s="1012" t="s">
        <v>4067</v>
      </c>
      <c r="D374" s="1013">
        <v>27359875</v>
      </c>
      <c r="E374" s="1123" t="s">
        <v>4896</v>
      </c>
      <c r="F374" s="1015">
        <v>495800</v>
      </c>
      <c r="G374" s="1016">
        <v>599918</v>
      </c>
      <c r="H374" s="1017">
        <v>46122</v>
      </c>
      <c r="I374" s="1124"/>
      <c r="J374" s="1125"/>
      <c r="K374" s="1126"/>
      <c r="L374" s="1127"/>
      <c r="M374" s="1125"/>
      <c r="N374" s="1126"/>
      <c r="O374" s="1127"/>
      <c r="P374" s="1128">
        <v>45421</v>
      </c>
      <c r="Q374" s="1126">
        <f>153113.4*100/121</f>
        <v>126540</v>
      </c>
      <c r="R374" s="1129">
        <v>153113.4</v>
      </c>
      <c r="S374" s="1130">
        <v>45663</v>
      </c>
      <c r="T374" s="1511"/>
      <c r="U374" s="1126">
        <v>7220</v>
      </c>
      <c r="V374" s="1131">
        <v>8736.2000000000007</v>
      </c>
      <c r="W374" s="1132">
        <f>SUM(F374-Q383-U383)</f>
        <v>19130</v>
      </c>
      <c r="X374" s="1133">
        <f>SUM(G374-R383-V383)</f>
        <v>23147.299999999988</v>
      </c>
    </row>
    <row r="375" spans="2:24">
      <c r="B375" s="1177" t="s">
        <v>5312</v>
      </c>
      <c r="C375" s="1134"/>
      <c r="D375" s="1135"/>
      <c r="E375" s="1134"/>
      <c r="F375" s="1136"/>
      <c r="G375" s="1136"/>
      <c r="H375" s="1137"/>
      <c r="I375" s="1138"/>
      <c r="J375" s="1139"/>
      <c r="K375" s="1140"/>
      <c r="L375" s="1141"/>
      <c r="M375" s="1139"/>
      <c r="N375" s="1140"/>
      <c r="O375" s="1141"/>
      <c r="P375" s="1142">
        <v>45443</v>
      </c>
      <c r="Q375" s="1140">
        <f>37570.5*100/121</f>
        <v>31050</v>
      </c>
      <c r="R375" s="1143">
        <v>37570.5</v>
      </c>
      <c r="S375" s="1144">
        <v>45674</v>
      </c>
      <c r="T375" s="1512"/>
      <c r="U375" s="1145">
        <v>117130</v>
      </c>
      <c r="V375" s="1146">
        <v>141727.29999999999</v>
      </c>
      <c r="W375" s="1147"/>
      <c r="X375" s="1148"/>
    </row>
    <row r="376" spans="2:24">
      <c r="B376" s="1149"/>
      <c r="C376" s="1134"/>
      <c r="D376" s="1135"/>
      <c r="E376" s="1134"/>
      <c r="F376" s="1136"/>
      <c r="G376" s="1136"/>
      <c r="H376" s="1137"/>
      <c r="I376" s="1138"/>
      <c r="J376" s="1139"/>
      <c r="K376" s="1140"/>
      <c r="L376" s="1141"/>
      <c r="M376" s="1139"/>
      <c r="N376" s="1140"/>
      <c r="O376" s="1141"/>
      <c r="P376" s="1150" t="s">
        <v>5445</v>
      </c>
      <c r="Q376" s="1145" t="s">
        <v>5445</v>
      </c>
      <c r="R376" s="1151" t="s">
        <v>5445</v>
      </c>
      <c r="S376" s="1152">
        <v>45709</v>
      </c>
      <c r="T376" s="1513"/>
      <c r="U376" s="1140">
        <f>22348.7/121*100</f>
        <v>18470</v>
      </c>
      <c r="V376" s="1141">
        <v>22348.7</v>
      </c>
      <c r="W376" s="1148"/>
      <c r="X376" s="1148"/>
    </row>
    <row r="377" spans="2:24">
      <c r="B377" s="1149"/>
      <c r="C377" s="1134"/>
      <c r="D377" s="1135"/>
      <c r="E377" s="1134"/>
      <c r="F377" s="1136"/>
      <c r="G377" s="1136"/>
      <c r="H377" s="1137"/>
      <c r="I377" s="1138"/>
      <c r="J377" s="1139"/>
      <c r="K377" s="1140"/>
      <c r="L377" s="1141"/>
      <c r="M377" s="1139"/>
      <c r="N377" s="1140"/>
      <c r="O377" s="1141"/>
      <c r="P377" s="1150" t="s">
        <v>5445</v>
      </c>
      <c r="Q377" s="1145" t="s">
        <v>5445</v>
      </c>
      <c r="R377" s="1151" t="s">
        <v>5445</v>
      </c>
      <c r="S377" s="1152">
        <v>45771</v>
      </c>
      <c r="T377" s="1513"/>
      <c r="U377" s="1140">
        <f>209874.5/121*100</f>
        <v>173450</v>
      </c>
      <c r="V377" s="1141">
        <v>209874.5</v>
      </c>
      <c r="W377" s="1148"/>
      <c r="X377" s="1148"/>
    </row>
    <row r="378" spans="2:24">
      <c r="B378" s="1149"/>
      <c r="C378" s="1134"/>
      <c r="D378" s="1135"/>
      <c r="E378" s="1134"/>
      <c r="F378" s="1136"/>
      <c r="G378" s="1136"/>
      <c r="H378" s="1137"/>
      <c r="I378" s="1153"/>
      <c r="J378" s="1154"/>
      <c r="K378" s="1140"/>
      <c r="L378" s="1141"/>
      <c r="M378" s="1154"/>
      <c r="N378" s="1140"/>
      <c r="O378" s="1141"/>
      <c r="P378" s="1155"/>
      <c r="Q378" s="1145"/>
      <c r="R378" s="1151"/>
      <c r="S378" s="1152">
        <v>45793</v>
      </c>
      <c r="T378" s="1513"/>
      <c r="U378" s="1140">
        <f>3400.1/121*100</f>
        <v>2810</v>
      </c>
      <c r="V378" s="1141">
        <v>3400.1</v>
      </c>
      <c r="W378" s="1147"/>
      <c r="X378" s="1148"/>
    </row>
    <row r="379" spans="2:24">
      <c r="B379" s="1149"/>
      <c r="C379" s="1134"/>
      <c r="D379" s="1135"/>
      <c r="E379" s="1134"/>
      <c r="F379" s="1136"/>
      <c r="G379" s="1136"/>
      <c r="H379" s="1137"/>
      <c r="I379" s="1153"/>
      <c r="J379" s="1154"/>
      <c r="K379" s="1140"/>
      <c r="L379" s="1141"/>
      <c r="M379" s="1154"/>
      <c r="N379" s="1140"/>
      <c r="O379" s="1141"/>
      <c r="P379" s="1155"/>
      <c r="Q379" s="1145"/>
      <c r="R379" s="1151"/>
      <c r="S379" s="1152"/>
      <c r="T379" s="1513"/>
      <c r="U379" s="1140"/>
      <c r="V379" s="1141"/>
      <c r="W379" s="1148"/>
      <c r="X379" s="1148"/>
    </row>
    <row r="380" spans="2:24">
      <c r="B380" s="1149"/>
      <c r="C380" s="1134"/>
      <c r="D380" s="1135"/>
      <c r="E380" s="1134"/>
      <c r="F380" s="1136"/>
      <c r="G380" s="1136"/>
      <c r="H380" s="1137"/>
      <c r="I380" s="1153"/>
      <c r="J380" s="1156"/>
      <c r="K380" s="1140"/>
      <c r="L380" s="1141"/>
      <c r="M380" s="1156"/>
      <c r="N380" s="1140"/>
      <c r="O380" s="1141"/>
      <c r="P380" s="1157"/>
      <c r="Q380" s="1158"/>
      <c r="R380" s="1159"/>
      <c r="S380" s="1162"/>
      <c r="T380" s="1514"/>
      <c r="U380" s="1160"/>
      <c r="V380" s="1161"/>
      <c r="W380" s="1148"/>
      <c r="X380" s="1148"/>
    </row>
    <row r="381" spans="2:24">
      <c r="B381" s="1149"/>
      <c r="C381" s="1134"/>
      <c r="D381" s="1135"/>
      <c r="E381" s="1134"/>
      <c r="F381" s="1136"/>
      <c r="G381" s="1136"/>
      <c r="H381" s="1137"/>
      <c r="I381" s="1153"/>
      <c r="J381" s="1154"/>
      <c r="K381" s="1140"/>
      <c r="L381" s="1141"/>
      <c r="M381" s="1154"/>
      <c r="N381" s="1140"/>
      <c r="O381" s="1141"/>
      <c r="P381" s="1157"/>
      <c r="Q381" s="1158"/>
      <c r="R381" s="1159"/>
      <c r="S381" s="1162"/>
      <c r="T381" s="1514"/>
      <c r="U381" s="1160"/>
      <c r="V381" s="1161"/>
      <c r="W381" s="1148"/>
      <c r="X381" s="1148"/>
    </row>
    <row r="382" spans="2:24">
      <c r="B382" s="1149"/>
      <c r="C382" s="1134"/>
      <c r="D382" s="1135"/>
      <c r="E382" s="1134"/>
      <c r="F382" s="1136"/>
      <c r="G382" s="1136"/>
      <c r="H382" s="1137"/>
      <c r="I382" s="1163"/>
      <c r="J382" s="1164"/>
      <c r="K382" s="1140"/>
      <c r="L382" s="1141"/>
      <c r="M382" s="1164"/>
      <c r="N382" s="1140"/>
      <c r="O382" s="1141"/>
      <c r="P382" s="1157"/>
      <c r="Q382" s="1158"/>
      <c r="R382" s="1159"/>
      <c r="S382" s="1165"/>
      <c r="T382" s="1515"/>
      <c r="U382" s="1160"/>
      <c r="V382" s="1161"/>
      <c r="W382" s="1148"/>
      <c r="X382" s="1148"/>
    </row>
    <row r="383" spans="2:24" ht="13.8" thickBot="1">
      <c r="B383" s="1149"/>
      <c r="C383" s="1134"/>
      <c r="D383" s="1135"/>
      <c r="E383" s="1134"/>
      <c r="F383" s="1136"/>
      <c r="G383" s="1136"/>
      <c r="H383" s="1137"/>
      <c r="I383" s="1166" t="s">
        <v>4865</v>
      </c>
      <c r="J383" s="1167"/>
      <c r="K383" s="1168"/>
      <c r="L383" s="1169"/>
      <c r="M383" s="1170"/>
      <c r="N383" s="1168"/>
      <c r="O383" s="1169"/>
      <c r="P383" s="1170"/>
      <c r="Q383" s="1171">
        <f>SUM(Q374:Q382)</f>
        <v>157590</v>
      </c>
      <c r="R383" s="1172">
        <f>SUM(R374:R382)</f>
        <v>190683.9</v>
      </c>
      <c r="S383" s="1173"/>
      <c r="T383" s="1516"/>
      <c r="U383" s="1168">
        <f>SUM(U374:U382)</f>
        <v>319080</v>
      </c>
      <c r="V383" s="1174">
        <f>SUM(V374:V382)</f>
        <v>386086.8</v>
      </c>
      <c r="W383" s="1175"/>
      <c r="X383" s="1176"/>
    </row>
    <row r="384" spans="2:24" ht="13.8" thickBot="1">
      <c r="B384" s="1005" t="s">
        <v>646</v>
      </c>
      <c r="C384" s="1006" t="s">
        <v>647</v>
      </c>
      <c r="D384" s="1007">
        <v>4260431</v>
      </c>
      <c r="E384" s="1008" t="s">
        <v>5833</v>
      </c>
      <c r="F384" s="1009">
        <v>495000</v>
      </c>
      <c r="G384" s="1009">
        <v>598950</v>
      </c>
      <c r="H384" s="1010">
        <v>45716</v>
      </c>
      <c r="I384" s="1192"/>
      <c r="J384" s="1242">
        <v>45040</v>
      </c>
      <c r="K384" s="1243">
        <f>L384/121*100</f>
        <v>13728.016528925622</v>
      </c>
      <c r="L384" s="1129">
        <v>16610.900000000001</v>
      </c>
      <c r="M384" s="1244">
        <v>45040</v>
      </c>
      <c r="N384" s="1243">
        <f>O384/121*100</f>
        <v>13728.016528925622</v>
      </c>
      <c r="O384" s="1129">
        <v>16610.900000000001</v>
      </c>
      <c r="P384" s="1244">
        <v>45321</v>
      </c>
      <c r="Q384" s="1245">
        <f>R384/121*100</f>
        <v>11856.033057851238</v>
      </c>
      <c r="R384" s="1131">
        <v>14345.8</v>
      </c>
      <c r="S384" s="1246">
        <v>45705</v>
      </c>
      <c r="T384" s="1511"/>
      <c r="U384" s="1245">
        <f>V384/121*100</f>
        <v>13728.016528925622</v>
      </c>
      <c r="V384" s="1131">
        <v>16610.900000000001</v>
      </c>
      <c r="W384" s="1247">
        <f>F384-N397-Q397-U397</f>
        <v>75264.214876033075</v>
      </c>
      <c r="X384" s="1248">
        <f>G384-O397-R397-V397</f>
        <v>91069.700000000041</v>
      </c>
    </row>
    <row r="385" spans="2:24">
      <c r="B385" s="1149"/>
      <c r="C385" s="1134"/>
      <c r="D385" s="1135"/>
      <c r="E385" s="1134"/>
      <c r="F385" s="1136"/>
      <c r="G385" s="1136"/>
      <c r="H385" s="1137"/>
      <c r="I385" s="1138"/>
      <c r="J385" s="1139">
        <v>45040</v>
      </c>
      <c r="K385" s="1140">
        <f t="shared" ref="K385:K394" si="8">L385/121*100</f>
        <v>12480</v>
      </c>
      <c r="L385" s="1141">
        <v>15100.8</v>
      </c>
      <c r="M385" s="1139">
        <v>45040</v>
      </c>
      <c r="N385" s="1140">
        <f t="shared" ref="N385:N394" si="9">O385/121*100</f>
        <v>12480</v>
      </c>
      <c r="O385" s="1141">
        <v>15100.8</v>
      </c>
      <c r="P385" s="1139">
        <v>45352</v>
      </c>
      <c r="Q385" s="1140">
        <f t="shared" ref="Q385:Q395" si="10">R385/121*100</f>
        <v>13728.016528925622</v>
      </c>
      <c r="R385" s="1143">
        <v>16610.900000000001</v>
      </c>
      <c r="S385" s="1152">
        <v>45733</v>
      </c>
      <c r="T385" s="1513"/>
      <c r="U385" s="1216">
        <f t="shared" ref="U385:U392" si="11">V385/121*100</f>
        <v>12480</v>
      </c>
      <c r="V385" s="1217">
        <v>15100.8</v>
      </c>
      <c r="W385" s="1148"/>
      <c r="X385" s="1148"/>
    </row>
    <row r="386" spans="2:24">
      <c r="B386" s="1149"/>
      <c r="C386" s="1134"/>
      <c r="D386" s="1135"/>
      <c r="E386" s="1134"/>
      <c r="F386" s="1136"/>
      <c r="G386" s="1136"/>
      <c r="H386" s="1137"/>
      <c r="I386" s="1138"/>
      <c r="J386" s="1139">
        <v>45044</v>
      </c>
      <c r="K386" s="1140">
        <f t="shared" si="8"/>
        <v>14351.983471074382</v>
      </c>
      <c r="L386" s="1141">
        <v>17365.900000000001</v>
      </c>
      <c r="M386" s="1139">
        <v>45044</v>
      </c>
      <c r="N386" s="1140">
        <f t="shared" si="9"/>
        <v>14351.983471074382</v>
      </c>
      <c r="O386" s="1141">
        <v>17365.900000000001</v>
      </c>
      <c r="P386" s="1139">
        <v>45366</v>
      </c>
      <c r="Q386" s="1140">
        <f t="shared" si="10"/>
        <v>13103.96694214876</v>
      </c>
      <c r="R386" s="1143">
        <v>15855.8</v>
      </c>
      <c r="S386" s="1152">
        <v>45761</v>
      </c>
      <c r="T386" s="1513"/>
      <c r="U386" s="1218">
        <f t="shared" si="11"/>
        <v>13103.96694214876</v>
      </c>
      <c r="V386" s="1219">
        <v>15855.8</v>
      </c>
      <c r="W386" s="1148"/>
      <c r="X386" s="1148"/>
    </row>
    <row r="387" spans="2:24">
      <c r="B387" s="1149"/>
      <c r="C387" s="1134"/>
      <c r="D387" s="1135"/>
      <c r="E387" s="1134"/>
      <c r="F387" s="1136"/>
      <c r="G387" s="1136"/>
      <c r="H387" s="1137"/>
      <c r="I387" s="1138"/>
      <c r="J387" s="1139">
        <v>45062</v>
      </c>
      <c r="K387" s="1140">
        <f t="shared" si="8"/>
        <v>11231.98347107438</v>
      </c>
      <c r="L387" s="1141">
        <v>13590.7</v>
      </c>
      <c r="M387" s="1139">
        <v>45062</v>
      </c>
      <c r="N387" s="1140">
        <f t="shared" si="9"/>
        <v>11231.98347107438</v>
      </c>
      <c r="O387" s="1141">
        <v>13590.7</v>
      </c>
      <c r="P387" s="1139">
        <v>45412</v>
      </c>
      <c r="Q387" s="1140">
        <f t="shared" si="10"/>
        <v>12480</v>
      </c>
      <c r="R387" s="1143">
        <v>15100.8</v>
      </c>
      <c r="S387" s="1152">
        <v>45791</v>
      </c>
      <c r="T387" s="1513"/>
      <c r="U387" s="1220">
        <f t="shared" si="11"/>
        <v>13103.96694214876</v>
      </c>
      <c r="V387" s="1221">
        <v>15855.8</v>
      </c>
      <c r="W387" s="1148"/>
      <c r="X387" s="1148"/>
    </row>
    <row r="388" spans="2:24">
      <c r="B388" s="1149"/>
      <c r="C388" s="1134"/>
      <c r="D388" s="1135"/>
      <c r="E388" s="1134"/>
      <c r="F388" s="1136"/>
      <c r="G388" s="1136"/>
      <c r="H388" s="1137"/>
      <c r="I388" s="1138"/>
      <c r="J388" s="1139">
        <v>45091</v>
      </c>
      <c r="K388" s="1140">
        <f t="shared" si="8"/>
        <v>13103.96694214876</v>
      </c>
      <c r="L388" s="1141">
        <v>15855.8</v>
      </c>
      <c r="M388" s="1139">
        <v>45091</v>
      </c>
      <c r="N388" s="1140">
        <f t="shared" si="9"/>
        <v>13103.96694214876</v>
      </c>
      <c r="O388" s="1141">
        <v>15855.8</v>
      </c>
      <c r="P388" s="1139">
        <v>45428</v>
      </c>
      <c r="Q388" s="1140">
        <f t="shared" si="10"/>
        <v>13103.96694214876</v>
      </c>
      <c r="R388" s="1143">
        <v>15855.8</v>
      </c>
      <c r="S388" s="1152">
        <v>45821</v>
      </c>
      <c r="T388" s="1513"/>
      <c r="U388" s="1220">
        <f t="shared" si="11"/>
        <v>12480</v>
      </c>
      <c r="V388" s="1221">
        <v>15100.8</v>
      </c>
      <c r="W388" s="1148"/>
      <c r="X388" s="1148"/>
    </row>
    <row r="389" spans="2:24">
      <c r="B389" s="1149"/>
      <c r="C389" s="1134"/>
      <c r="D389" s="1135"/>
      <c r="E389" s="1134"/>
      <c r="F389" s="1136"/>
      <c r="G389" s="1136"/>
      <c r="H389" s="1137"/>
      <c r="I389" s="1138"/>
      <c r="J389" s="1139">
        <v>45121</v>
      </c>
      <c r="K389" s="1140">
        <f t="shared" si="8"/>
        <v>13728.016528925622</v>
      </c>
      <c r="L389" s="1141">
        <v>16610.900000000001</v>
      </c>
      <c r="M389" s="1139">
        <v>45121</v>
      </c>
      <c r="N389" s="1140">
        <f t="shared" si="9"/>
        <v>13728.016528925622</v>
      </c>
      <c r="O389" s="1141">
        <v>16610.900000000001</v>
      </c>
      <c r="P389" s="1139">
        <v>45474</v>
      </c>
      <c r="Q389" s="1140">
        <f t="shared" si="10"/>
        <v>13103.96694214876</v>
      </c>
      <c r="R389" s="1143">
        <v>15855.8</v>
      </c>
      <c r="S389" s="1152">
        <v>45847</v>
      </c>
      <c r="T389" s="1513"/>
      <c r="U389" s="1220">
        <f t="shared" si="11"/>
        <v>11856.033057851238</v>
      </c>
      <c r="V389" s="1221">
        <v>14345.8</v>
      </c>
      <c r="W389" s="1148"/>
      <c r="X389" s="1148"/>
    </row>
    <row r="390" spans="2:24">
      <c r="B390" s="1149"/>
      <c r="C390" s="1134"/>
      <c r="D390" s="1135"/>
      <c r="E390" s="1134"/>
      <c r="F390" s="1136"/>
      <c r="G390" s="1136"/>
      <c r="H390" s="1137"/>
      <c r="I390" s="1138"/>
      <c r="J390" s="1139">
        <v>45168</v>
      </c>
      <c r="K390" s="1140">
        <f t="shared" si="8"/>
        <v>11231.98347107438</v>
      </c>
      <c r="L390" s="1141">
        <v>13590.7</v>
      </c>
      <c r="M390" s="1139">
        <v>45168</v>
      </c>
      <c r="N390" s="1140">
        <f t="shared" si="9"/>
        <v>11231.98347107438</v>
      </c>
      <c r="O390" s="1141">
        <v>13590.7</v>
      </c>
      <c r="P390" s="1139">
        <v>45495</v>
      </c>
      <c r="Q390" s="1140">
        <f t="shared" si="10"/>
        <v>12480</v>
      </c>
      <c r="R390" s="1143">
        <v>15100.8</v>
      </c>
      <c r="S390" s="1152">
        <v>45848</v>
      </c>
      <c r="T390" s="1513"/>
      <c r="U390" s="1220">
        <f t="shared" si="11"/>
        <v>13103.96694214876</v>
      </c>
      <c r="V390" s="1221">
        <v>15855.8</v>
      </c>
      <c r="W390" s="1148"/>
      <c r="X390" s="1148"/>
    </row>
    <row r="391" spans="2:24">
      <c r="B391" s="1149"/>
      <c r="C391" s="1134"/>
      <c r="D391" s="1135"/>
      <c r="E391" s="1134"/>
      <c r="F391" s="1136"/>
      <c r="G391" s="1136"/>
      <c r="H391" s="1137"/>
      <c r="I391" s="1138"/>
      <c r="J391" s="1139">
        <v>45198</v>
      </c>
      <c r="K391" s="1140">
        <f t="shared" si="8"/>
        <v>14351.983471074382</v>
      </c>
      <c r="L391" s="1141">
        <v>17365.900000000001</v>
      </c>
      <c r="M391" s="1139">
        <v>45198</v>
      </c>
      <c r="N391" s="1140">
        <f t="shared" si="9"/>
        <v>14351.983471074382</v>
      </c>
      <c r="O391" s="1141">
        <v>17365.900000000001</v>
      </c>
      <c r="P391" s="1139">
        <v>45519</v>
      </c>
      <c r="Q391" s="1140">
        <f t="shared" si="10"/>
        <v>13728.016528925622</v>
      </c>
      <c r="R391" s="1143">
        <v>16610.900000000001</v>
      </c>
      <c r="S391" s="1152">
        <v>45880</v>
      </c>
      <c r="T391" s="1513"/>
      <c r="U391" s="1220">
        <f t="shared" si="11"/>
        <v>16008.01652892562</v>
      </c>
      <c r="V391" s="1221">
        <v>19369.7</v>
      </c>
      <c r="W391" s="1148"/>
      <c r="X391" s="1148"/>
    </row>
    <row r="392" spans="2:24">
      <c r="B392" s="1149"/>
      <c r="C392" s="1134"/>
      <c r="D392" s="1135"/>
      <c r="E392" s="1134"/>
      <c r="F392" s="1136"/>
      <c r="G392" s="1136"/>
      <c r="H392" s="1137"/>
      <c r="I392" s="1138"/>
      <c r="J392" s="1139">
        <v>45229</v>
      </c>
      <c r="K392" s="1140">
        <f t="shared" si="8"/>
        <v>12480</v>
      </c>
      <c r="L392" s="1141">
        <v>15100.8</v>
      </c>
      <c r="M392" s="1139">
        <v>45229</v>
      </c>
      <c r="N392" s="1140">
        <f t="shared" si="9"/>
        <v>12480</v>
      </c>
      <c r="O392" s="1141">
        <v>15100.8</v>
      </c>
      <c r="P392" s="1139">
        <v>45548</v>
      </c>
      <c r="Q392" s="1140">
        <f t="shared" si="10"/>
        <v>13728.016528925622</v>
      </c>
      <c r="R392" s="1143">
        <v>16610.900000000001</v>
      </c>
      <c r="S392" s="1152">
        <v>45911</v>
      </c>
      <c r="T392" s="1513"/>
      <c r="U392" s="1220">
        <f t="shared" si="11"/>
        <v>13103.96694214876</v>
      </c>
      <c r="V392" s="1221">
        <v>15855.8</v>
      </c>
      <c r="W392" s="1148"/>
      <c r="X392" s="1148"/>
    </row>
    <row r="393" spans="2:24">
      <c r="B393" s="1149"/>
      <c r="C393" s="1134"/>
      <c r="D393" s="1135"/>
      <c r="E393" s="1134"/>
      <c r="F393" s="1136"/>
      <c r="G393" s="1136"/>
      <c r="H393" s="1137"/>
      <c r="I393" s="1138"/>
      <c r="J393" s="1139">
        <v>45244</v>
      </c>
      <c r="K393" s="1140">
        <f t="shared" si="8"/>
        <v>13728.016528925622</v>
      </c>
      <c r="L393" s="1141">
        <v>16610.900000000001</v>
      </c>
      <c r="M393" s="1139">
        <v>45244</v>
      </c>
      <c r="N393" s="1140">
        <f t="shared" si="9"/>
        <v>13728.016528925622</v>
      </c>
      <c r="O393" s="1141">
        <v>16610.900000000001</v>
      </c>
      <c r="P393" s="1139">
        <v>45576</v>
      </c>
      <c r="Q393" s="1140">
        <f t="shared" si="10"/>
        <v>13103.96694214876</v>
      </c>
      <c r="R393" s="1143">
        <v>15855.8</v>
      </c>
      <c r="S393" s="1222"/>
      <c r="T393" s="1517"/>
      <c r="U393" s="1220"/>
      <c r="V393" s="1221"/>
      <c r="W393" s="1148"/>
      <c r="X393" s="1148"/>
    </row>
    <row r="394" spans="2:24">
      <c r="B394" s="1149"/>
      <c r="C394" s="1134"/>
      <c r="D394" s="1135"/>
      <c r="E394" s="1134"/>
      <c r="F394" s="1136"/>
      <c r="G394" s="1136"/>
      <c r="H394" s="1137"/>
      <c r="I394" s="1138"/>
      <c r="J394" s="1139">
        <v>45288</v>
      </c>
      <c r="K394" s="1140">
        <f t="shared" si="8"/>
        <v>13103.96694214876</v>
      </c>
      <c r="L394" s="1141">
        <v>15855.8</v>
      </c>
      <c r="M394" s="1139">
        <v>45288</v>
      </c>
      <c r="N394" s="1140">
        <f t="shared" si="9"/>
        <v>13103.96694214876</v>
      </c>
      <c r="O394" s="1141">
        <v>15855.8</v>
      </c>
      <c r="P394" s="1139">
        <v>45609</v>
      </c>
      <c r="Q394" s="1140">
        <f t="shared" si="10"/>
        <v>13728.016528925622</v>
      </c>
      <c r="R394" s="1143">
        <v>16610.900000000001</v>
      </c>
      <c r="S394" s="1222"/>
      <c r="T394" s="1517"/>
      <c r="U394" s="1223"/>
      <c r="V394" s="1224"/>
      <c r="W394" s="1148"/>
      <c r="X394" s="1148"/>
    </row>
    <row r="395" spans="2:24">
      <c r="B395" s="1149"/>
      <c r="C395" s="1134"/>
      <c r="D395" s="1135"/>
      <c r="E395" s="1134"/>
      <c r="F395" s="1136"/>
      <c r="G395" s="1136"/>
      <c r="H395" s="1137"/>
      <c r="I395" s="1138"/>
      <c r="J395" s="1198"/>
      <c r="K395" s="1199"/>
      <c r="L395" s="1200"/>
      <c r="M395" s="1198"/>
      <c r="N395" s="1199"/>
      <c r="O395" s="1200"/>
      <c r="P395" s="1139">
        <v>45639</v>
      </c>
      <c r="Q395" s="1140">
        <f t="shared" si="10"/>
        <v>13103.96694214876</v>
      </c>
      <c r="R395" s="1143">
        <v>15855.8</v>
      </c>
      <c r="S395" s="1222"/>
      <c r="T395" s="1517"/>
      <c r="U395" s="1223"/>
      <c r="V395" s="1224"/>
      <c r="W395" s="1148"/>
      <c r="X395" s="1148"/>
    </row>
    <row r="396" spans="2:24">
      <c r="B396" s="1149"/>
      <c r="C396" s="1134"/>
      <c r="D396" s="1135"/>
      <c r="E396" s="1134"/>
      <c r="F396" s="1136"/>
      <c r="G396" s="1136"/>
      <c r="H396" s="1137"/>
      <c r="I396" s="1166"/>
      <c r="J396" s="1225"/>
      <c r="K396" s="1226"/>
      <c r="L396" s="1227"/>
      <c r="M396" s="1225"/>
      <c r="N396" s="1226"/>
      <c r="O396" s="1227"/>
      <c r="P396" s="1201"/>
      <c r="Q396" s="1145"/>
      <c r="R396" s="1151"/>
      <c r="S396" s="1228"/>
      <c r="T396" s="1518"/>
      <c r="U396" s="1229"/>
      <c r="V396" s="1230"/>
      <c r="W396" s="1148"/>
      <c r="X396" s="1148"/>
    </row>
    <row r="397" spans="2:24" ht="13.8" thickBot="1">
      <c r="B397" s="1149"/>
      <c r="C397" s="1134"/>
      <c r="D397" s="1135"/>
      <c r="E397" s="1134"/>
      <c r="F397" s="1136"/>
      <c r="G397" s="1136"/>
      <c r="H397" s="1137"/>
      <c r="I397" s="1231" t="s">
        <v>4865</v>
      </c>
      <c r="J397" s="1232"/>
      <c r="K397" s="1171">
        <f>SUM(K384:K396)</f>
        <v>143519.9173553719</v>
      </c>
      <c r="L397" s="1233">
        <f>SUM(L384:L396)</f>
        <v>173659.09999999998</v>
      </c>
      <c r="M397" s="1232"/>
      <c r="N397" s="1171">
        <f>SUM(N384:N396)</f>
        <v>143519.9173553719</v>
      </c>
      <c r="O397" s="1233">
        <f>SUM(O384:O396)</f>
        <v>173659.09999999998</v>
      </c>
      <c r="P397" s="1167"/>
      <c r="Q397" s="1171">
        <f>SUM(Q384:Q396)</f>
        <v>157247.93388429753</v>
      </c>
      <c r="R397" s="1172">
        <f>SUM(R384:R396)</f>
        <v>190269.99999999997</v>
      </c>
      <c r="S397" s="1234"/>
      <c r="T397" s="1519"/>
      <c r="U397" s="1172">
        <f>SUM(U384:U395)</f>
        <v>118967.93388429753</v>
      </c>
      <c r="V397" s="1235">
        <f>SUM(V384:V395)</f>
        <v>143951.20000000001</v>
      </c>
      <c r="W397" s="1148"/>
      <c r="X397" s="1148"/>
    </row>
    <row r="398" spans="2:24" ht="13.8" thickBot="1">
      <c r="B398" s="1011" t="s">
        <v>3946</v>
      </c>
      <c r="C398" s="1012" t="s">
        <v>4894</v>
      </c>
      <c r="D398" s="1236">
        <v>2891506</v>
      </c>
      <c r="E398" s="1123" t="s">
        <v>4895</v>
      </c>
      <c r="F398" s="1015">
        <v>650000</v>
      </c>
      <c r="G398" s="1016">
        <v>786500</v>
      </c>
      <c r="H398" s="1017">
        <v>46114</v>
      </c>
      <c r="I398" s="1124"/>
      <c r="J398" s="1125"/>
      <c r="K398" s="1126"/>
      <c r="L398" s="1127"/>
      <c r="M398" s="1125"/>
      <c r="N398" s="1126"/>
      <c r="O398" s="1127"/>
      <c r="P398" s="1125">
        <v>45450</v>
      </c>
      <c r="Q398" s="1140">
        <f>64130*100/121</f>
        <v>53000</v>
      </c>
      <c r="R398" s="1129">
        <v>64130</v>
      </c>
      <c r="S398" s="1130">
        <v>45664</v>
      </c>
      <c r="T398" s="1511"/>
      <c r="U398" s="1126">
        <f>V398/121*100</f>
        <v>43460</v>
      </c>
      <c r="V398" s="1127">
        <v>52586.6</v>
      </c>
      <c r="W398" s="1212">
        <f>SUM(F398-Q410-U410)</f>
        <v>-7183.4710743801552</v>
      </c>
      <c r="X398" s="1213">
        <f>SUM(G398-R410-V410)</f>
        <v>-8691.9999999999418</v>
      </c>
    </row>
    <row r="399" spans="2:24">
      <c r="B399" s="1237"/>
      <c r="C399" s="1134"/>
      <c r="D399" s="1135"/>
      <c r="E399" s="1134"/>
      <c r="F399" s="1136"/>
      <c r="G399" s="1136"/>
      <c r="H399" s="1137"/>
      <c r="I399" s="1138"/>
      <c r="J399" s="1139"/>
      <c r="K399" s="1140"/>
      <c r="L399" s="1141"/>
      <c r="M399" s="1139"/>
      <c r="N399" s="1140"/>
      <c r="O399" s="1141"/>
      <c r="P399" s="1139">
        <v>45484</v>
      </c>
      <c r="Q399" s="1140">
        <f>28217.2*100/121</f>
        <v>23320</v>
      </c>
      <c r="R399" s="1143">
        <v>28217.200000000001</v>
      </c>
      <c r="S399" s="1152">
        <v>45698</v>
      </c>
      <c r="T399" s="1513"/>
      <c r="U399" s="1140">
        <f t="shared" ref="U399:U405" si="12">V399/121*100</f>
        <v>31270</v>
      </c>
      <c r="V399" s="1141">
        <v>37836.699999999997</v>
      </c>
      <c r="W399" s="1238"/>
      <c r="X399" s="1238"/>
    </row>
    <row r="400" spans="2:24">
      <c r="B400" s="1149"/>
      <c r="C400" s="1134"/>
      <c r="D400" s="1135"/>
      <c r="E400" s="1134"/>
      <c r="F400" s="1136"/>
      <c r="G400" s="1136"/>
      <c r="H400" s="1137"/>
      <c r="I400" s="1138"/>
      <c r="J400" s="1198"/>
      <c r="K400" s="1199"/>
      <c r="L400" s="1200"/>
      <c r="M400" s="1198"/>
      <c r="N400" s="1199"/>
      <c r="O400" s="1200"/>
      <c r="P400" s="1139">
        <v>45512</v>
      </c>
      <c r="Q400" s="1140">
        <f>30141.1*100/121</f>
        <v>24910</v>
      </c>
      <c r="R400" s="1143">
        <v>30141.1</v>
      </c>
      <c r="S400" s="1152">
        <v>45716</v>
      </c>
      <c r="T400" s="1513"/>
      <c r="U400" s="1202">
        <f t="shared" si="12"/>
        <v>59873.471074380162</v>
      </c>
      <c r="V400" s="1196">
        <v>72446.899999999994</v>
      </c>
      <c r="W400" s="1148"/>
      <c r="X400" s="1148"/>
    </row>
    <row r="401" spans="2:24">
      <c r="B401" s="1149"/>
      <c r="C401" s="1134"/>
      <c r="D401" s="1135"/>
      <c r="E401" s="1134"/>
      <c r="F401" s="1136"/>
      <c r="G401" s="1136"/>
      <c r="H401" s="1137"/>
      <c r="I401" s="1138"/>
      <c r="J401" s="1198"/>
      <c r="K401" s="1199"/>
      <c r="L401" s="1200"/>
      <c r="M401" s="1198"/>
      <c r="N401" s="1199"/>
      <c r="O401" s="1200"/>
      <c r="P401" s="1139">
        <v>45544</v>
      </c>
      <c r="Q401" s="1140">
        <f>33988.9*100/121</f>
        <v>28090</v>
      </c>
      <c r="R401" s="1143">
        <v>33988.9</v>
      </c>
      <c r="S401" s="1152">
        <v>45750</v>
      </c>
      <c r="T401" s="1513"/>
      <c r="U401" s="1202">
        <f t="shared" si="12"/>
        <v>39220</v>
      </c>
      <c r="V401" s="1196">
        <v>47456.2</v>
      </c>
      <c r="W401" s="1148"/>
      <c r="X401" s="1148"/>
    </row>
    <row r="402" spans="2:24">
      <c r="B402" s="1149"/>
      <c r="C402" s="1134"/>
      <c r="D402" s="1135"/>
      <c r="E402" s="1134"/>
      <c r="F402" s="1136"/>
      <c r="G402" s="1136"/>
      <c r="H402" s="1137"/>
      <c r="I402" s="1138"/>
      <c r="J402" s="1198"/>
      <c r="K402" s="1199"/>
      <c r="L402" s="1200"/>
      <c r="M402" s="1198"/>
      <c r="N402" s="1199"/>
      <c r="O402" s="1200"/>
      <c r="P402" s="1139">
        <v>45579</v>
      </c>
      <c r="Q402" s="1140">
        <f>53227.9*100/121</f>
        <v>43990</v>
      </c>
      <c r="R402" s="1143">
        <v>53227.9</v>
      </c>
      <c r="S402" s="1152">
        <v>45779</v>
      </c>
      <c r="T402" s="1513"/>
      <c r="U402" s="1202">
        <f t="shared" si="12"/>
        <v>23850</v>
      </c>
      <c r="V402" s="1196">
        <v>28858.5</v>
      </c>
      <c r="W402" s="1148"/>
      <c r="X402" s="1148"/>
    </row>
    <row r="403" spans="2:24">
      <c r="B403" s="1149"/>
      <c r="C403" s="1134"/>
      <c r="D403" s="1135"/>
      <c r="E403" s="1134"/>
      <c r="F403" s="1136"/>
      <c r="G403" s="1136"/>
      <c r="H403" s="1137"/>
      <c r="I403" s="1138"/>
      <c r="J403" s="1198"/>
      <c r="K403" s="1199"/>
      <c r="L403" s="1200"/>
      <c r="M403" s="1198"/>
      <c r="N403" s="1199"/>
      <c r="O403" s="1200"/>
      <c r="P403" s="1139">
        <v>45607</v>
      </c>
      <c r="Q403" s="1140">
        <f>22445.5*100/121</f>
        <v>18550</v>
      </c>
      <c r="R403" s="1143">
        <v>22445.5</v>
      </c>
      <c r="S403" s="1152">
        <v>45821</v>
      </c>
      <c r="T403" s="1513"/>
      <c r="U403" s="1202">
        <f t="shared" si="12"/>
        <v>39220</v>
      </c>
      <c r="V403" s="1196">
        <v>47456.2</v>
      </c>
      <c r="W403" s="1148"/>
      <c r="X403" s="1148"/>
    </row>
    <row r="404" spans="2:24">
      <c r="B404" s="1149"/>
      <c r="C404" s="1134"/>
      <c r="D404" s="1135"/>
      <c r="E404" s="1134"/>
      <c r="F404" s="1136"/>
      <c r="G404" s="1136"/>
      <c r="H404" s="1137"/>
      <c r="I404" s="1138"/>
      <c r="J404" s="1198"/>
      <c r="K404" s="1199"/>
      <c r="L404" s="1200"/>
      <c r="M404" s="1198"/>
      <c r="N404" s="1199"/>
      <c r="O404" s="1200"/>
      <c r="P404" s="1139">
        <v>45637</v>
      </c>
      <c r="Q404" s="1140">
        <f>62206.1*100/121</f>
        <v>51410</v>
      </c>
      <c r="R404" s="1143">
        <v>62206.1</v>
      </c>
      <c r="S404" s="1152">
        <v>45848</v>
      </c>
      <c r="T404" s="1513"/>
      <c r="U404" s="1202">
        <f t="shared" si="12"/>
        <v>58830.000000000007</v>
      </c>
      <c r="V404" s="1196">
        <v>71184.3</v>
      </c>
      <c r="W404" s="1148"/>
      <c r="X404" s="1148"/>
    </row>
    <row r="405" spans="2:24">
      <c r="B405" s="1149"/>
      <c r="C405" s="1134"/>
      <c r="D405" s="1135"/>
      <c r="E405" s="1134"/>
      <c r="F405" s="1136"/>
      <c r="G405" s="1136"/>
      <c r="H405" s="1137"/>
      <c r="I405" s="1138"/>
      <c r="J405" s="1198"/>
      <c r="K405" s="1199"/>
      <c r="L405" s="1200"/>
      <c r="M405" s="1198"/>
      <c r="N405" s="1199"/>
      <c r="O405" s="1200"/>
      <c r="P405" s="1139">
        <v>45823</v>
      </c>
      <c r="Q405" s="1140">
        <v>58830</v>
      </c>
      <c r="R405" s="1143">
        <v>71184.3</v>
      </c>
      <c r="S405" s="1152">
        <v>45875</v>
      </c>
      <c r="T405" s="1513"/>
      <c r="U405" s="1202">
        <f t="shared" si="12"/>
        <v>59360</v>
      </c>
      <c r="V405" s="1196">
        <v>71825.600000000006</v>
      </c>
      <c r="W405" s="1148"/>
      <c r="X405" s="1148"/>
    </row>
    <row r="406" spans="2:24">
      <c r="B406" s="1149"/>
      <c r="C406" s="1134"/>
      <c r="D406" s="1135"/>
      <c r="E406" s="1134"/>
      <c r="F406" s="1136"/>
      <c r="G406" s="1136"/>
      <c r="H406" s="1137"/>
      <c r="I406" s="1138"/>
      <c r="J406" s="1198"/>
      <c r="K406" s="1199"/>
      <c r="L406" s="1200"/>
      <c r="M406" s="1198"/>
      <c r="N406" s="1199"/>
      <c r="O406" s="1200"/>
      <c r="P406" s="1139"/>
      <c r="Q406" s="1140"/>
      <c r="R406" s="1143"/>
      <c r="S406" s="1152"/>
      <c r="T406" s="1513"/>
      <c r="U406" s="1202"/>
      <c r="V406" s="1196"/>
      <c r="W406" s="1148"/>
      <c r="X406" s="1148"/>
    </row>
    <row r="407" spans="2:24">
      <c r="B407" s="1149"/>
      <c r="C407" s="1134"/>
      <c r="D407" s="1135"/>
      <c r="E407" s="1134"/>
      <c r="F407" s="1136"/>
      <c r="G407" s="1136"/>
      <c r="H407" s="1137"/>
      <c r="I407" s="1138"/>
      <c r="J407" s="1198"/>
      <c r="K407" s="1199"/>
      <c r="L407" s="1200"/>
      <c r="M407" s="1198"/>
      <c r="N407" s="1199"/>
      <c r="O407" s="1200"/>
      <c r="P407" s="1139"/>
      <c r="Q407" s="1140"/>
      <c r="R407" s="1143"/>
      <c r="S407" s="1222"/>
      <c r="T407" s="1517"/>
      <c r="U407" s="1351" t="s">
        <v>5445</v>
      </c>
      <c r="V407" s="1196" t="s">
        <v>5445</v>
      </c>
      <c r="W407" s="1148"/>
      <c r="X407" s="1148"/>
    </row>
    <row r="408" spans="2:24">
      <c r="B408" s="1149"/>
      <c r="C408" s="1134"/>
      <c r="D408" s="1135"/>
      <c r="E408" s="1134"/>
      <c r="F408" s="1136"/>
      <c r="G408" s="1136"/>
      <c r="H408" s="1137"/>
      <c r="I408" s="1138"/>
      <c r="J408" s="1198"/>
      <c r="K408" s="1199"/>
      <c r="L408" s="1200"/>
      <c r="M408" s="1198"/>
      <c r="N408" s="1199"/>
      <c r="O408" s="1200"/>
      <c r="P408" s="1139"/>
      <c r="Q408" s="1140"/>
      <c r="R408" s="1143"/>
      <c r="S408" s="1222"/>
      <c r="T408" s="1517"/>
      <c r="U408" s="1199"/>
      <c r="V408" s="1200"/>
      <c r="W408" s="1148"/>
      <c r="X408" s="1148"/>
    </row>
    <row r="409" spans="2:24">
      <c r="B409" s="1149"/>
      <c r="C409" s="1134"/>
      <c r="D409" s="1135"/>
      <c r="E409" s="1134"/>
      <c r="F409" s="1136"/>
      <c r="G409" s="1136"/>
      <c r="H409" s="1137"/>
      <c r="I409" s="1138"/>
      <c r="J409" s="1198"/>
      <c r="K409" s="1199"/>
      <c r="L409" s="1200"/>
      <c r="M409" s="1198"/>
      <c r="N409" s="1199"/>
      <c r="O409" s="1200"/>
      <c r="P409" s="1142"/>
      <c r="Q409" s="1140"/>
      <c r="R409" s="1143"/>
      <c r="S409" s="1222"/>
      <c r="T409" s="1517"/>
      <c r="U409" s="1199"/>
      <c r="V409" s="1200"/>
      <c r="W409" s="1148"/>
      <c r="X409" s="1148"/>
    </row>
    <row r="410" spans="2:24" ht="13.8" thickBot="1">
      <c r="B410" s="1149"/>
      <c r="C410" s="1134"/>
      <c r="D410" s="1135"/>
      <c r="E410" s="1134"/>
      <c r="F410" s="1136"/>
      <c r="G410" s="1136"/>
      <c r="H410" s="1137"/>
      <c r="I410" s="1166" t="s">
        <v>4865</v>
      </c>
      <c r="J410" s="1232"/>
      <c r="K410" s="1239"/>
      <c r="L410" s="1240"/>
      <c r="M410" s="1232"/>
      <c r="N410" s="1239"/>
      <c r="O410" s="1240"/>
      <c r="P410" s="1167"/>
      <c r="Q410" s="1171">
        <f>SUM(Q398:Q409)</f>
        <v>302100</v>
      </c>
      <c r="R410" s="1172">
        <f>SUM(R398:R409)</f>
        <v>365540.99999999994</v>
      </c>
      <c r="S410" s="1241"/>
      <c r="T410" s="1520"/>
      <c r="U410" s="1171">
        <f>SUM(U398:U409)</f>
        <v>355083.47107438016</v>
      </c>
      <c r="V410" s="1233">
        <f>SUM(V398:V409)</f>
        <v>429651</v>
      </c>
      <c r="W410" s="1148"/>
      <c r="X410" s="1148"/>
    </row>
  </sheetData>
  <mergeCells count="6">
    <mergeCell ref="P3:R3"/>
    <mergeCell ref="S3:V3"/>
    <mergeCell ref="W3:X3"/>
    <mergeCell ref="M3:O3"/>
    <mergeCell ref="B371:F371"/>
    <mergeCell ref="J3:L3"/>
  </mergeCells>
  <conditionalFormatting sqref="B178 B208 B217 B225 B234 B242 B384">
    <cfRule type="containsText" dxfId="9" priority="16" operator="containsText" text="&quot;A&quot;">
      <formula>NOT(ISERROR(SEARCH(("""A"""),(B178))))</formula>
    </cfRule>
    <cfRule type="containsText" dxfId="8" priority="17" operator="containsText" text="&quot;N&quot;">
      <formula>NOT(ISERROR(SEARCH(("""N"""),(B178))))</formula>
    </cfRule>
    <cfRule type="expression" dxfId="7" priority="18">
      <formula>AND(COUNTIF($B$2:$B$1212,B178)+COUNTIF($B$1214:$B$65398,B178)&gt;1,NOT(ISBLANK(B178)))</formula>
    </cfRule>
  </conditionalFormatting>
  <pageMargins left="0.7" right="0.7" top="0.78740157499999996" bottom="0.78740157499999996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5812-F555-4339-8FEB-FCEF6DE73BAB}">
  <sheetPr codeName="List8"/>
  <dimension ref="B2:X104"/>
  <sheetViews>
    <sheetView zoomScaleNormal="100" workbookViewId="0">
      <selection activeCell="B11" sqref="B11"/>
    </sheetView>
  </sheetViews>
  <sheetFormatPr defaultColWidth="8.88671875" defaultRowHeight="13.2"/>
  <cols>
    <col min="1" max="1" width="8.88671875" style="112"/>
    <col min="2" max="2" width="21.33203125" style="112" customWidth="1"/>
    <col min="3" max="3" width="65.109375" style="112" customWidth="1"/>
    <col min="4" max="4" width="10.5546875" style="112" customWidth="1"/>
    <col min="5" max="5" width="30.5546875" style="112" bestFit="1" customWidth="1"/>
    <col min="6" max="6" width="16.5546875" style="112" customWidth="1"/>
    <col min="7" max="7" width="16.33203125" style="112" customWidth="1"/>
    <col min="8" max="8" width="10.6640625" style="112" bestFit="1" customWidth="1"/>
    <col min="9" max="9" width="8.88671875" style="112"/>
    <col min="10" max="10" width="10.109375" style="112" bestFit="1" customWidth="1"/>
    <col min="11" max="12" width="13.88671875" style="112" bestFit="1" customWidth="1"/>
    <col min="13" max="13" width="11.6640625" style="112" customWidth="1"/>
    <col min="14" max="15" width="15.33203125" style="112" bestFit="1" customWidth="1"/>
    <col min="16" max="16" width="11.5546875" style="112" customWidth="1"/>
    <col min="17" max="17" width="20.109375" style="112" customWidth="1"/>
    <col min="18" max="18" width="18.33203125" style="112" customWidth="1"/>
    <col min="19" max="19" width="14.44140625" style="112" bestFit="1" customWidth="1"/>
    <col min="20" max="21" width="17" style="112" bestFit="1" customWidth="1"/>
    <col min="22" max="22" width="20" style="112" customWidth="1"/>
    <col min="23" max="23" width="18.88671875" style="112" customWidth="1"/>
    <col min="24" max="16384" width="8.88671875" style="112"/>
  </cols>
  <sheetData>
    <row r="2" spans="2:24" ht="13.8" thickBot="1"/>
    <row r="3" spans="2:24" ht="27" thickBot="1">
      <c r="B3" s="173" t="s">
        <v>4856</v>
      </c>
      <c r="C3" s="174" t="s">
        <v>4857</v>
      </c>
      <c r="D3" s="174" t="s">
        <v>3068</v>
      </c>
      <c r="E3" s="174" t="s">
        <v>4858</v>
      </c>
      <c r="F3" s="175" t="s">
        <v>4859</v>
      </c>
      <c r="G3" s="175" t="s">
        <v>4860</v>
      </c>
      <c r="H3" s="174" t="s">
        <v>4861</v>
      </c>
      <c r="I3" s="176"/>
      <c r="J3" s="1775">
        <v>2022</v>
      </c>
      <c r="K3" s="1776"/>
      <c r="L3" s="1777"/>
      <c r="M3" s="1770">
        <v>2023</v>
      </c>
      <c r="N3" s="1763"/>
      <c r="O3" s="1764"/>
      <c r="P3" s="1765">
        <v>2024</v>
      </c>
      <c r="Q3" s="1766"/>
      <c r="R3" s="1767"/>
      <c r="S3" s="1771">
        <v>2025</v>
      </c>
      <c r="T3" s="1760"/>
      <c r="U3" s="1761"/>
      <c r="V3" s="1768" t="s">
        <v>4862</v>
      </c>
      <c r="W3" s="1769"/>
      <c r="X3" s="163"/>
    </row>
    <row r="4" spans="2:24" ht="13.8" thickBot="1">
      <c r="B4" s="177"/>
      <c r="C4" s="163"/>
      <c r="D4" s="178"/>
      <c r="E4" s="163"/>
      <c r="F4" s="179"/>
      <c r="G4" s="179"/>
      <c r="H4" s="163"/>
      <c r="I4" s="180"/>
      <c r="J4" s="181"/>
      <c r="K4" s="182" t="s">
        <v>4863</v>
      </c>
      <c r="L4" s="183" t="s">
        <v>4864</v>
      </c>
      <c r="M4" s="184"/>
      <c r="N4" s="185" t="s">
        <v>4863</v>
      </c>
      <c r="O4" s="186" t="s">
        <v>4864</v>
      </c>
      <c r="P4" s="187"/>
      <c r="Q4" s="188" t="s">
        <v>4863</v>
      </c>
      <c r="R4" s="189" t="s">
        <v>4864</v>
      </c>
      <c r="S4" s="568"/>
      <c r="T4" s="521" t="s">
        <v>4863</v>
      </c>
      <c r="U4" s="610" t="s">
        <v>4864</v>
      </c>
      <c r="V4" s="190" t="s">
        <v>4863</v>
      </c>
      <c r="W4" s="191" t="s">
        <v>4864</v>
      </c>
      <c r="X4" s="163"/>
    </row>
    <row r="5" spans="2:24" ht="13.8" thickBot="1">
      <c r="B5" s="172" t="s">
        <v>595</v>
      </c>
      <c r="C5" s="192" t="s">
        <v>4899</v>
      </c>
      <c r="D5" s="178">
        <v>7524145</v>
      </c>
      <c r="E5" s="193" t="s">
        <v>4900</v>
      </c>
      <c r="F5" s="194">
        <v>1990000</v>
      </c>
      <c r="G5" s="195">
        <f>1990000*1.21</f>
        <v>2407900</v>
      </c>
      <c r="H5" s="196">
        <v>46375</v>
      </c>
      <c r="I5" s="197"/>
      <c r="J5" s="198"/>
      <c r="K5" s="199"/>
      <c r="L5" s="200"/>
      <c r="M5" s="201">
        <v>45027</v>
      </c>
      <c r="N5" s="202">
        <f>20328*100/121</f>
        <v>16800</v>
      </c>
      <c r="O5" s="203">
        <v>20328</v>
      </c>
      <c r="P5" s="204">
        <v>45301</v>
      </c>
      <c r="Q5" s="205">
        <f>50820*100/121</f>
        <v>42000</v>
      </c>
      <c r="R5" s="513">
        <v>50820</v>
      </c>
      <c r="S5" s="569">
        <v>45693</v>
      </c>
      <c r="T5" s="543">
        <f>15246/121*100</f>
        <v>12600</v>
      </c>
      <c r="U5" s="564">
        <v>15246</v>
      </c>
      <c r="V5" s="207">
        <f>SUM(F5-N35-Q35-T35)</f>
        <v>533440</v>
      </c>
      <c r="W5" s="208">
        <f>SUM(G5-O35-R35-U35)</f>
        <v>645462.39999999991</v>
      </c>
      <c r="X5" s="163"/>
    </row>
    <row r="6" spans="2:24">
      <c r="B6" s="209"/>
      <c r="C6" s="210"/>
      <c r="D6" s="163"/>
      <c r="E6" s="210"/>
      <c r="F6" s="211"/>
      <c r="G6" s="211"/>
      <c r="H6" s="212"/>
      <c r="I6" s="213"/>
      <c r="J6" s="214"/>
      <c r="K6" s="215"/>
      <c r="L6" s="200"/>
      <c r="M6" s="216">
        <v>45042</v>
      </c>
      <c r="N6" s="217">
        <f>15246*100/121</f>
        <v>12600</v>
      </c>
      <c r="O6" s="218">
        <v>15246</v>
      </c>
      <c r="P6" s="219">
        <v>45309</v>
      </c>
      <c r="Q6" s="205">
        <f>15246*100/121</f>
        <v>12600</v>
      </c>
      <c r="R6" s="303">
        <v>15246</v>
      </c>
      <c r="S6" s="570">
        <v>45709</v>
      </c>
      <c r="T6" s="543">
        <v>12600</v>
      </c>
      <c r="U6" s="544">
        <v>15246</v>
      </c>
      <c r="V6" s="221"/>
      <c r="W6" s="221"/>
      <c r="X6" s="163"/>
    </row>
    <row r="7" spans="2:24">
      <c r="B7" s="141"/>
      <c r="C7" s="210"/>
      <c r="D7" s="163"/>
      <c r="E7" s="210"/>
      <c r="F7" s="211"/>
      <c r="G7" s="211"/>
      <c r="H7" s="212"/>
      <c r="I7" s="213"/>
      <c r="J7" s="214"/>
      <c r="K7" s="215"/>
      <c r="L7" s="200"/>
      <c r="M7" s="216">
        <v>45042</v>
      </c>
      <c r="N7" s="217">
        <f>84361.2*100/121</f>
        <v>69720</v>
      </c>
      <c r="O7" s="218">
        <v>84361.2</v>
      </c>
      <c r="P7" s="219">
        <v>45309</v>
      </c>
      <c r="Q7" s="205">
        <f>15246*100/121</f>
        <v>12600</v>
      </c>
      <c r="R7" s="303">
        <v>15246</v>
      </c>
      <c r="S7" s="570">
        <v>45728</v>
      </c>
      <c r="T7" s="543">
        <f>84361.2/121*100</f>
        <v>69720</v>
      </c>
      <c r="U7" s="544">
        <v>84361.2</v>
      </c>
      <c r="V7" s="225"/>
      <c r="W7" s="225"/>
      <c r="X7" s="163"/>
    </row>
    <row r="8" spans="2:24">
      <c r="B8" s="141"/>
      <c r="C8" s="210"/>
      <c r="D8" s="163"/>
      <c r="E8" s="210"/>
      <c r="F8" s="211"/>
      <c r="G8" s="211"/>
      <c r="H8" s="212"/>
      <c r="I8" s="213"/>
      <c r="J8" s="214"/>
      <c r="K8" s="215"/>
      <c r="L8" s="200"/>
      <c r="M8" s="216">
        <v>45044</v>
      </c>
      <c r="N8" s="217">
        <f>21344.4*100/121</f>
        <v>17640</v>
      </c>
      <c r="O8" s="218">
        <v>21344.400000000001</v>
      </c>
      <c r="P8" s="219">
        <v>45310</v>
      </c>
      <c r="Q8" s="205">
        <f>40656*100/121</f>
        <v>33600</v>
      </c>
      <c r="R8" s="303">
        <v>40656</v>
      </c>
      <c r="S8" s="570">
        <v>45755</v>
      </c>
      <c r="T8" s="543">
        <v>12600</v>
      </c>
      <c r="U8" s="544">
        <v>15246</v>
      </c>
      <c r="V8" s="225"/>
      <c r="W8" s="225"/>
      <c r="X8" s="163"/>
    </row>
    <row r="9" spans="2:24">
      <c r="B9" s="141"/>
      <c r="C9" s="210"/>
      <c r="D9" s="163"/>
      <c r="E9" s="210"/>
      <c r="F9" s="211"/>
      <c r="G9" s="211"/>
      <c r="H9" s="212"/>
      <c r="I9" s="213"/>
      <c r="J9" s="214"/>
      <c r="K9" s="215"/>
      <c r="L9" s="200"/>
      <c r="M9" s="216">
        <v>45064</v>
      </c>
      <c r="N9" s="217">
        <f>3049.2*100/121</f>
        <v>2520</v>
      </c>
      <c r="O9" s="218">
        <v>3049.2</v>
      </c>
      <c r="P9" s="219">
        <v>45320</v>
      </c>
      <c r="Q9" s="205">
        <f>17278.8*100/121</f>
        <v>14280</v>
      </c>
      <c r="R9" s="303">
        <v>17278.8</v>
      </c>
      <c r="S9" s="570">
        <v>45755</v>
      </c>
      <c r="T9" s="543">
        <f>U9/121*100</f>
        <v>14279.999999999998</v>
      </c>
      <c r="U9" s="544">
        <v>17278.8</v>
      </c>
      <c r="V9" s="225"/>
      <c r="W9" s="225"/>
      <c r="X9" s="163"/>
    </row>
    <row r="10" spans="2:24">
      <c r="B10" s="141"/>
      <c r="C10" s="210"/>
      <c r="D10" s="163"/>
      <c r="E10" s="210"/>
      <c r="F10" s="211"/>
      <c r="G10" s="211"/>
      <c r="H10" s="212"/>
      <c r="I10" s="213"/>
      <c r="J10" s="214"/>
      <c r="K10" s="215"/>
      <c r="L10" s="200"/>
      <c r="M10" s="216">
        <v>45079</v>
      </c>
      <c r="N10" s="217">
        <f>50820*100/121</f>
        <v>42000</v>
      </c>
      <c r="O10" s="218">
        <v>50820</v>
      </c>
      <c r="P10" s="219">
        <v>45365</v>
      </c>
      <c r="Q10" s="205">
        <f>30492*100/121</f>
        <v>25200</v>
      </c>
      <c r="R10" s="303">
        <v>30492</v>
      </c>
      <c r="S10" s="570">
        <v>45771</v>
      </c>
      <c r="T10" s="543">
        <f>U10*100/121</f>
        <v>25200</v>
      </c>
      <c r="U10" s="544">
        <v>30492</v>
      </c>
      <c r="V10" s="225"/>
      <c r="W10" s="225"/>
      <c r="X10" s="163"/>
    </row>
    <row r="11" spans="2:24">
      <c r="B11" s="141"/>
      <c r="C11" s="210"/>
      <c r="D11" s="163"/>
      <c r="E11" s="210"/>
      <c r="F11" s="211"/>
      <c r="G11" s="211"/>
      <c r="H11" s="212"/>
      <c r="I11" s="213"/>
      <c r="J11" s="214"/>
      <c r="K11" s="215"/>
      <c r="L11" s="200"/>
      <c r="M11" s="216">
        <v>45091</v>
      </c>
      <c r="N11" s="217">
        <f>20328*100/121</f>
        <v>16800</v>
      </c>
      <c r="O11" s="218">
        <v>20328</v>
      </c>
      <c r="P11" s="219">
        <v>45393</v>
      </c>
      <c r="Q11" s="205">
        <f>15246*100/121</f>
        <v>12600</v>
      </c>
      <c r="R11" s="303">
        <v>15246</v>
      </c>
      <c r="S11" s="570">
        <v>45771</v>
      </c>
      <c r="T11" s="543">
        <f>U11*100/121</f>
        <v>20160</v>
      </c>
      <c r="U11" s="544">
        <v>24393.599999999999</v>
      </c>
      <c r="V11" s="225"/>
      <c r="W11" s="225"/>
      <c r="X11" s="163"/>
    </row>
    <row r="12" spans="2:24">
      <c r="B12" s="141"/>
      <c r="C12" s="210"/>
      <c r="D12" s="163"/>
      <c r="E12" s="210"/>
      <c r="F12" s="211"/>
      <c r="G12" s="211"/>
      <c r="H12" s="212"/>
      <c r="I12" s="213"/>
      <c r="J12" s="214"/>
      <c r="K12" s="215"/>
      <c r="L12" s="200"/>
      <c r="M12" s="216">
        <v>45093</v>
      </c>
      <c r="N12" s="217">
        <f>15246*100/121</f>
        <v>12600</v>
      </c>
      <c r="O12" s="218">
        <v>15246</v>
      </c>
      <c r="P12" s="219">
        <v>45414</v>
      </c>
      <c r="Q12" s="205">
        <f>15246*100/121</f>
        <v>12600</v>
      </c>
      <c r="R12" s="303">
        <v>15246</v>
      </c>
      <c r="S12" s="570">
        <v>45783</v>
      </c>
      <c r="T12" s="543">
        <f>U12*100/121</f>
        <v>14280</v>
      </c>
      <c r="U12" s="544">
        <v>17278.8</v>
      </c>
      <c r="V12" s="225"/>
      <c r="W12" s="225"/>
      <c r="X12" s="163"/>
    </row>
    <row r="13" spans="2:24">
      <c r="B13" s="141"/>
      <c r="C13" s="210"/>
      <c r="D13" s="163"/>
      <c r="E13" s="210"/>
      <c r="F13" s="211"/>
      <c r="G13" s="211"/>
      <c r="H13" s="212"/>
      <c r="I13" s="213"/>
      <c r="J13" s="214"/>
      <c r="K13" s="215"/>
      <c r="L13" s="200"/>
      <c r="M13" s="216">
        <v>45093</v>
      </c>
      <c r="N13" s="217">
        <f>67082.4*100/121</f>
        <v>55439.999999999993</v>
      </c>
      <c r="O13" s="218">
        <v>67082.399999999994</v>
      </c>
      <c r="P13" s="219">
        <v>45415</v>
      </c>
      <c r="Q13" s="205">
        <f>24393.6*100/121</f>
        <v>20160</v>
      </c>
      <c r="R13" s="303">
        <v>24393.599999999999</v>
      </c>
      <c r="S13" s="570">
        <v>45794</v>
      </c>
      <c r="T13" s="543">
        <v>12600</v>
      </c>
      <c r="U13" s="544">
        <v>15246</v>
      </c>
      <c r="V13" s="225"/>
      <c r="W13" s="225"/>
      <c r="X13" s="163"/>
    </row>
    <row r="14" spans="2:24">
      <c r="B14" s="141"/>
      <c r="C14" s="210"/>
      <c r="D14" s="163"/>
      <c r="E14" s="210"/>
      <c r="F14" s="211"/>
      <c r="G14" s="211"/>
      <c r="H14" s="212"/>
      <c r="I14" s="213"/>
      <c r="J14" s="214"/>
      <c r="K14" s="215"/>
      <c r="L14" s="200"/>
      <c r="M14" s="216">
        <v>45097</v>
      </c>
      <c r="N14" s="217">
        <f>14229.6*100/121</f>
        <v>11760</v>
      </c>
      <c r="O14" s="218">
        <v>14229.6</v>
      </c>
      <c r="P14" s="219">
        <v>45419</v>
      </c>
      <c r="Q14" s="205">
        <f>17278.8*100/121</f>
        <v>14280</v>
      </c>
      <c r="R14" s="303">
        <v>17278.8</v>
      </c>
      <c r="S14" s="570">
        <v>45864</v>
      </c>
      <c r="T14" s="543">
        <v>12600</v>
      </c>
      <c r="U14" s="544">
        <v>15246</v>
      </c>
      <c r="V14" s="225"/>
      <c r="W14" s="225"/>
      <c r="X14" s="163"/>
    </row>
    <row r="15" spans="2:24">
      <c r="B15" s="141"/>
      <c r="C15" s="210"/>
      <c r="D15" s="163"/>
      <c r="E15" s="210"/>
      <c r="F15" s="211"/>
      <c r="G15" s="211"/>
      <c r="H15" s="212"/>
      <c r="I15" s="213"/>
      <c r="J15" s="214"/>
      <c r="K15" s="215"/>
      <c r="L15" s="200"/>
      <c r="M15" s="216">
        <v>45099</v>
      </c>
      <c r="N15" s="217">
        <f>40656*100/121</f>
        <v>33600</v>
      </c>
      <c r="O15" s="218">
        <v>40656</v>
      </c>
      <c r="P15" s="219">
        <v>45435</v>
      </c>
      <c r="Q15" s="205">
        <f>17278.8*100/121</f>
        <v>14280</v>
      </c>
      <c r="R15" s="303">
        <v>17278.8</v>
      </c>
      <c r="S15" s="570">
        <v>45875</v>
      </c>
      <c r="T15" s="543">
        <f>U15/121*100</f>
        <v>14279.999999999998</v>
      </c>
      <c r="U15" s="544">
        <v>17278.8</v>
      </c>
      <c r="V15" s="225"/>
      <c r="W15" s="225"/>
      <c r="X15" s="163"/>
    </row>
    <row r="16" spans="2:24">
      <c r="B16" s="141"/>
      <c r="C16" s="210"/>
      <c r="D16" s="163"/>
      <c r="E16" s="210"/>
      <c r="F16" s="211"/>
      <c r="G16" s="211"/>
      <c r="H16" s="212"/>
      <c r="I16" s="213"/>
      <c r="J16" s="214"/>
      <c r="K16" s="215"/>
      <c r="L16" s="200"/>
      <c r="M16" s="216">
        <v>45111</v>
      </c>
      <c r="N16" s="217">
        <f>10164*100/121</f>
        <v>8400</v>
      </c>
      <c r="O16" s="218">
        <v>10164</v>
      </c>
      <c r="P16" s="219">
        <v>45450</v>
      </c>
      <c r="Q16" s="205">
        <f>67082.4*100/121</f>
        <v>55439.999999999993</v>
      </c>
      <c r="R16" s="303">
        <v>67082.399999999994</v>
      </c>
      <c r="S16" s="570">
        <v>45896</v>
      </c>
      <c r="T16" s="543">
        <f>U16/121*100</f>
        <v>25200</v>
      </c>
      <c r="U16" s="544">
        <v>30492</v>
      </c>
      <c r="V16" s="225"/>
      <c r="W16" s="225"/>
      <c r="X16" s="163"/>
    </row>
    <row r="17" spans="2:24">
      <c r="B17" s="141"/>
      <c r="C17" s="210"/>
      <c r="D17" s="163"/>
      <c r="E17" s="210"/>
      <c r="F17" s="211"/>
      <c r="G17" s="211"/>
      <c r="H17" s="212"/>
      <c r="I17" s="213"/>
      <c r="J17" s="214"/>
      <c r="K17" s="215"/>
      <c r="L17" s="200"/>
      <c r="M17" s="216">
        <v>45140</v>
      </c>
      <c r="N17" s="217">
        <f>15246*100/121</f>
        <v>12600</v>
      </c>
      <c r="O17" s="218">
        <v>15246</v>
      </c>
      <c r="P17" s="219">
        <v>45483</v>
      </c>
      <c r="Q17" s="205">
        <f>15246*100/121</f>
        <v>12600</v>
      </c>
      <c r="R17" s="303">
        <v>15246</v>
      </c>
      <c r="S17" s="570">
        <v>45894</v>
      </c>
      <c r="T17" s="543">
        <f>U17/121*100</f>
        <v>12600</v>
      </c>
      <c r="U17" s="544">
        <v>15246</v>
      </c>
      <c r="V17" s="225"/>
      <c r="W17" s="225"/>
      <c r="X17" s="163"/>
    </row>
    <row r="18" spans="2:24">
      <c r="B18" s="141"/>
      <c r="C18" s="210"/>
      <c r="D18" s="163"/>
      <c r="E18" s="210"/>
      <c r="F18" s="211"/>
      <c r="G18" s="211"/>
      <c r="H18" s="212"/>
      <c r="I18" s="213"/>
      <c r="J18" s="214"/>
      <c r="K18" s="215"/>
      <c r="L18" s="200"/>
      <c r="M18" s="216">
        <v>45170</v>
      </c>
      <c r="N18" s="217">
        <f>15246*100/121</f>
        <v>12600</v>
      </c>
      <c r="O18" s="218">
        <v>15246</v>
      </c>
      <c r="P18" s="219">
        <v>45484</v>
      </c>
      <c r="Q18" s="205">
        <f>50820*100/121</f>
        <v>42000</v>
      </c>
      <c r="R18" s="303">
        <v>50820</v>
      </c>
      <c r="S18" s="570">
        <v>45944</v>
      </c>
      <c r="T18" s="543">
        <f t="shared" ref="T18:T21" si="0">U18/121*100</f>
        <v>14279.999999999998</v>
      </c>
      <c r="U18" s="544">
        <v>17278.8</v>
      </c>
      <c r="V18" s="225"/>
      <c r="W18" s="225"/>
      <c r="X18" s="163"/>
    </row>
    <row r="19" spans="2:24">
      <c r="B19" s="141"/>
      <c r="C19" s="210"/>
      <c r="D19" s="163"/>
      <c r="E19" s="210"/>
      <c r="F19" s="211"/>
      <c r="G19" s="211"/>
      <c r="H19" s="212"/>
      <c r="I19" s="213"/>
      <c r="J19" s="214"/>
      <c r="K19" s="215"/>
      <c r="L19" s="200"/>
      <c r="M19" s="216">
        <v>45170</v>
      </c>
      <c r="N19" s="217">
        <f>15246*100/121</f>
        <v>12600</v>
      </c>
      <c r="O19" s="218">
        <v>15246</v>
      </c>
      <c r="P19" s="219">
        <v>45518</v>
      </c>
      <c r="Q19" s="205">
        <f>17278.8*100/121</f>
        <v>14280</v>
      </c>
      <c r="R19" s="303">
        <v>17278.8</v>
      </c>
      <c r="S19" s="570">
        <v>45951</v>
      </c>
      <c r="T19" s="543">
        <f t="shared" si="0"/>
        <v>20160</v>
      </c>
      <c r="U19" s="544">
        <v>24393.599999999999</v>
      </c>
      <c r="V19" s="225"/>
      <c r="W19" s="225"/>
      <c r="X19" s="163"/>
    </row>
    <row r="20" spans="2:24">
      <c r="B20" s="141"/>
      <c r="C20" s="210"/>
      <c r="D20" s="163"/>
      <c r="E20" s="210"/>
      <c r="F20" s="211"/>
      <c r="G20" s="211"/>
      <c r="H20" s="212"/>
      <c r="I20" s="213"/>
      <c r="J20" s="214"/>
      <c r="K20" s="215"/>
      <c r="L20" s="200"/>
      <c r="M20" s="216">
        <v>45170</v>
      </c>
      <c r="N20" s="217">
        <f>30492*100/121</f>
        <v>25200</v>
      </c>
      <c r="O20" s="218">
        <v>30492</v>
      </c>
      <c r="P20" s="219">
        <v>45518</v>
      </c>
      <c r="Q20" s="205">
        <f>15246*100/121</f>
        <v>12600</v>
      </c>
      <c r="R20" s="303">
        <v>15246</v>
      </c>
      <c r="S20" s="570">
        <v>45980</v>
      </c>
      <c r="T20" s="543">
        <f t="shared" si="0"/>
        <v>14279.999999999998</v>
      </c>
      <c r="U20" s="544">
        <v>17278.8</v>
      </c>
      <c r="V20" s="225"/>
      <c r="W20" s="225"/>
      <c r="X20" s="163"/>
    </row>
    <row r="21" spans="2:24">
      <c r="B21" s="141"/>
      <c r="C21" s="210"/>
      <c r="D21" s="163"/>
      <c r="E21" s="210"/>
      <c r="F21" s="211"/>
      <c r="G21" s="211"/>
      <c r="H21" s="212"/>
      <c r="I21" s="213"/>
      <c r="J21" s="214"/>
      <c r="K21" s="215"/>
      <c r="L21" s="200"/>
      <c r="M21" s="216">
        <v>45184</v>
      </c>
      <c r="N21" s="217">
        <f>24393.6*100/121</f>
        <v>20160</v>
      </c>
      <c r="O21" s="218">
        <v>24393.599999999999</v>
      </c>
      <c r="P21" s="219">
        <v>45576</v>
      </c>
      <c r="Q21" s="205">
        <f>30492*100/121</f>
        <v>25200</v>
      </c>
      <c r="R21" s="303">
        <v>30492</v>
      </c>
      <c r="S21" s="570">
        <v>46022</v>
      </c>
      <c r="T21" s="543">
        <f t="shared" si="0"/>
        <v>115080</v>
      </c>
      <c r="U21" s="544">
        <v>139246.79999999999</v>
      </c>
      <c r="V21" s="225"/>
      <c r="W21" s="225"/>
      <c r="X21" s="163"/>
    </row>
    <row r="22" spans="2:24">
      <c r="B22" s="141"/>
      <c r="C22" s="210"/>
      <c r="D22" s="163"/>
      <c r="E22" s="210"/>
      <c r="F22" s="211"/>
      <c r="G22" s="211"/>
      <c r="H22" s="212"/>
      <c r="I22" s="213"/>
      <c r="J22" s="214"/>
      <c r="K22" s="215"/>
      <c r="L22" s="200"/>
      <c r="M22" s="216">
        <v>45198</v>
      </c>
      <c r="N22" s="217">
        <f>17278.8*100/121</f>
        <v>14280</v>
      </c>
      <c r="O22" s="218">
        <v>17278.8</v>
      </c>
      <c r="P22" s="219">
        <v>45587</v>
      </c>
      <c r="Q22" s="205">
        <f>40656*100/121</f>
        <v>33600</v>
      </c>
      <c r="R22" s="303">
        <v>40656</v>
      </c>
      <c r="S22" s="570"/>
      <c r="T22" s="543"/>
      <c r="U22" s="544"/>
      <c r="V22" s="225"/>
      <c r="W22" s="225"/>
      <c r="X22" s="163"/>
    </row>
    <row r="23" spans="2:24">
      <c r="B23" s="141"/>
      <c r="C23" s="210"/>
      <c r="D23" s="163"/>
      <c r="E23" s="210"/>
      <c r="F23" s="211"/>
      <c r="G23" s="211"/>
      <c r="H23" s="212"/>
      <c r="I23" s="213"/>
      <c r="J23" s="214"/>
      <c r="K23" s="215"/>
      <c r="L23" s="200"/>
      <c r="M23" s="216">
        <v>45239</v>
      </c>
      <c r="N23" s="217">
        <f>17278.8*100/121</f>
        <v>14280</v>
      </c>
      <c r="O23" s="218">
        <v>17278.8</v>
      </c>
      <c r="P23" s="219">
        <v>45594</v>
      </c>
      <c r="Q23" s="205">
        <f>24393.6*100/121</f>
        <v>20160</v>
      </c>
      <c r="R23" s="303">
        <v>24393.599999999999</v>
      </c>
      <c r="S23" s="570"/>
      <c r="T23" s="543"/>
      <c r="U23" s="544"/>
      <c r="V23" s="225"/>
      <c r="W23" s="225"/>
      <c r="X23" s="163"/>
    </row>
    <row r="24" spans="2:24">
      <c r="B24" s="141"/>
      <c r="C24" s="210"/>
      <c r="D24" s="163"/>
      <c r="E24" s="210"/>
      <c r="F24" s="211"/>
      <c r="G24" s="211"/>
      <c r="H24" s="212"/>
      <c r="I24" s="213"/>
      <c r="J24" s="226"/>
      <c r="K24" s="227"/>
      <c r="L24" s="228"/>
      <c r="M24" s="216">
        <v>45259</v>
      </c>
      <c r="N24" s="217">
        <f>50820*100/121</f>
        <v>42000</v>
      </c>
      <c r="O24" s="218">
        <v>50820</v>
      </c>
      <c r="P24" s="219">
        <v>45597</v>
      </c>
      <c r="Q24" s="205">
        <f>17278.8*100/121</f>
        <v>14280</v>
      </c>
      <c r="R24" s="303">
        <v>17278.8</v>
      </c>
      <c r="S24" s="570"/>
      <c r="T24" s="543"/>
      <c r="U24" s="544"/>
      <c r="V24" s="225"/>
      <c r="W24" s="225"/>
      <c r="X24" s="163"/>
    </row>
    <row r="25" spans="2:24">
      <c r="B25" s="141"/>
      <c r="C25" s="210"/>
      <c r="D25" s="163"/>
      <c r="E25" s="210"/>
      <c r="F25" s="211"/>
      <c r="G25" s="211"/>
      <c r="H25" s="212"/>
      <c r="I25" s="213"/>
      <c r="J25" s="229"/>
      <c r="K25" s="199"/>
      <c r="L25" s="230"/>
      <c r="M25" s="216">
        <v>45266</v>
      </c>
      <c r="N25" s="217">
        <f>17278.8*100/121</f>
        <v>14280</v>
      </c>
      <c r="O25" s="218">
        <v>17278.8</v>
      </c>
      <c r="P25" s="219">
        <v>45602</v>
      </c>
      <c r="Q25" s="205">
        <f>15246*100/121</f>
        <v>12600</v>
      </c>
      <c r="R25" s="303">
        <v>15246</v>
      </c>
      <c r="S25" s="570"/>
      <c r="T25" s="543"/>
      <c r="U25" s="544"/>
      <c r="V25" s="225"/>
      <c r="W25" s="225"/>
      <c r="X25" s="163"/>
    </row>
    <row r="26" spans="2:24">
      <c r="B26" s="141"/>
      <c r="C26" s="210"/>
      <c r="D26" s="163"/>
      <c r="E26" s="210"/>
      <c r="F26" s="211"/>
      <c r="G26" s="211"/>
      <c r="H26" s="212"/>
      <c r="I26" s="213"/>
      <c r="J26" s="214"/>
      <c r="K26" s="215"/>
      <c r="L26" s="200"/>
      <c r="M26" s="216"/>
      <c r="N26" s="217"/>
      <c r="O26" s="218"/>
      <c r="P26" s="219">
        <v>45607</v>
      </c>
      <c r="Q26" s="205">
        <f>15246*100/121</f>
        <v>12600</v>
      </c>
      <c r="R26" s="303">
        <v>15246</v>
      </c>
      <c r="S26" s="570"/>
      <c r="T26" s="543"/>
      <c r="U26" s="544"/>
      <c r="V26" s="225"/>
      <c r="W26" s="225"/>
      <c r="X26" s="163"/>
    </row>
    <row r="27" spans="2:24">
      <c r="B27" s="141"/>
      <c r="C27" s="210"/>
      <c r="D27" s="163"/>
      <c r="E27" s="210"/>
      <c r="F27" s="211"/>
      <c r="G27" s="211"/>
      <c r="H27" s="212"/>
      <c r="I27" s="213"/>
      <c r="J27" s="214"/>
      <c r="K27" s="215"/>
      <c r="L27" s="200"/>
      <c r="M27" s="216"/>
      <c r="N27" s="217"/>
      <c r="O27" s="218"/>
      <c r="P27" s="219">
        <v>45607</v>
      </c>
      <c r="Q27" s="205">
        <f>77246.4*100/121</f>
        <v>63839.999999999993</v>
      </c>
      <c r="R27" s="303">
        <v>77246.399999999994</v>
      </c>
      <c r="S27" s="570"/>
      <c r="T27" s="543"/>
      <c r="U27" s="544"/>
      <c r="V27" s="225"/>
      <c r="W27" s="225"/>
      <c r="X27" s="163"/>
    </row>
    <row r="28" spans="2:24">
      <c r="B28" s="141"/>
      <c r="C28" s="210"/>
      <c r="D28" s="163"/>
      <c r="E28" s="210"/>
      <c r="F28" s="211"/>
      <c r="G28" s="211"/>
      <c r="H28" s="212"/>
      <c r="I28" s="213"/>
      <c r="J28" s="214"/>
      <c r="K28" s="215"/>
      <c r="L28" s="200"/>
      <c r="M28" s="216"/>
      <c r="N28" s="217"/>
      <c r="O28" s="218"/>
      <c r="P28" s="219">
        <v>45625</v>
      </c>
      <c r="Q28" s="205">
        <f>7114.8*100/121</f>
        <v>5880</v>
      </c>
      <c r="R28" s="303">
        <v>7114.8</v>
      </c>
      <c r="S28" s="570"/>
      <c r="T28" s="543"/>
      <c r="U28" s="544"/>
      <c r="V28" s="225"/>
      <c r="W28" s="225"/>
      <c r="X28" s="163"/>
    </row>
    <row r="29" spans="2:24">
      <c r="B29" s="141"/>
      <c r="C29" s="210"/>
      <c r="D29" s="163"/>
      <c r="E29" s="210"/>
      <c r="F29" s="211"/>
      <c r="G29" s="211"/>
      <c r="H29" s="212"/>
      <c r="I29" s="213"/>
      <c r="J29" s="214"/>
      <c r="K29" s="215"/>
      <c r="L29" s="200"/>
      <c r="M29" s="216"/>
      <c r="N29" s="217"/>
      <c r="O29" s="218"/>
      <c r="P29" s="219">
        <v>45635</v>
      </c>
      <c r="Q29" s="205">
        <f>17278.8*100/121</f>
        <v>14280</v>
      </c>
      <c r="R29" s="303">
        <v>17278.8</v>
      </c>
      <c r="S29" s="570"/>
      <c r="T29" s="543"/>
      <c r="U29" s="544"/>
      <c r="V29" s="225"/>
      <c r="W29" s="225"/>
      <c r="X29" s="163"/>
    </row>
    <row r="30" spans="2:24">
      <c r="B30" s="141"/>
      <c r="C30" s="210"/>
      <c r="D30" s="163"/>
      <c r="E30" s="210"/>
      <c r="F30" s="211"/>
      <c r="G30" s="211"/>
      <c r="H30" s="212"/>
      <c r="I30" s="213"/>
      <c r="J30" s="214"/>
      <c r="K30" s="215"/>
      <c r="L30" s="200"/>
      <c r="M30" s="216"/>
      <c r="N30" s="217"/>
      <c r="O30" s="218"/>
      <c r="P30" s="219">
        <v>45643</v>
      </c>
      <c r="Q30" s="205">
        <f>15246*100/121</f>
        <v>12600</v>
      </c>
      <c r="R30" s="303">
        <v>15246</v>
      </c>
      <c r="S30" s="570"/>
      <c r="T30" s="543"/>
      <c r="U30" s="544"/>
      <c r="V30" s="225"/>
      <c r="W30" s="225"/>
      <c r="X30" s="163"/>
    </row>
    <row r="31" spans="2:24">
      <c r="B31" s="141"/>
      <c r="C31" s="210"/>
      <c r="D31" s="163"/>
      <c r="E31" s="210"/>
      <c r="F31" s="211"/>
      <c r="G31" s="211"/>
      <c r="H31" s="212"/>
      <c r="I31" s="213"/>
      <c r="J31" s="214"/>
      <c r="K31" s="215"/>
      <c r="L31" s="200"/>
      <c r="M31" s="216"/>
      <c r="N31" s="217"/>
      <c r="O31" s="218"/>
      <c r="P31" s="219"/>
      <c r="Q31" s="205"/>
      <c r="R31" s="303"/>
      <c r="S31" s="570"/>
      <c r="T31" s="543"/>
      <c r="U31" s="544"/>
      <c r="V31" s="225"/>
      <c r="W31" s="225"/>
      <c r="X31" s="163"/>
    </row>
    <row r="32" spans="2:24">
      <c r="B32" s="141"/>
      <c r="C32" s="210"/>
      <c r="D32" s="163"/>
      <c r="E32" s="210"/>
      <c r="F32" s="211"/>
      <c r="G32" s="211"/>
      <c r="H32" s="212"/>
      <c r="I32" s="213"/>
      <c r="J32" s="214"/>
      <c r="K32" s="215"/>
      <c r="L32" s="200"/>
      <c r="M32" s="216"/>
      <c r="N32" s="217"/>
      <c r="O32" s="218"/>
      <c r="P32" s="219"/>
      <c r="Q32" s="205"/>
      <c r="R32" s="303"/>
      <c r="S32" s="570"/>
      <c r="T32" s="543"/>
      <c r="U32" s="544"/>
      <c r="V32" s="225"/>
      <c r="W32" s="225"/>
      <c r="X32" s="163"/>
    </row>
    <row r="33" spans="2:24">
      <c r="B33" s="141"/>
      <c r="C33" s="210"/>
      <c r="D33" s="163"/>
      <c r="E33" s="210"/>
      <c r="F33" s="211"/>
      <c r="G33" s="211"/>
      <c r="H33" s="212"/>
      <c r="I33" s="213"/>
      <c r="J33" s="214"/>
      <c r="K33" s="215"/>
      <c r="L33" s="200"/>
      <c r="M33" s="216"/>
      <c r="N33" s="217"/>
      <c r="O33" s="218"/>
      <c r="P33" s="219"/>
      <c r="Q33" s="205"/>
      <c r="R33" s="303"/>
      <c r="S33" s="570"/>
      <c r="T33" s="543"/>
      <c r="U33" s="544"/>
      <c r="V33" s="225"/>
      <c r="W33" s="225"/>
      <c r="X33" s="163"/>
    </row>
    <row r="34" spans="2:24">
      <c r="B34" s="141"/>
      <c r="C34" s="210"/>
      <c r="D34" s="163"/>
      <c r="E34" s="210"/>
      <c r="F34" s="211"/>
      <c r="G34" s="211"/>
      <c r="H34" s="212"/>
      <c r="I34" s="213"/>
      <c r="J34" s="214"/>
      <c r="K34" s="215"/>
      <c r="L34" s="200"/>
      <c r="M34" s="222"/>
      <c r="N34" s="223"/>
      <c r="O34" s="224"/>
      <c r="P34" s="231"/>
      <c r="Q34" s="205"/>
      <c r="R34" s="303"/>
      <c r="S34" s="617"/>
      <c r="T34" s="543"/>
      <c r="U34" s="544"/>
      <c r="V34" s="225"/>
      <c r="W34" s="225"/>
      <c r="X34" s="163"/>
    </row>
    <row r="35" spans="2:24" ht="13.8" thickBot="1">
      <c r="B35" s="141"/>
      <c r="C35" s="210"/>
      <c r="D35" s="163"/>
      <c r="E35" s="210"/>
      <c r="F35" s="211"/>
      <c r="G35" s="211"/>
      <c r="H35" s="212"/>
      <c r="I35" s="232" t="s">
        <v>4865</v>
      </c>
      <c r="J35" s="233"/>
      <c r="K35" s="234"/>
      <c r="L35" s="235"/>
      <c r="M35" s="236"/>
      <c r="N35" s="787">
        <f>SUM(N5:N34)</f>
        <v>467880</v>
      </c>
      <c r="O35" s="497">
        <f>SUM(O5:O34)</f>
        <v>566134.80000000005</v>
      </c>
      <c r="P35" s="239"/>
      <c r="Q35" s="240">
        <f>SUM(Q5:Q34)</f>
        <v>566160</v>
      </c>
      <c r="R35" s="512">
        <f>SUM(R5:R34)</f>
        <v>685053.60000000009</v>
      </c>
      <c r="S35" s="558"/>
      <c r="T35" s="611">
        <f>SUM(T5:T34)</f>
        <v>422520</v>
      </c>
      <c r="U35" s="612">
        <f>SUM(U5:U34)</f>
        <v>511249.19999999995</v>
      </c>
      <c r="V35" s="225"/>
      <c r="W35" s="225"/>
      <c r="X35" s="163"/>
    </row>
    <row r="36" spans="2:24" ht="13.8" thickBot="1">
      <c r="B36" s="172" t="s">
        <v>618</v>
      </c>
      <c r="C36" s="192" t="s">
        <v>4901</v>
      </c>
      <c r="D36" s="242">
        <v>4262719</v>
      </c>
      <c r="E36" s="193" t="s">
        <v>4902</v>
      </c>
      <c r="F36" s="194">
        <v>1245000</v>
      </c>
      <c r="G36" s="195">
        <v>1506450</v>
      </c>
      <c r="H36" s="196">
        <v>2958465</v>
      </c>
      <c r="I36" s="197"/>
      <c r="J36" s="198"/>
      <c r="K36" s="243"/>
      <c r="L36" s="244"/>
      <c r="M36" s="201">
        <v>44988</v>
      </c>
      <c r="N36" s="202">
        <f>302500*100/121</f>
        <v>250000</v>
      </c>
      <c r="O36" s="203">
        <v>302500</v>
      </c>
      <c r="P36" s="245"/>
      <c r="Q36" s="246"/>
      <c r="R36" s="513"/>
      <c r="S36" s="555"/>
      <c r="T36" s="563"/>
      <c r="U36" s="564"/>
      <c r="V36" s="247">
        <f>SUM(F36-N40)</f>
        <v>797000</v>
      </c>
      <c r="W36" s="248">
        <f>SUM(G36-O40)</f>
        <v>964370</v>
      </c>
      <c r="X36" s="163"/>
    </row>
    <row r="37" spans="2:24">
      <c r="B37" s="209"/>
      <c r="C37" s="210"/>
      <c r="D37" s="163"/>
      <c r="E37" s="210"/>
      <c r="F37" s="211"/>
      <c r="G37" s="211"/>
      <c r="H37" s="212"/>
      <c r="I37" s="213"/>
      <c r="J37" s="249"/>
      <c r="K37" s="250"/>
      <c r="L37" s="251"/>
      <c r="M37" s="216">
        <v>45272</v>
      </c>
      <c r="N37" s="217">
        <f>239580*100/121</f>
        <v>198000</v>
      </c>
      <c r="O37" s="218">
        <v>239580</v>
      </c>
      <c r="P37" s="252"/>
      <c r="Q37" s="205"/>
      <c r="R37" s="303"/>
      <c r="S37" s="556"/>
      <c r="T37" s="543"/>
      <c r="U37" s="544"/>
      <c r="V37" s="225"/>
      <c r="W37" s="225"/>
      <c r="X37" s="163"/>
    </row>
    <row r="38" spans="2:24">
      <c r="B38" s="141"/>
      <c r="C38" s="210"/>
      <c r="D38" s="163"/>
      <c r="E38" s="210"/>
      <c r="F38" s="211"/>
      <c r="G38" s="211"/>
      <c r="H38" s="212"/>
      <c r="I38" s="232"/>
      <c r="J38" s="233"/>
      <c r="K38" s="253"/>
      <c r="L38" s="254"/>
      <c r="M38" s="255"/>
      <c r="N38" s="217"/>
      <c r="O38" s="218"/>
      <c r="P38" s="239"/>
      <c r="Q38" s="256"/>
      <c r="R38" s="517"/>
      <c r="S38" s="558"/>
      <c r="T38" s="545"/>
      <c r="U38" s="546"/>
      <c r="V38" s="225"/>
      <c r="W38" s="225"/>
      <c r="X38" s="163"/>
    </row>
    <row r="39" spans="2:24">
      <c r="B39" s="141"/>
      <c r="C39" s="210"/>
      <c r="D39" s="163"/>
      <c r="E39" s="210"/>
      <c r="F39" s="211"/>
      <c r="G39" s="211"/>
      <c r="H39" s="212"/>
      <c r="I39" s="258"/>
      <c r="J39" s="259"/>
      <c r="K39" s="260"/>
      <c r="L39" s="261"/>
      <c r="M39" s="262"/>
      <c r="N39" s="217"/>
      <c r="O39" s="218"/>
      <c r="P39" s="263"/>
      <c r="Q39" s="264"/>
      <c r="R39" s="515"/>
      <c r="S39" s="559"/>
      <c r="T39" s="547"/>
      <c r="U39" s="548"/>
      <c r="V39" s="225"/>
      <c r="W39" s="225"/>
      <c r="X39" s="163"/>
    </row>
    <row r="40" spans="2:24" ht="13.8" thickBot="1">
      <c r="B40" s="266"/>
      <c r="C40" s="210"/>
      <c r="D40" s="163"/>
      <c r="E40" s="210"/>
      <c r="F40" s="211"/>
      <c r="G40" s="211"/>
      <c r="H40" s="212"/>
      <c r="I40" s="232" t="s">
        <v>4865</v>
      </c>
      <c r="J40" s="267"/>
      <c r="K40" s="268"/>
      <c r="L40" s="269"/>
      <c r="M40" s="270"/>
      <c r="N40" s="271">
        <f>SUM(N36:N39)</f>
        <v>448000</v>
      </c>
      <c r="O40" s="272">
        <f>SUM(O36:O39)</f>
        <v>542080</v>
      </c>
      <c r="P40" s="273"/>
      <c r="Q40" s="274"/>
      <c r="R40" s="577"/>
      <c r="S40" s="560"/>
      <c r="T40" s="549"/>
      <c r="U40" s="550"/>
      <c r="V40" s="276"/>
      <c r="W40" s="276"/>
      <c r="X40" s="163"/>
    </row>
    <row r="41" spans="2:24" ht="13.8" thickBot="1">
      <c r="B41" s="277" t="s">
        <v>4031</v>
      </c>
      <c r="C41" s="192" t="s">
        <v>4903</v>
      </c>
      <c r="D41" s="242">
        <v>4896661</v>
      </c>
      <c r="E41" s="278" t="s">
        <v>4032</v>
      </c>
      <c r="F41" s="194">
        <v>1950000</v>
      </c>
      <c r="G41" s="195">
        <v>2359500</v>
      </c>
      <c r="H41" s="196">
        <v>46568</v>
      </c>
      <c r="I41" s="197"/>
      <c r="J41" s="249"/>
      <c r="K41" s="279"/>
      <c r="L41" s="280"/>
      <c r="M41" s="216"/>
      <c r="N41" s="217"/>
      <c r="O41" s="203"/>
      <c r="P41" s="219" t="s">
        <v>5445</v>
      </c>
      <c r="Q41" s="256" t="s">
        <v>5445</v>
      </c>
      <c r="R41" s="303" t="s">
        <v>5445</v>
      </c>
      <c r="S41" s="570" t="s">
        <v>5445</v>
      </c>
      <c r="T41" s="545" t="s">
        <v>5445</v>
      </c>
      <c r="U41" s="544" t="s">
        <v>5445</v>
      </c>
      <c r="V41" s="247">
        <f>SUM(F41-T45-Q98-T98-T54)</f>
        <v>746836.80991735531</v>
      </c>
      <c r="W41" s="248">
        <f>SUM(G41-U45-R98-U98-U54)</f>
        <v>903672.54</v>
      </c>
      <c r="X41" s="163"/>
    </row>
    <row r="42" spans="2:24">
      <c r="B42" s="209"/>
      <c r="C42" s="210"/>
      <c r="D42" s="163"/>
      <c r="E42" s="210"/>
      <c r="F42" s="211"/>
      <c r="G42" s="211"/>
      <c r="H42" s="212"/>
      <c r="I42" s="213"/>
      <c r="J42" s="249"/>
      <c r="K42" s="279"/>
      <c r="L42" s="280"/>
      <c r="M42" s="216"/>
      <c r="N42" s="217"/>
      <c r="O42" s="218"/>
      <c r="P42" s="219" t="s">
        <v>5445</v>
      </c>
      <c r="Q42" s="281" t="s">
        <v>5874</v>
      </c>
      <c r="R42" s="303" t="s">
        <v>5445</v>
      </c>
      <c r="S42" s="570"/>
      <c r="T42" s="613"/>
      <c r="U42" s="544"/>
      <c r="V42" s="221"/>
      <c r="W42" s="221"/>
      <c r="X42" s="163"/>
    </row>
    <row r="43" spans="2:24">
      <c r="B43" s="141"/>
      <c r="C43" s="210"/>
      <c r="D43" s="163"/>
      <c r="E43" s="210"/>
      <c r="F43" s="211"/>
      <c r="G43" s="211"/>
      <c r="H43" s="212"/>
      <c r="I43" s="213"/>
      <c r="J43" s="233"/>
      <c r="K43" s="282"/>
      <c r="L43" s="283"/>
      <c r="M43" s="284"/>
      <c r="N43" s="285"/>
      <c r="O43" s="286"/>
      <c r="P43" s="287"/>
      <c r="Q43" s="256"/>
      <c r="R43" s="517"/>
      <c r="S43" s="578"/>
      <c r="T43" s="545"/>
      <c r="U43" s="546"/>
      <c r="V43" s="225"/>
      <c r="W43" s="225"/>
      <c r="X43" s="163"/>
    </row>
    <row r="44" spans="2:24">
      <c r="B44" s="141"/>
      <c r="C44" s="210"/>
      <c r="D44" s="163"/>
      <c r="E44" s="210"/>
      <c r="F44" s="211"/>
      <c r="G44" s="211"/>
      <c r="H44" s="212"/>
      <c r="I44" s="213"/>
      <c r="J44" s="259"/>
      <c r="K44" s="288"/>
      <c r="L44" s="289"/>
      <c r="M44" s="290"/>
      <c r="N44" s="291"/>
      <c r="O44" s="292"/>
      <c r="P44" s="263"/>
      <c r="Q44" s="264"/>
      <c r="R44" s="515"/>
      <c r="S44" s="559"/>
      <c r="T44" s="547"/>
      <c r="U44" s="548"/>
      <c r="V44" s="225"/>
      <c r="W44" s="225"/>
      <c r="X44" s="163"/>
    </row>
    <row r="45" spans="2:24" ht="13.8" thickBot="1">
      <c r="B45" s="141"/>
      <c r="C45" s="210"/>
      <c r="D45" s="163"/>
      <c r="E45" s="210"/>
      <c r="F45" s="211"/>
      <c r="G45" s="211"/>
      <c r="H45" s="212"/>
      <c r="I45" s="293" t="s">
        <v>4865</v>
      </c>
      <c r="J45" s="267"/>
      <c r="K45" s="294"/>
      <c r="L45" s="295"/>
      <c r="M45" s="270"/>
      <c r="N45" s="296"/>
      <c r="O45" s="297"/>
      <c r="P45" s="298"/>
      <c r="Q45" s="299" t="s">
        <v>5445</v>
      </c>
      <c r="R45" s="516" t="s">
        <v>5445</v>
      </c>
      <c r="S45" s="560"/>
      <c r="T45" s="541">
        <v>0</v>
      </c>
      <c r="U45" s="542">
        <v>0</v>
      </c>
      <c r="V45" s="225"/>
      <c r="W45" s="225"/>
      <c r="X45" s="163"/>
    </row>
    <row r="46" spans="2:24" ht="13.8" thickBot="1">
      <c r="B46" s="172" t="s">
        <v>5879</v>
      </c>
      <c r="C46" s="192" t="s">
        <v>5880</v>
      </c>
      <c r="D46" s="242">
        <v>4896661</v>
      </c>
      <c r="E46" s="278" t="s">
        <v>4032</v>
      </c>
      <c r="F46" s="194">
        <v>480000</v>
      </c>
      <c r="G46" s="195">
        <v>580800</v>
      </c>
      <c r="H46" s="196">
        <v>46568</v>
      </c>
      <c r="I46" s="197"/>
      <c r="J46" s="249"/>
      <c r="K46" s="279"/>
      <c r="L46" s="280"/>
      <c r="M46" s="216"/>
      <c r="N46" s="217"/>
      <c r="O46" s="203"/>
      <c r="P46" s="219" t="s">
        <v>5445</v>
      </c>
      <c r="Q46" s="256" t="s">
        <v>5445</v>
      </c>
      <c r="R46" s="303" t="s">
        <v>5445</v>
      </c>
      <c r="S46" s="570">
        <v>45903</v>
      </c>
      <c r="T46" s="1018">
        <f>U46*100/121</f>
        <v>174382</v>
      </c>
      <c r="U46" s="544">
        <v>211002.22</v>
      </c>
      <c r="V46" s="247">
        <f>SUM(F46-Q54-T54)</f>
        <v>305618</v>
      </c>
      <c r="W46" s="248">
        <f>SUM(G46-R54-U54)</f>
        <v>369797.78</v>
      </c>
      <c r="X46" s="163"/>
    </row>
    <row r="47" spans="2:24">
      <c r="B47" s="209"/>
      <c r="C47" s="210"/>
      <c r="D47" s="163"/>
      <c r="E47" s="210"/>
      <c r="F47" s="211"/>
      <c r="G47" s="211"/>
      <c r="H47" s="212"/>
      <c r="I47" s="213"/>
      <c r="J47" s="249"/>
      <c r="K47" s="279"/>
      <c r="L47" s="280"/>
      <c r="M47" s="216"/>
      <c r="N47" s="217"/>
      <c r="O47" s="218"/>
      <c r="P47" s="219" t="s">
        <v>5445</v>
      </c>
      <c r="Q47" s="281" t="s">
        <v>5445</v>
      </c>
      <c r="R47" s="303" t="s">
        <v>5445</v>
      </c>
      <c r="S47" s="570" t="s">
        <v>5445</v>
      </c>
      <c r="T47" s="785" t="s">
        <v>5445</v>
      </c>
      <c r="U47" s="544" t="s">
        <v>5445</v>
      </c>
      <c r="V47" s="221"/>
      <c r="W47" s="221"/>
      <c r="X47" s="163"/>
    </row>
    <row r="48" spans="2:24">
      <c r="B48" s="141"/>
      <c r="C48" s="210"/>
      <c r="D48" s="163"/>
      <c r="E48" s="210"/>
      <c r="F48" s="211"/>
      <c r="G48" s="211"/>
      <c r="H48" s="212"/>
      <c r="I48" s="213"/>
      <c r="J48" s="951"/>
      <c r="K48" s="952"/>
      <c r="L48" s="953"/>
      <c r="M48" s="520"/>
      <c r="N48" s="755"/>
      <c r="O48" s="828"/>
      <c r="P48" s="756"/>
      <c r="Q48" s="281"/>
      <c r="R48" s="514"/>
      <c r="S48" s="570" t="s">
        <v>5445</v>
      </c>
      <c r="T48" s="613" t="s">
        <v>5445</v>
      </c>
      <c r="U48" s="544" t="s">
        <v>5445</v>
      </c>
      <c r="V48" s="225"/>
      <c r="W48" s="225"/>
      <c r="X48" s="163"/>
    </row>
    <row r="49" spans="2:24">
      <c r="B49" s="141"/>
      <c r="C49" s="210"/>
      <c r="D49" s="163"/>
      <c r="E49" s="210"/>
      <c r="F49" s="211"/>
      <c r="G49" s="211"/>
      <c r="H49" s="212"/>
      <c r="I49" s="213"/>
      <c r="J49" s="951"/>
      <c r="K49" s="952"/>
      <c r="L49" s="953"/>
      <c r="M49" s="520"/>
      <c r="N49" s="755"/>
      <c r="O49" s="828"/>
      <c r="P49" s="756"/>
      <c r="Q49" s="281"/>
      <c r="R49" s="514"/>
      <c r="S49" s="565" t="s">
        <v>5445</v>
      </c>
      <c r="T49" s="613" t="s">
        <v>5445</v>
      </c>
      <c r="U49" s="954" t="s">
        <v>5445</v>
      </c>
      <c r="V49" s="225"/>
      <c r="W49" s="225"/>
      <c r="X49" s="163"/>
    </row>
    <row r="50" spans="2:24">
      <c r="B50" s="141"/>
      <c r="C50" s="210"/>
      <c r="D50" s="163"/>
      <c r="E50" s="210"/>
      <c r="F50" s="211"/>
      <c r="G50" s="211"/>
      <c r="H50" s="212"/>
      <c r="I50" s="213"/>
      <c r="J50" s="951"/>
      <c r="K50" s="952"/>
      <c r="L50" s="953"/>
      <c r="M50" s="520"/>
      <c r="N50" s="755"/>
      <c r="O50" s="828"/>
      <c r="P50" s="756"/>
      <c r="Q50" s="281"/>
      <c r="R50" s="514"/>
      <c r="S50" s="565" t="s">
        <v>5445</v>
      </c>
      <c r="T50" s="613" t="s">
        <v>5445</v>
      </c>
      <c r="U50" s="954" t="s">
        <v>5445</v>
      </c>
      <c r="V50" s="225"/>
      <c r="W50" s="225"/>
      <c r="X50" s="163"/>
    </row>
    <row r="51" spans="2:24">
      <c r="B51" s="141"/>
      <c r="C51" s="210"/>
      <c r="D51" s="163"/>
      <c r="E51" s="210"/>
      <c r="F51" s="211"/>
      <c r="G51" s="211"/>
      <c r="H51" s="212"/>
      <c r="I51" s="213"/>
      <c r="J51" s="951"/>
      <c r="K51" s="952"/>
      <c r="L51" s="953"/>
      <c r="M51" s="520"/>
      <c r="N51" s="755"/>
      <c r="O51" s="828"/>
      <c r="P51" s="756"/>
      <c r="Q51" s="281"/>
      <c r="R51" s="514"/>
      <c r="S51" s="565"/>
      <c r="T51" s="613"/>
      <c r="U51" s="954"/>
      <c r="V51" s="225"/>
      <c r="W51" s="225"/>
      <c r="X51" s="163"/>
    </row>
    <row r="52" spans="2:24">
      <c r="B52" s="141"/>
      <c r="C52" s="210"/>
      <c r="D52" s="163"/>
      <c r="E52" s="210"/>
      <c r="F52" s="211"/>
      <c r="G52" s="211"/>
      <c r="H52" s="212"/>
      <c r="I52" s="213"/>
      <c r="J52" s="951"/>
      <c r="K52" s="952"/>
      <c r="L52" s="953"/>
      <c r="M52" s="754"/>
      <c r="N52" s="755"/>
      <c r="O52" s="828"/>
      <c r="P52" s="756"/>
      <c r="Q52" s="281"/>
      <c r="R52" s="514"/>
      <c r="S52" s="565"/>
      <c r="T52" s="613"/>
      <c r="U52" s="954"/>
      <c r="V52" s="225"/>
      <c r="W52" s="225"/>
      <c r="X52" s="163"/>
    </row>
    <row r="53" spans="2:24">
      <c r="B53" s="141"/>
      <c r="C53" s="210"/>
      <c r="D53" s="163"/>
      <c r="E53" s="210"/>
      <c r="F53" s="211"/>
      <c r="G53" s="211"/>
      <c r="H53" s="212"/>
      <c r="I53" s="213"/>
      <c r="J53" s="259"/>
      <c r="K53" s="288"/>
      <c r="L53" s="289"/>
      <c r="M53" s="290"/>
      <c r="N53" s="291"/>
      <c r="O53" s="292"/>
      <c r="P53" s="263"/>
      <c r="Q53" s="264"/>
      <c r="R53" s="515"/>
      <c r="S53" s="559"/>
      <c r="T53" s="547"/>
      <c r="U53" s="548"/>
      <c r="V53" s="225"/>
      <c r="W53" s="225"/>
      <c r="X53" s="163"/>
    </row>
    <row r="54" spans="2:24" ht="13.8" thickBot="1">
      <c r="B54" s="141"/>
      <c r="C54" s="210"/>
      <c r="D54" s="163"/>
      <c r="E54" s="210"/>
      <c r="F54" s="211"/>
      <c r="G54" s="211"/>
      <c r="H54" s="212"/>
      <c r="I54" s="293" t="s">
        <v>4865</v>
      </c>
      <c r="J54" s="267"/>
      <c r="K54" s="294"/>
      <c r="L54" s="295"/>
      <c r="M54" s="270"/>
      <c r="N54" s="296"/>
      <c r="O54" s="297"/>
      <c r="P54" s="298"/>
      <c r="Q54" s="299">
        <f>SUM(Q46:Q53)</f>
        <v>0</v>
      </c>
      <c r="R54" s="516">
        <f>SUM(R46:R53)</f>
        <v>0</v>
      </c>
      <c r="S54" s="560"/>
      <c r="T54" s="541">
        <f>SUM(T46:T53)</f>
        <v>174382</v>
      </c>
      <c r="U54" s="542">
        <f>SUM(U46:U53)</f>
        <v>211002.22</v>
      </c>
      <c r="V54" s="225"/>
      <c r="W54" s="225"/>
      <c r="X54" s="163"/>
    </row>
    <row r="55" spans="2:24" ht="13.8" thickBot="1">
      <c r="B55" s="172" t="s">
        <v>5095</v>
      </c>
      <c r="C55" s="192" t="s">
        <v>5098</v>
      </c>
      <c r="D55" s="242">
        <v>24207519</v>
      </c>
      <c r="E55" s="278" t="s">
        <v>5180</v>
      </c>
      <c r="F55" s="194">
        <f>26191541.32/121*100</f>
        <v>21645901.91735537</v>
      </c>
      <c r="G55" s="195">
        <v>26191541.32</v>
      </c>
      <c r="H55" s="196">
        <v>46721</v>
      </c>
      <c r="I55" s="197"/>
      <c r="J55" s="249"/>
      <c r="K55" s="279"/>
      <c r="L55" s="280"/>
      <c r="M55" s="302"/>
      <c r="N55" s="217"/>
      <c r="O55" s="218"/>
      <c r="P55" s="219">
        <v>45627</v>
      </c>
      <c r="Q55" s="205">
        <v>7215300.6399999997</v>
      </c>
      <c r="R55" s="315">
        <v>8730513.7699999996</v>
      </c>
      <c r="S55" s="570"/>
      <c r="T55" s="543"/>
      <c r="U55" s="614"/>
      <c r="V55" s="304">
        <f>SUM(F55-Q63)</f>
        <v>14430601.277355369</v>
      </c>
      <c r="W55" s="305">
        <f>SUM(G55-R63)</f>
        <v>17461027.550000001</v>
      </c>
      <c r="X55" s="163"/>
    </row>
    <row r="56" spans="2:24">
      <c r="B56" s="209"/>
      <c r="C56" s="210"/>
      <c r="D56" s="163"/>
      <c r="E56" s="316"/>
      <c r="F56" s="211"/>
      <c r="G56" s="211"/>
      <c r="H56" s="212"/>
      <c r="I56" s="213"/>
      <c r="J56" s="249"/>
      <c r="K56" s="279"/>
      <c r="L56" s="280"/>
      <c r="M56" s="302"/>
      <c r="N56" s="217"/>
      <c r="O56" s="218"/>
      <c r="P56" s="219"/>
      <c r="Q56" s="205"/>
      <c r="R56" s="315"/>
      <c r="S56" s="570"/>
      <c r="T56" s="543"/>
      <c r="U56" s="525"/>
      <c r="V56" s="221"/>
      <c r="W56" s="221"/>
      <c r="X56" s="163"/>
    </row>
    <row r="57" spans="2:24">
      <c r="B57" s="141"/>
      <c r="C57" s="210"/>
      <c r="D57" s="163"/>
      <c r="E57" s="316"/>
      <c r="F57" s="211"/>
      <c r="G57" s="211"/>
      <c r="H57" s="212"/>
      <c r="I57" s="213"/>
      <c r="J57" s="233"/>
      <c r="K57" s="282"/>
      <c r="L57" s="283"/>
      <c r="M57" s="284"/>
      <c r="N57" s="285"/>
      <c r="O57" s="286"/>
      <c r="P57" s="287"/>
      <c r="Q57" s="256"/>
      <c r="R57" s="519"/>
      <c r="S57" s="578"/>
      <c r="T57" s="545"/>
      <c r="U57" s="615"/>
      <c r="V57" s="225"/>
      <c r="W57" s="225"/>
      <c r="X57" s="163"/>
    </row>
    <row r="58" spans="2:24">
      <c r="B58" s="141"/>
      <c r="C58" s="210"/>
      <c r="D58" s="163"/>
      <c r="E58" s="316"/>
      <c r="F58" s="211"/>
      <c r="G58" s="211"/>
      <c r="H58" s="212"/>
      <c r="I58" s="213"/>
      <c r="J58" s="259"/>
      <c r="K58" s="288"/>
      <c r="L58" s="289"/>
      <c r="M58" s="290"/>
      <c r="N58" s="291"/>
      <c r="O58" s="292"/>
      <c r="P58" s="319"/>
      <c r="Q58" s="264"/>
      <c r="R58" s="554"/>
      <c r="S58" s="565"/>
      <c r="T58" s="547"/>
      <c r="U58" s="616"/>
      <c r="V58" s="225"/>
      <c r="W58" s="225"/>
      <c r="X58" s="163"/>
    </row>
    <row r="59" spans="2:24">
      <c r="B59" s="141"/>
      <c r="C59" s="210"/>
      <c r="D59" s="163"/>
      <c r="E59" s="316"/>
      <c r="F59" s="211"/>
      <c r="G59" s="211"/>
      <c r="H59" s="212"/>
      <c r="I59" s="213"/>
      <c r="J59" s="259"/>
      <c r="K59" s="288"/>
      <c r="L59" s="289"/>
      <c r="M59" s="290"/>
      <c r="N59" s="291"/>
      <c r="O59" s="292"/>
      <c r="P59" s="319"/>
      <c r="Q59" s="264"/>
      <c r="R59" s="320"/>
      <c r="S59" s="566"/>
      <c r="T59" s="547"/>
      <c r="U59" s="616"/>
      <c r="V59" s="225"/>
      <c r="W59" s="225"/>
      <c r="X59" s="163"/>
    </row>
    <row r="60" spans="2:24">
      <c r="B60" s="141"/>
      <c r="C60" s="210"/>
      <c r="D60" s="163"/>
      <c r="E60" s="316"/>
      <c r="F60" s="211"/>
      <c r="G60" s="211"/>
      <c r="H60" s="212"/>
      <c r="I60" s="213"/>
      <c r="J60" s="259"/>
      <c r="K60" s="288"/>
      <c r="L60" s="289"/>
      <c r="M60" s="290"/>
      <c r="N60" s="291"/>
      <c r="O60" s="292"/>
      <c r="P60" s="319"/>
      <c r="Q60" s="264"/>
      <c r="R60" s="320"/>
      <c r="S60" s="566"/>
      <c r="T60" s="547"/>
      <c r="U60" s="616"/>
      <c r="V60" s="225"/>
      <c r="W60" s="225"/>
      <c r="X60" s="163"/>
    </row>
    <row r="61" spans="2:24">
      <c r="B61" s="141"/>
      <c r="C61" s="210"/>
      <c r="D61" s="163"/>
      <c r="E61" s="316"/>
      <c r="F61" s="211"/>
      <c r="G61" s="211"/>
      <c r="H61" s="212"/>
      <c r="I61" s="213"/>
      <c r="J61" s="259"/>
      <c r="K61" s="288"/>
      <c r="L61" s="289"/>
      <c r="M61" s="290"/>
      <c r="N61" s="291"/>
      <c r="O61" s="292"/>
      <c r="P61" s="319"/>
      <c r="Q61" s="264"/>
      <c r="R61" s="320"/>
      <c r="S61" s="566"/>
      <c r="T61" s="547"/>
      <c r="U61" s="616"/>
      <c r="V61" s="225"/>
      <c r="W61" s="225"/>
      <c r="X61" s="163"/>
    </row>
    <row r="62" spans="2:24">
      <c r="B62" s="141"/>
      <c r="C62" s="210"/>
      <c r="D62" s="163"/>
      <c r="E62" s="316"/>
      <c r="F62" s="211"/>
      <c r="G62" s="211"/>
      <c r="H62" s="212"/>
      <c r="I62" s="213"/>
      <c r="J62" s="259"/>
      <c r="K62" s="288"/>
      <c r="L62" s="289"/>
      <c r="M62" s="290"/>
      <c r="N62" s="291"/>
      <c r="O62" s="292"/>
      <c r="P62" s="263"/>
      <c r="Q62" s="264"/>
      <c r="R62" s="265"/>
      <c r="S62" s="539"/>
      <c r="T62" s="547"/>
      <c r="U62" s="548"/>
    </row>
    <row r="63" spans="2:24" ht="13.8" thickBot="1">
      <c r="B63" s="141"/>
      <c r="C63" s="210"/>
      <c r="D63" s="163"/>
      <c r="E63" s="316"/>
      <c r="F63" s="211"/>
      <c r="G63" s="211"/>
      <c r="H63" s="212"/>
      <c r="I63" s="293" t="s">
        <v>4865</v>
      </c>
      <c r="J63" s="267"/>
      <c r="K63" s="294"/>
      <c r="L63" s="295"/>
      <c r="M63" s="270"/>
      <c r="N63" s="321"/>
      <c r="O63" s="322"/>
      <c r="P63" s="298"/>
      <c r="Q63" s="299">
        <v>7215300.6399999997</v>
      </c>
      <c r="R63" s="300">
        <f>SUM(R55:R62)</f>
        <v>8730513.7699999996</v>
      </c>
      <c r="S63" s="540"/>
      <c r="T63" s="541"/>
      <c r="U63" s="542"/>
    </row>
    <row r="64" spans="2:24" ht="13.8" thickBot="1">
      <c r="B64" s="172" t="s">
        <v>5461</v>
      </c>
      <c r="C64" s="192" t="s">
        <v>5318</v>
      </c>
      <c r="D64" s="242">
        <v>24207519</v>
      </c>
      <c r="E64" s="278" t="s">
        <v>5180</v>
      </c>
      <c r="F64" s="194">
        <f>26191541.32/121*100</f>
        <v>21645901.91735537</v>
      </c>
      <c r="G64" s="195">
        <v>26191541.32</v>
      </c>
      <c r="H64" s="196">
        <v>46721</v>
      </c>
      <c r="I64" s="197"/>
      <c r="J64" s="249"/>
      <c r="K64" s="279"/>
      <c r="L64" s="280"/>
      <c r="M64" s="302"/>
      <c r="N64" s="217"/>
      <c r="O64" s="218"/>
      <c r="P64" s="219"/>
      <c r="Q64" s="205"/>
      <c r="R64" s="315"/>
      <c r="S64" s="570">
        <v>45667</v>
      </c>
      <c r="T64" s="543">
        <v>7215300.6399999997</v>
      </c>
      <c r="U64" s="614">
        <v>8730513.7699999996</v>
      </c>
      <c r="V64" s="304">
        <f>SUM(F64-Q72-T72)</f>
        <v>7738942.4922314025</v>
      </c>
      <c r="W64" s="305">
        <f>SUM(G64-R72-U72)</f>
        <v>9364120.4200000018</v>
      </c>
      <c r="X64" s="163"/>
    </row>
    <row r="65" spans="2:24">
      <c r="B65" s="209"/>
      <c r="C65" s="210"/>
      <c r="D65" s="163"/>
      <c r="E65" s="316"/>
      <c r="F65" s="211"/>
      <c r="G65" s="211"/>
      <c r="H65" s="212"/>
      <c r="I65" s="213"/>
      <c r="J65" s="249"/>
      <c r="K65" s="279"/>
      <c r="L65" s="280"/>
      <c r="M65" s="302"/>
      <c r="N65" s="217"/>
      <c r="O65" s="218"/>
      <c r="P65" s="219"/>
      <c r="Q65" s="205"/>
      <c r="R65" s="315"/>
      <c r="S65" s="1092">
        <v>45991</v>
      </c>
      <c r="T65" s="752">
        <f>U65*100/121</f>
        <v>6602494.2809917359</v>
      </c>
      <c r="U65" s="1093">
        <v>7989018.0800000001</v>
      </c>
      <c r="V65" s="221"/>
      <c r="W65" s="221"/>
      <c r="X65" s="163"/>
    </row>
    <row r="66" spans="2:24">
      <c r="B66" s="141"/>
      <c r="C66" s="210"/>
      <c r="D66" s="163"/>
      <c r="E66" s="316"/>
      <c r="F66" s="211"/>
      <c r="G66" s="211"/>
      <c r="H66" s="212"/>
      <c r="I66" s="213"/>
      <c r="J66" s="233"/>
      <c r="K66" s="282"/>
      <c r="L66" s="283"/>
      <c r="M66" s="284"/>
      <c r="N66" s="285"/>
      <c r="O66" s="286"/>
      <c r="P66" s="287"/>
      <c r="Q66" s="256"/>
      <c r="R66" s="519"/>
      <c r="S66" s="578">
        <v>46022</v>
      </c>
      <c r="T66" s="752">
        <f>U66*100/121</f>
        <v>89164.504132231406</v>
      </c>
      <c r="U66" s="615">
        <v>107889.05</v>
      </c>
      <c r="V66" s="225"/>
      <c r="W66" s="225"/>
      <c r="X66" s="163"/>
    </row>
    <row r="67" spans="2:24">
      <c r="B67" s="141"/>
      <c r="C67" s="210"/>
      <c r="D67" s="163"/>
      <c r="E67" s="316"/>
      <c r="F67" s="211"/>
      <c r="G67" s="211"/>
      <c r="H67" s="212"/>
      <c r="I67" s="213"/>
      <c r="J67" s="259"/>
      <c r="K67" s="288"/>
      <c r="L67" s="289"/>
      <c r="M67" s="290"/>
      <c r="N67" s="291"/>
      <c r="O67" s="292"/>
      <c r="P67" s="319"/>
      <c r="Q67" s="264"/>
      <c r="R67" s="554"/>
      <c r="S67" s="565"/>
      <c r="T67" s="547"/>
      <c r="U67" s="616"/>
      <c r="V67" s="225"/>
      <c r="W67" s="225"/>
      <c r="X67" s="163"/>
    </row>
    <row r="68" spans="2:24">
      <c r="B68" s="141"/>
      <c r="C68" s="210"/>
      <c r="D68" s="163"/>
      <c r="E68" s="316"/>
      <c r="F68" s="211"/>
      <c r="G68" s="211"/>
      <c r="H68" s="212"/>
      <c r="I68" s="213"/>
      <c r="J68" s="259"/>
      <c r="K68" s="288"/>
      <c r="L68" s="289"/>
      <c r="M68" s="290"/>
      <c r="N68" s="291"/>
      <c r="O68" s="292"/>
      <c r="P68" s="319"/>
      <c r="Q68" s="264"/>
      <c r="R68" s="320"/>
      <c r="S68" s="566"/>
      <c r="T68" s="547"/>
      <c r="U68" s="616"/>
      <c r="V68" s="225"/>
      <c r="W68" s="225"/>
      <c r="X68" s="163"/>
    </row>
    <row r="69" spans="2:24">
      <c r="B69" s="141"/>
      <c r="C69" s="210"/>
      <c r="D69" s="163"/>
      <c r="E69" s="316"/>
      <c r="F69" s="211"/>
      <c r="G69" s="211"/>
      <c r="H69" s="212"/>
      <c r="I69" s="213"/>
      <c r="J69" s="259"/>
      <c r="K69" s="288"/>
      <c r="L69" s="289"/>
      <c r="M69" s="290"/>
      <c r="N69" s="291"/>
      <c r="O69" s="292"/>
      <c r="P69" s="319"/>
      <c r="Q69" s="264"/>
      <c r="R69" s="320"/>
      <c r="S69" s="566"/>
      <c r="T69" s="547"/>
      <c r="U69" s="616"/>
      <c r="V69" s="225"/>
      <c r="W69" s="225"/>
      <c r="X69" s="163"/>
    </row>
    <row r="70" spans="2:24">
      <c r="B70" s="141"/>
      <c r="C70" s="210"/>
      <c r="D70" s="163"/>
      <c r="E70" s="316"/>
      <c r="F70" s="211"/>
      <c r="G70" s="211"/>
      <c r="H70" s="212"/>
      <c r="I70" s="213"/>
      <c r="J70" s="259"/>
      <c r="K70" s="288"/>
      <c r="L70" s="289"/>
      <c r="M70" s="290"/>
      <c r="N70" s="291"/>
      <c r="O70" s="292"/>
      <c r="P70" s="319"/>
      <c r="Q70" s="264"/>
      <c r="R70" s="320"/>
      <c r="S70" s="566"/>
      <c r="T70" s="547"/>
      <c r="U70" s="616"/>
      <c r="V70" s="225"/>
      <c r="W70" s="225"/>
      <c r="X70" s="163"/>
    </row>
    <row r="71" spans="2:24">
      <c r="B71" s="141"/>
      <c r="C71" s="210"/>
      <c r="D71" s="163"/>
      <c r="E71" s="316"/>
      <c r="F71" s="211"/>
      <c r="G71" s="211"/>
      <c r="H71" s="212"/>
      <c r="I71" s="213"/>
      <c r="J71" s="259"/>
      <c r="K71" s="288"/>
      <c r="L71" s="289"/>
      <c r="M71" s="290"/>
      <c r="N71" s="291"/>
      <c r="O71" s="292"/>
      <c r="P71" s="263"/>
      <c r="Q71" s="264"/>
      <c r="R71" s="265"/>
      <c r="S71" s="539"/>
      <c r="T71" s="547"/>
      <c r="U71" s="548"/>
    </row>
    <row r="72" spans="2:24" ht="13.8" thickBot="1">
      <c r="B72" s="141"/>
      <c r="C72" s="210"/>
      <c r="D72" s="163"/>
      <c r="E72" s="316"/>
      <c r="F72" s="211"/>
      <c r="G72" s="211"/>
      <c r="H72" s="212"/>
      <c r="I72" s="293" t="s">
        <v>4865</v>
      </c>
      <c r="J72" s="267"/>
      <c r="K72" s="294"/>
      <c r="L72" s="295"/>
      <c r="M72" s="270"/>
      <c r="N72" s="321"/>
      <c r="O72" s="322"/>
      <c r="P72" s="298"/>
      <c r="Q72" s="299"/>
      <c r="R72" s="300"/>
      <c r="S72" s="540"/>
      <c r="T72" s="541">
        <f>SUM(T64:T71)</f>
        <v>13906959.425123967</v>
      </c>
      <c r="U72" s="542">
        <f>SUM(U64:U71)</f>
        <v>16827420.899999999</v>
      </c>
    </row>
    <row r="86" spans="2:24" ht="13.8" thickBot="1"/>
    <row r="87" spans="2:24" s="96" customFormat="1" ht="14.4" thickBot="1">
      <c r="B87" s="1730" t="s">
        <v>5976</v>
      </c>
      <c r="C87" s="1731"/>
      <c r="D87" s="1731"/>
      <c r="E87" s="1731"/>
      <c r="F87" s="1732"/>
    </row>
    <row r="89" spans="2:24" ht="13.8" thickBot="1"/>
    <row r="90" spans="2:24" ht="13.8" thickBot="1">
      <c r="B90" s="1011" t="s">
        <v>4824</v>
      </c>
      <c r="C90" s="1012" t="s">
        <v>4827</v>
      </c>
      <c r="D90" s="1013">
        <v>4896661</v>
      </c>
      <c r="E90" s="1014" t="s">
        <v>4032</v>
      </c>
      <c r="F90" s="1015">
        <v>1035000</v>
      </c>
      <c r="G90" s="1016">
        <v>1252350</v>
      </c>
      <c r="H90" s="1017">
        <v>46568</v>
      </c>
      <c r="I90" s="1124"/>
      <c r="J90" s="1253"/>
      <c r="K90" s="1126"/>
      <c r="L90" s="1127"/>
      <c r="M90" s="1125"/>
      <c r="N90" s="1126"/>
      <c r="O90" s="1127"/>
      <c r="P90" s="1125">
        <v>45618</v>
      </c>
      <c r="Q90" s="1126">
        <v>206625</v>
      </c>
      <c r="R90" s="1129">
        <v>250016.25</v>
      </c>
      <c r="S90" s="1130">
        <v>45670</v>
      </c>
      <c r="T90" s="1254">
        <f>287291.81/121*100</f>
        <v>237431.2479338843</v>
      </c>
      <c r="U90" s="1127">
        <v>287291.81</v>
      </c>
      <c r="V90" s="1132">
        <f>SUM(F90-Q98-T98)</f>
        <v>6218.8099173553055</v>
      </c>
      <c r="W90" s="1133">
        <f>SUM(G90-R98-U98)</f>
        <v>7524.7599999998929</v>
      </c>
      <c r="X90" s="163"/>
    </row>
    <row r="91" spans="2:24">
      <c r="B91" s="1237"/>
      <c r="C91" s="1134"/>
      <c r="D91" s="1135"/>
      <c r="E91" s="1134"/>
      <c r="F91" s="1136"/>
      <c r="G91" s="1136"/>
      <c r="H91" s="1137"/>
      <c r="I91" s="1138"/>
      <c r="J91" s="1255"/>
      <c r="K91" s="1140"/>
      <c r="L91" s="1141"/>
      <c r="M91" s="1139"/>
      <c r="N91" s="1140"/>
      <c r="O91" s="1141"/>
      <c r="P91" s="1139">
        <v>45631</v>
      </c>
      <c r="Q91" s="1145">
        <f>162548.38/121*100</f>
        <v>134337.50413223141</v>
      </c>
      <c r="R91" s="1143">
        <v>162548.38</v>
      </c>
      <c r="S91" s="1152">
        <v>45686</v>
      </c>
      <c r="T91" s="1256">
        <f>245595.97/121*100</f>
        <v>202971.87603305787</v>
      </c>
      <c r="U91" s="1141">
        <v>245595.97</v>
      </c>
      <c r="V91" s="1238"/>
      <c r="W91" s="1238"/>
      <c r="X91" s="163"/>
    </row>
    <row r="92" spans="2:24">
      <c r="B92" s="1257" t="s">
        <v>5881</v>
      </c>
      <c r="C92" s="1134"/>
      <c r="D92" s="1135"/>
      <c r="E92" s="1134"/>
      <c r="F92" s="1136"/>
      <c r="G92" s="1136"/>
      <c r="H92" s="1137"/>
      <c r="I92" s="1138"/>
      <c r="J92" s="1258"/>
      <c r="K92" s="1145"/>
      <c r="L92" s="1259"/>
      <c r="M92" s="1201"/>
      <c r="N92" s="1145"/>
      <c r="O92" s="1259"/>
      <c r="P92" s="1201"/>
      <c r="Q92" s="1145"/>
      <c r="R92" s="1151"/>
      <c r="S92" s="1152">
        <v>45716</v>
      </c>
      <c r="T92" s="1145">
        <v>30125</v>
      </c>
      <c r="U92" s="1141">
        <v>36451.25</v>
      </c>
      <c r="V92" s="1148"/>
      <c r="W92" s="1148"/>
      <c r="X92" s="163"/>
    </row>
    <row r="93" spans="2:24">
      <c r="B93" s="1149"/>
      <c r="C93" s="1134"/>
      <c r="D93" s="1135"/>
      <c r="E93" s="1134"/>
      <c r="F93" s="1136"/>
      <c r="G93" s="1136"/>
      <c r="H93" s="1137"/>
      <c r="I93" s="1138"/>
      <c r="J93" s="1258"/>
      <c r="K93" s="1145"/>
      <c r="L93" s="1259"/>
      <c r="M93" s="1201"/>
      <c r="N93" s="1145"/>
      <c r="O93" s="1259"/>
      <c r="P93" s="1201"/>
      <c r="Q93" s="1145"/>
      <c r="R93" s="1151"/>
      <c r="S93" s="1144">
        <v>45755</v>
      </c>
      <c r="T93" s="1145">
        <f>U93*100/121</f>
        <v>165166.87603305784</v>
      </c>
      <c r="U93" s="1259">
        <v>199851.92</v>
      </c>
      <c r="V93" s="1148"/>
      <c r="W93" s="1148"/>
      <c r="X93" s="163"/>
    </row>
    <row r="94" spans="2:24">
      <c r="B94" s="1149"/>
      <c r="C94" s="1134"/>
      <c r="D94" s="1135"/>
      <c r="E94" s="1134"/>
      <c r="F94" s="1136"/>
      <c r="G94" s="1136"/>
      <c r="H94" s="1137"/>
      <c r="I94" s="1138"/>
      <c r="J94" s="1258"/>
      <c r="K94" s="1145"/>
      <c r="L94" s="1259"/>
      <c r="M94" s="1201"/>
      <c r="N94" s="1145"/>
      <c r="O94" s="1259"/>
      <c r="P94" s="1201"/>
      <c r="Q94" s="1145"/>
      <c r="R94" s="1151"/>
      <c r="S94" s="1144">
        <v>45777</v>
      </c>
      <c r="T94" s="1145">
        <f>U94*100/121</f>
        <v>52123.685950413223</v>
      </c>
      <c r="U94" s="1259">
        <v>63069.66</v>
      </c>
      <c r="V94" s="1148"/>
      <c r="W94" s="1148"/>
      <c r="X94" s="163"/>
    </row>
    <row r="95" spans="2:24">
      <c r="B95" s="1149"/>
      <c r="C95" s="1134"/>
      <c r="D95" s="1135"/>
      <c r="E95" s="1134"/>
      <c r="F95" s="1136"/>
      <c r="G95" s="1136"/>
      <c r="H95" s="1137"/>
      <c r="I95" s="1138"/>
      <c r="J95" s="1258"/>
      <c r="K95" s="1145"/>
      <c r="L95" s="1259"/>
      <c r="M95" s="1201"/>
      <c r="N95" s="1145"/>
      <c r="O95" s="1259"/>
      <c r="P95" s="1201"/>
      <c r="Q95" s="1145"/>
      <c r="R95" s="1151"/>
      <c r="S95" s="1144"/>
      <c r="T95" s="1145"/>
      <c r="U95" s="1259"/>
      <c r="V95" s="1148"/>
      <c r="W95" s="1148"/>
      <c r="X95" s="163"/>
    </row>
    <row r="96" spans="2:24">
      <c r="B96" s="1149"/>
      <c r="C96" s="1134"/>
      <c r="D96" s="1135"/>
      <c r="E96" s="1134"/>
      <c r="F96" s="1136"/>
      <c r="G96" s="1136"/>
      <c r="H96" s="1137"/>
      <c r="I96" s="1138"/>
      <c r="J96" s="1258"/>
      <c r="K96" s="1145"/>
      <c r="L96" s="1259"/>
      <c r="M96" s="1260"/>
      <c r="N96" s="1145"/>
      <c r="O96" s="1259"/>
      <c r="P96" s="1201"/>
      <c r="Q96" s="1145"/>
      <c r="R96" s="1151"/>
      <c r="S96" s="1144"/>
      <c r="T96" s="1145"/>
      <c r="U96" s="1259"/>
      <c r="V96" s="1148"/>
      <c r="W96" s="1148"/>
      <c r="X96" s="163"/>
    </row>
    <row r="97" spans="2:24">
      <c r="B97" s="1149"/>
      <c r="C97" s="1134"/>
      <c r="D97" s="1135"/>
      <c r="E97" s="1134"/>
      <c r="F97" s="1136"/>
      <c r="G97" s="1136"/>
      <c r="H97" s="1137"/>
      <c r="I97" s="1138"/>
      <c r="J97" s="1157"/>
      <c r="K97" s="1158"/>
      <c r="L97" s="1261"/>
      <c r="M97" s="1157"/>
      <c r="N97" s="1158"/>
      <c r="O97" s="1261"/>
      <c r="P97" s="1157"/>
      <c r="Q97" s="1158"/>
      <c r="R97" s="1159"/>
      <c r="S97" s="1262"/>
      <c r="T97" s="1158"/>
      <c r="U97" s="1261"/>
      <c r="V97" s="1148"/>
      <c r="W97" s="1148"/>
      <c r="X97" s="163"/>
    </row>
    <row r="98" spans="2:24" ht="13.8" thickBot="1">
      <c r="B98" s="1149"/>
      <c r="C98" s="1134"/>
      <c r="D98" s="1135"/>
      <c r="E98" s="1134"/>
      <c r="F98" s="1136"/>
      <c r="G98" s="1136"/>
      <c r="H98" s="1137"/>
      <c r="I98" s="1203" t="s">
        <v>4865</v>
      </c>
      <c r="J98" s="1167"/>
      <c r="K98" s="1263"/>
      <c r="L98" s="1264"/>
      <c r="M98" s="1167"/>
      <c r="N98" s="1171"/>
      <c r="O98" s="1233"/>
      <c r="P98" s="1167"/>
      <c r="Q98" s="1171">
        <f>SUM(Q90:Q97)</f>
        <v>340962.50413223141</v>
      </c>
      <c r="R98" s="1172">
        <f>SUM(R90:R97)</f>
        <v>412564.63</v>
      </c>
      <c r="S98" s="1170"/>
      <c r="T98" s="1171">
        <f>SUM(T90:T97)</f>
        <v>687818.68595041323</v>
      </c>
      <c r="U98" s="1233">
        <f>SUM(U90:U97)</f>
        <v>832260.6100000001</v>
      </c>
      <c r="V98" s="1148"/>
      <c r="W98" s="1148"/>
      <c r="X98" s="163"/>
    </row>
    <row r="99" spans="2:24" ht="13.8" thickBot="1">
      <c r="B99" s="1011" t="s">
        <v>670</v>
      </c>
      <c r="C99" s="1012" t="s">
        <v>671</v>
      </c>
      <c r="D99" s="1013">
        <v>3150143</v>
      </c>
      <c r="E99" s="1014" t="s">
        <v>3731</v>
      </c>
      <c r="F99" s="1015">
        <v>249000</v>
      </c>
      <c r="G99" s="1016">
        <v>301290</v>
      </c>
      <c r="H99" s="1017">
        <v>46568</v>
      </c>
      <c r="I99" s="1192"/>
      <c r="J99" s="1352"/>
      <c r="K99" s="1126"/>
      <c r="L99" s="1127"/>
      <c r="M99" s="1352"/>
      <c r="N99" s="1126"/>
      <c r="O99" s="1127"/>
      <c r="P99" s="1125">
        <v>45568</v>
      </c>
      <c r="Q99" s="1126">
        <f>R99/1.21</f>
        <v>160000</v>
      </c>
      <c r="R99" s="1129">
        <v>193600</v>
      </c>
      <c r="S99" s="1130"/>
      <c r="T99" s="1126"/>
      <c r="U99" s="1127"/>
      <c r="V99" s="1353">
        <f>SUM(F99-Q104)</f>
        <v>0</v>
      </c>
      <c r="W99" s="1354">
        <f>SUM(G99-R104)</f>
        <v>0</v>
      </c>
      <c r="X99" s="163"/>
    </row>
    <row r="100" spans="2:24">
      <c r="B100" s="1237"/>
      <c r="C100" s="1134"/>
      <c r="D100" s="1135"/>
      <c r="E100" s="1355"/>
      <c r="F100" s="1136"/>
      <c r="G100" s="1136"/>
      <c r="H100" s="1137"/>
      <c r="I100" s="1163"/>
      <c r="J100" s="1255"/>
      <c r="K100" s="1140"/>
      <c r="L100" s="1141"/>
      <c r="M100" s="1255"/>
      <c r="N100" s="1140"/>
      <c r="O100" s="1141"/>
      <c r="P100" s="1139">
        <v>45607</v>
      </c>
      <c r="Q100" s="1140">
        <v>89000</v>
      </c>
      <c r="R100" s="1143">
        <v>107690</v>
      </c>
      <c r="S100" s="1152"/>
      <c r="T100" s="1140"/>
      <c r="U100" s="1143"/>
      <c r="V100" s="1356"/>
      <c r="W100" s="1357"/>
      <c r="X100" s="163"/>
    </row>
    <row r="101" spans="2:24">
      <c r="B101" s="1257" t="s">
        <v>5881</v>
      </c>
      <c r="C101" s="1134"/>
      <c r="D101" s="1135"/>
      <c r="E101" s="1355"/>
      <c r="F101" s="1136"/>
      <c r="G101" s="1136"/>
      <c r="H101" s="1137"/>
      <c r="I101" s="1138"/>
      <c r="J101" s="1255"/>
      <c r="K101" s="1140"/>
      <c r="L101" s="1141"/>
      <c r="M101" s="1255"/>
      <c r="N101" s="1140"/>
      <c r="O101" s="1141"/>
      <c r="P101" s="1139"/>
      <c r="Q101" s="1140"/>
      <c r="R101" s="1143"/>
      <c r="S101" s="1152"/>
      <c r="T101" s="1140"/>
      <c r="U101" s="1143"/>
      <c r="V101" s="1358"/>
      <c r="W101" s="1359"/>
      <c r="X101" s="163"/>
    </row>
    <row r="102" spans="2:24">
      <c r="B102" s="1149"/>
      <c r="C102" s="1134"/>
      <c r="D102" s="1135"/>
      <c r="E102" s="1355"/>
      <c r="F102" s="1136"/>
      <c r="G102" s="1136"/>
      <c r="H102" s="1137"/>
      <c r="I102" s="1138"/>
      <c r="J102" s="1255"/>
      <c r="K102" s="1140"/>
      <c r="L102" s="1141"/>
      <c r="M102" s="1255"/>
      <c r="N102" s="1140"/>
      <c r="O102" s="1141"/>
      <c r="P102" s="1139"/>
      <c r="Q102" s="1140"/>
      <c r="R102" s="1143"/>
      <c r="S102" s="1152"/>
      <c r="T102" s="1140"/>
      <c r="U102" s="1143"/>
      <c r="V102" s="1358"/>
      <c r="W102" s="1359"/>
      <c r="X102" s="163"/>
    </row>
    <row r="103" spans="2:24">
      <c r="B103" s="1149"/>
      <c r="C103" s="1134"/>
      <c r="D103" s="1135"/>
      <c r="E103" s="1134"/>
      <c r="F103" s="1136"/>
      <c r="G103" s="1136"/>
      <c r="H103" s="1137"/>
      <c r="I103" s="1138"/>
      <c r="J103" s="1255"/>
      <c r="K103" s="1140"/>
      <c r="L103" s="1141"/>
      <c r="M103" s="1255"/>
      <c r="N103" s="1140"/>
      <c r="O103" s="1141"/>
      <c r="P103" s="1139"/>
      <c r="Q103" s="1140"/>
      <c r="R103" s="1143"/>
      <c r="S103" s="1152"/>
      <c r="T103" s="1140"/>
      <c r="U103" s="1141"/>
      <c r="V103" s="1148"/>
      <c r="W103" s="1148"/>
      <c r="X103" s="163"/>
    </row>
    <row r="104" spans="2:24" ht="13.8" thickBot="1">
      <c r="B104" s="1149"/>
      <c r="C104" s="1134"/>
      <c r="D104" s="1135"/>
      <c r="E104" s="1134"/>
      <c r="F104" s="1136"/>
      <c r="G104" s="1136"/>
      <c r="H104" s="1137"/>
      <c r="I104" s="1166" t="s">
        <v>4865</v>
      </c>
      <c r="J104" s="1207"/>
      <c r="K104" s="1360"/>
      <c r="L104" s="1361"/>
      <c r="M104" s="1207"/>
      <c r="N104" s="1360"/>
      <c r="O104" s="1361"/>
      <c r="P104" s="1207"/>
      <c r="Q104" s="1208">
        <f>SUM(Q99:Q103)</f>
        <v>249000</v>
      </c>
      <c r="R104" s="1362">
        <f>SUM(R99:R103)</f>
        <v>301290</v>
      </c>
      <c r="S104" s="1363"/>
      <c r="T104" s="1208"/>
      <c r="U104" s="1209"/>
      <c r="V104" s="1176"/>
      <c r="W104" s="1176"/>
      <c r="X104" s="163"/>
    </row>
  </sheetData>
  <mergeCells count="6">
    <mergeCell ref="B87:F87"/>
    <mergeCell ref="J3:L3"/>
    <mergeCell ref="M3:O3"/>
    <mergeCell ref="P3:R3"/>
    <mergeCell ref="V3:W3"/>
    <mergeCell ref="S3:U3"/>
  </mergeCells>
  <phoneticPr fontId="46" type="noConversion"/>
  <pageMargins left="0.7" right="0.7" top="0.78740157499999996" bottom="0.78740157499999996" header="0.3" footer="0.3"/>
  <ignoredErrors>
    <ignoredError sqref="N6 N12 N24 Q6 Q19" formula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E066-D1AA-4F65-B283-5175213F6F28}">
  <sheetPr codeName="List9"/>
  <dimension ref="A2:T34"/>
  <sheetViews>
    <sheetView zoomScaleNormal="100" workbookViewId="0">
      <selection activeCell="F36" sqref="F36"/>
    </sheetView>
  </sheetViews>
  <sheetFormatPr defaultRowHeight="13.2"/>
  <cols>
    <col min="2" max="2" width="18" bestFit="1" customWidth="1"/>
    <col min="3" max="3" width="22.5546875" customWidth="1"/>
    <col min="4" max="4" width="9.6640625" bestFit="1" customWidth="1"/>
    <col min="5" max="5" width="25" bestFit="1" customWidth="1"/>
    <col min="6" max="6" width="16.6640625" customWidth="1"/>
    <col min="7" max="7" width="15.109375" customWidth="1"/>
    <col min="8" max="8" width="10.6640625" bestFit="1" customWidth="1"/>
    <col min="10" max="10" width="12.6640625" customWidth="1"/>
    <col min="11" max="11" width="13.109375" customWidth="1"/>
    <col min="12" max="12" width="12.6640625" customWidth="1"/>
    <col min="13" max="13" width="10.88671875" customWidth="1"/>
    <col min="14" max="14" width="14.88671875" bestFit="1" customWidth="1"/>
    <col min="15" max="15" width="15.33203125" bestFit="1" customWidth="1"/>
    <col min="16" max="16" width="11.88671875" customWidth="1"/>
    <col min="17" max="17" width="13.44140625" bestFit="1" customWidth="1"/>
    <col min="18" max="18" width="15" customWidth="1"/>
    <col min="19" max="20" width="14.88671875" bestFit="1" customWidth="1"/>
  </cols>
  <sheetData>
    <row r="2" spans="1:20" ht="13.8" thickBot="1"/>
    <row r="3" spans="1:20" ht="27" thickBot="1">
      <c r="B3" s="173" t="s">
        <v>4856</v>
      </c>
      <c r="C3" s="174" t="s">
        <v>4857</v>
      </c>
      <c r="D3" s="174" t="s">
        <v>3068</v>
      </c>
      <c r="E3" s="174" t="s">
        <v>4858</v>
      </c>
      <c r="F3" s="175" t="s">
        <v>4859</v>
      </c>
      <c r="G3" s="175" t="s">
        <v>4860</v>
      </c>
      <c r="H3" s="174" t="s">
        <v>4861</v>
      </c>
      <c r="I3" s="176"/>
      <c r="J3" s="1770">
        <v>2023</v>
      </c>
      <c r="K3" s="1763"/>
      <c r="L3" s="1764"/>
      <c r="M3" s="1765">
        <v>2024</v>
      </c>
      <c r="N3" s="1766"/>
      <c r="O3" s="1767"/>
      <c r="P3" s="1771">
        <v>2025</v>
      </c>
      <c r="Q3" s="1760"/>
      <c r="R3" s="1761"/>
      <c r="S3" s="1768" t="s">
        <v>4862</v>
      </c>
      <c r="T3" s="1769"/>
    </row>
    <row r="4" spans="1:20" ht="13.8" thickBot="1">
      <c r="B4" s="177"/>
      <c r="C4" s="163"/>
      <c r="D4" s="178"/>
      <c r="E4" s="163"/>
      <c r="F4" s="179"/>
      <c r="G4" s="179"/>
      <c r="H4" s="163"/>
      <c r="I4" s="180"/>
      <c r="J4" s="184"/>
      <c r="K4" s="185" t="s">
        <v>4863</v>
      </c>
      <c r="L4" s="186" t="s">
        <v>4864</v>
      </c>
      <c r="M4" s="187"/>
      <c r="N4" s="188" t="s">
        <v>4863</v>
      </c>
      <c r="O4" s="189" t="s">
        <v>4864</v>
      </c>
      <c r="P4" s="568"/>
      <c r="Q4" s="561" t="s">
        <v>4863</v>
      </c>
      <c r="R4" s="562" t="s">
        <v>4864</v>
      </c>
      <c r="S4" s="190" t="s">
        <v>4863</v>
      </c>
      <c r="T4" s="191" t="s">
        <v>4864</v>
      </c>
    </row>
    <row r="5" spans="1:20" ht="13.8" thickBot="1">
      <c r="A5">
        <v>1</v>
      </c>
      <c r="B5" s="172" t="s">
        <v>913</v>
      </c>
      <c r="C5" s="192" t="s">
        <v>912</v>
      </c>
      <c r="D5" s="178">
        <v>27190935</v>
      </c>
      <c r="E5" s="193" t="s">
        <v>3467</v>
      </c>
      <c r="F5" s="194">
        <v>650000</v>
      </c>
      <c r="G5" s="195">
        <v>786500</v>
      </c>
      <c r="H5" s="1265">
        <v>46039</v>
      </c>
      <c r="I5" s="197"/>
      <c r="J5" s="201"/>
      <c r="K5" s="202"/>
      <c r="L5" s="203"/>
      <c r="M5" s="204">
        <v>45379</v>
      </c>
      <c r="N5" s="205">
        <f>26468.51*100/121</f>
        <v>21874.801652892562</v>
      </c>
      <c r="O5" s="513">
        <v>26468.51</v>
      </c>
      <c r="P5" s="569">
        <v>45751</v>
      </c>
      <c r="Q5" s="563">
        <f>R5*100/121</f>
        <v>49130</v>
      </c>
      <c r="R5" s="564">
        <v>59447.3</v>
      </c>
      <c r="S5" s="207">
        <f>SUM(F5-N11-Q11)</f>
        <v>37021.198347107391</v>
      </c>
      <c r="T5" s="208">
        <f>SUM(G5-O11-R11)</f>
        <v>44795.650000000023</v>
      </c>
    </row>
    <row r="6" spans="1:20">
      <c r="B6" s="209"/>
      <c r="C6" s="210"/>
      <c r="D6" s="163"/>
      <c r="E6" s="210"/>
      <c r="F6" s="211"/>
      <c r="G6" s="211"/>
      <c r="H6" s="212"/>
      <c r="I6" s="213"/>
      <c r="J6" s="216"/>
      <c r="K6" s="217"/>
      <c r="L6" s="218"/>
      <c r="M6" s="219">
        <v>45379</v>
      </c>
      <c r="N6" s="205">
        <f>27530.52*100/121</f>
        <v>22752.495867768594</v>
      </c>
      <c r="O6" s="303">
        <v>27530.52</v>
      </c>
      <c r="P6" s="570">
        <v>45833</v>
      </c>
      <c r="Q6" s="543">
        <f>R6*100/121</f>
        <v>96105</v>
      </c>
      <c r="R6" s="544">
        <v>116287.05</v>
      </c>
      <c r="S6" s="221"/>
      <c r="T6" s="221"/>
    </row>
    <row r="7" spans="1:20">
      <c r="B7" s="141"/>
      <c r="C7" s="210"/>
      <c r="D7" s="163"/>
      <c r="E7" s="210"/>
      <c r="F7" s="211"/>
      <c r="G7" s="211"/>
      <c r="H7" s="212"/>
      <c r="I7" s="213"/>
      <c r="J7" s="222"/>
      <c r="K7" s="223"/>
      <c r="L7" s="224"/>
      <c r="M7" s="219">
        <v>45474</v>
      </c>
      <c r="N7" s="205">
        <f>39466.57*100/121</f>
        <v>32617</v>
      </c>
      <c r="O7" s="303">
        <v>39466.57</v>
      </c>
      <c r="P7" s="570">
        <v>45911</v>
      </c>
      <c r="Q7" s="543">
        <f>R7*100/121</f>
        <v>267440.00000000006</v>
      </c>
      <c r="R7" s="544">
        <v>323602.40000000002</v>
      </c>
      <c r="S7" s="225"/>
      <c r="T7" s="225"/>
    </row>
    <row r="8" spans="1:20">
      <c r="B8" s="141"/>
      <c r="C8" s="210"/>
      <c r="D8" s="163"/>
      <c r="E8" s="210"/>
      <c r="F8" s="211"/>
      <c r="G8" s="211"/>
      <c r="H8" s="212"/>
      <c r="I8" s="213"/>
      <c r="J8" s="222"/>
      <c r="K8" s="223"/>
      <c r="L8" s="224"/>
      <c r="M8" s="219">
        <v>45520</v>
      </c>
      <c r="N8" s="205">
        <f>22276.1*100/121</f>
        <v>18410</v>
      </c>
      <c r="O8" s="303">
        <v>22276.1</v>
      </c>
      <c r="P8" s="570">
        <v>45966</v>
      </c>
      <c r="Q8" s="543">
        <f>R8*100/121</f>
        <v>60969.504132231414</v>
      </c>
      <c r="R8" s="544">
        <v>73773.100000000006</v>
      </c>
      <c r="S8" s="225"/>
      <c r="T8" s="225"/>
    </row>
    <row r="9" spans="1:20">
      <c r="B9" s="141"/>
      <c r="C9" s="210"/>
      <c r="D9" s="163"/>
      <c r="E9" s="210"/>
      <c r="F9" s="211"/>
      <c r="G9" s="211"/>
      <c r="H9" s="212"/>
      <c r="I9" s="213"/>
      <c r="J9" s="222"/>
      <c r="K9" s="223"/>
      <c r="L9" s="224"/>
      <c r="M9" s="219">
        <v>45643</v>
      </c>
      <c r="N9" s="205">
        <f>20727.3*100/121</f>
        <v>17130</v>
      </c>
      <c r="O9" s="303">
        <v>20727.3</v>
      </c>
      <c r="P9" s="570">
        <v>46030</v>
      </c>
      <c r="Q9" s="543">
        <f>R9*100/121</f>
        <v>26550</v>
      </c>
      <c r="R9" s="544">
        <v>32125.5</v>
      </c>
      <c r="S9" s="225"/>
      <c r="T9" s="225"/>
    </row>
    <row r="10" spans="1:20">
      <c r="B10" s="141"/>
      <c r="C10" s="210"/>
      <c r="D10" s="163"/>
      <c r="E10" s="210"/>
      <c r="F10" s="211"/>
      <c r="G10" s="211"/>
      <c r="H10" s="212"/>
      <c r="I10" s="213"/>
      <c r="J10" s="222"/>
      <c r="K10" s="223"/>
      <c r="L10" s="224"/>
      <c r="M10" s="231"/>
      <c r="N10" s="205"/>
      <c r="O10" s="303"/>
      <c r="P10" s="571"/>
      <c r="Q10" s="537"/>
      <c r="R10" s="538"/>
      <c r="S10" s="225"/>
      <c r="T10" s="225"/>
    </row>
    <row r="11" spans="1:20" ht="13.8" thickBot="1">
      <c r="B11" s="141"/>
      <c r="C11" s="210"/>
      <c r="D11" s="163"/>
      <c r="E11" s="210"/>
      <c r="F11" s="211"/>
      <c r="G11" s="211"/>
      <c r="H11" s="212"/>
      <c r="I11" s="232" t="s">
        <v>4865</v>
      </c>
      <c r="J11" s="236"/>
      <c r="K11" s="237"/>
      <c r="L11" s="238"/>
      <c r="M11" s="239"/>
      <c r="N11" s="240">
        <f>SUM(N5:N10)</f>
        <v>112784.29752066116</v>
      </c>
      <c r="O11" s="512">
        <f>SUM(O5:O10)</f>
        <v>136469</v>
      </c>
      <c r="P11" s="572"/>
      <c r="Q11" s="611">
        <f>SUM(Q5:Q10)</f>
        <v>500194.50413223146</v>
      </c>
      <c r="R11" s="612">
        <f>SUM(R5:R10)</f>
        <v>605235.35</v>
      </c>
      <c r="S11" s="225"/>
      <c r="T11" s="225"/>
    </row>
    <row r="12" spans="1:20" ht="13.8" thickBot="1">
      <c r="A12">
        <v>2</v>
      </c>
      <c r="B12" s="172"/>
      <c r="C12" s="192"/>
      <c r="D12" s="242"/>
      <c r="E12" s="193"/>
      <c r="F12" s="194"/>
      <c r="G12" s="195"/>
      <c r="H12" s="196"/>
      <c r="I12" s="197"/>
      <c r="J12" s="201"/>
      <c r="K12" s="202"/>
      <c r="L12" s="203"/>
      <c r="M12" s="245"/>
      <c r="N12" s="246"/>
      <c r="O12" s="513"/>
      <c r="P12" s="569"/>
      <c r="Q12" s="563"/>
      <c r="R12" s="564"/>
      <c r="S12" s="247"/>
      <c r="T12" s="248"/>
    </row>
    <row r="13" spans="1:20">
      <c r="B13" s="209"/>
      <c r="C13" s="210"/>
      <c r="D13" s="163"/>
      <c r="E13" s="210"/>
      <c r="F13" s="211"/>
      <c r="G13" s="211"/>
      <c r="H13" s="212"/>
      <c r="I13" s="213"/>
      <c r="J13" s="216"/>
      <c r="K13" s="217"/>
      <c r="L13" s="218"/>
      <c r="M13" s="252"/>
      <c r="N13" s="205"/>
      <c r="O13" s="303"/>
      <c r="P13" s="570"/>
      <c r="Q13" s="543"/>
      <c r="R13" s="544"/>
      <c r="S13" s="225"/>
      <c r="T13" s="225"/>
    </row>
    <row r="14" spans="1:20">
      <c r="B14" s="141"/>
      <c r="C14" s="210"/>
      <c r="D14" s="163"/>
      <c r="E14" s="210"/>
      <c r="F14" s="211"/>
      <c r="G14" s="211"/>
      <c r="H14" s="212"/>
      <c r="I14" s="232"/>
      <c r="J14" s="255"/>
      <c r="K14" s="217"/>
      <c r="L14" s="218"/>
      <c r="M14" s="239"/>
      <c r="N14" s="256"/>
      <c r="O14" s="517"/>
      <c r="P14" s="578"/>
      <c r="Q14" s="543"/>
      <c r="R14" s="544"/>
      <c r="S14" s="225"/>
      <c r="T14" s="225"/>
    </row>
    <row r="15" spans="1:20">
      <c r="B15" s="141"/>
      <c r="C15" s="210"/>
      <c r="D15" s="163"/>
      <c r="E15" s="210"/>
      <c r="F15" s="211"/>
      <c r="G15" s="211"/>
      <c r="H15" s="212"/>
      <c r="I15" s="258"/>
      <c r="J15" s="262"/>
      <c r="K15" s="217"/>
      <c r="L15" s="218"/>
      <c r="M15" s="263"/>
      <c r="N15" s="264"/>
      <c r="O15" s="515"/>
      <c r="P15" s="573"/>
      <c r="Q15" s="543"/>
      <c r="R15" s="544"/>
      <c r="S15" s="225"/>
      <c r="T15" s="225"/>
    </row>
    <row r="16" spans="1:20" ht="13.8" thickBot="1">
      <c r="B16" s="266"/>
      <c r="C16" s="210"/>
      <c r="D16" s="163"/>
      <c r="E16" s="210"/>
      <c r="F16" s="211"/>
      <c r="G16" s="211"/>
      <c r="H16" s="212"/>
      <c r="I16" s="232" t="s">
        <v>4865</v>
      </c>
      <c r="J16" s="270"/>
      <c r="K16" s="271"/>
      <c r="L16" s="272"/>
      <c r="M16" s="273"/>
      <c r="N16" s="274"/>
      <c r="O16" s="577"/>
      <c r="P16" s="560"/>
      <c r="Q16" s="567"/>
      <c r="R16" s="574"/>
      <c r="S16" s="276"/>
      <c r="T16" s="276"/>
    </row>
    <row r="17" spans="1:20" ht="13.8" thickBot="1">
      <c r="A17">
        <v>3</v>
      </c>
      <c r="B17" s="277"/>
      <c r="C17" s="192"/>
      <c r="D17" s="242"/>
      <c r="E17" s="278"/>
      <c r="F17" s="194"/>
      <c r="G17" s="195"/>
      <c r="H17" s="196"/>
      <c r="I17" s="197"/>
      <c r="J17" s="216"/>
      <c r="K17" s="217"/>
      <c r="L17" s="203"/>
      <c r="M17" s="219"/>
      <c r="N17" s="256"/>
      <c r="O17" s="303"/>
      <c r="P17" s="570"/>
      <c r="Q17" s="543"/>
      <c r="R17" s="564"/>
      <c r="S17" s="247"/>
      <c r="T17" s="248"/>
    </row>
    <row r="18" spans="1:20">
      <c r="B18" s="209"/>
      <c r="C18" s="210"/>
      <c r="D18" s="163"/>
      <c r="E18" s="210"/>
      <c r="F18" s="211"/>
      <c r="G18" s="211"/>
      <c r="H18" s="212"/>
      <c r="I18" s="213"/>
      <c r="J18" s="216"/>
      <c r="K18" s="217"/>
      <c r="L18" s="218"/>
      <c r="M18" s="219"/>
      <c r="N18" s="281"/>
      <c r="O18" s="303"/>
      <c r="P18" s="570"/>
      <c r="Q18" s="543"/>
      <c r="R18" s="544"/>
      <c r="S18" s="221"/>
      <c r="T18" s="221"/>
    </row>
    <row r="19" spans="1:20">
      <c r="B19" s="141"/>
      <c r="C19" s="210"/>
      <c r="D19" s="163"/>
      <c r="E19" s="210"/>
      <c r="F19" s="211"/>
      <c r="G19" s="211"/>
      <c r="H19" s="212"/>
      <c r="I19" s="213"/>
      <c r="J19" s="284"/>
      <c r="K19" s="285"/>
      <c r="L19" s="286"/>
      <c r="M19" s="287"/>
      <c r="N19" s="256"/>
      <c r="O19" s="517"/>
      <c r="P19" s="558"/>
      <c r="Q19" s="545"/>
      <c r="R19" s="546"/>
      <c r="S19" s="225"/>
      <c r="T19" s="225"/>
    </row>
    <row r="20" spans="1:20">
      <c r="B20" s="141"/>
      <c r="C20" s="210"/>
      <c r="D20" s="163"/>
      <c r="E20" s="210"/>
      <c r="F20" s="211"/>
      <c r="G20" s="211"/>
      <c r="H20" s="212"/>
      <c r="I20" s="213"/>
      <c r="J20" s="290"/>
      <c r="K20" s="291"/>
      <c r="L20" s="292"/>
      <c r="M20" s="263"/>
      <c r="N20" s="264"/>
      <c r="O20" s="515"/>
      <c r="P20" s="559"/>
      <c r="Q20" s="547"/>
      <c r="R20" s="548"/>
      <c r="S20" s="225"/>
      <c r="T20" s="225"/>
    </row>
    <row r="21" spans="1:20" ht="13.8" thickBot="1">
      <c r="B21" s="266"/>
      <c r="C21" s="210"/>
      <c r="D21" s="163"/>
      <c r="E21" s="210"/>
      <c r="F21" s="211"/>
      <c r="G21" s="211"/>
      <c r="H21" s="212"/>
      <c r="I21" s="293" t="s">
        <v>4865</v>
      </c>
      <c r="J21" s="270"/>
      <c r="K21" s="296"/>
      <c r="L21" s="297"/>
      <c r="M21" s="298"/>
      <c r="N21" s="299"/>
      <c r="O21" s="516"/>
      <c r="P21" s="560"/>
      <c r="Q21" s="541"/>
      <c r="R21" s="542"/>
      <c r="S21" s="225"/>
      <c r="T21" s="225"/>
    </row>
    <row r="22" spans="1:20" ht="13.8" thickBot="1">
      <c r="A22">
        <v>4</v>
      </c>
      <c r="B22" s="277"/>
      <c r="C22" s="192"/>
      <c r="D22" s="242"/>
      <c r="E22" s="278"/>
      <c r="F22" s="194"/>
      <c r="G22" s="195"/>
      <c r="H22" s="196"/>
      <c r="I22" s="301"/>
      <c r="J22" s="302"/>
      <c r="K22" s="217"/>
      <c r="L22" s="218"/>
      <c r="M22" s="219"/>
      <c r="N22" s="205"/>
      <c r="O22" s="303"/>
      <c r="P22" s="556"/>
      <c r="Q22" s="543"/>
      <c r="R22" s="544"/>
      <c r="S22" s="304"/>
      <c r="T22" s="305"/>
    </row>
    <row r="23" spans="1:20" ht="13.8" thickBot="1">
      <c r="B23" s="209"/>
      <c r="C23" s="210"/>
      <c r="D23" s="163"/>
      <c r="E23" s="316"/>
      <c r="F23" s="211"/>
      <c r="G23" s="211"/>
      <c r="H23" s="212"/>
      <c r="I23" s="351"/>
      <c r="J23" s="302"/>
      <c r="K23" s="217"/>
      <c r="L23" s="218"/>
      <c r="M23" s="219"/>
      <c r="N23" s="205"/>
      <c r="O23" s="303"/>
      <c r="P23" s="556"/>
      <c r="Q23" s="543"/>
      <c r="R23" s="544"/>
      <c r="S23" s="349"/>
      <c r="T23" s="349"/>
    </row>
    <row r="24" spans="1:20">
      <c r="B24" s="141"/>
      <c r="C24" s="210"/>
      <c r="D24" s="163"/>
      <c r="E24" s="210"/>
      <c r="F24" s="211"/>
      <c r="G24" s="211"/>
      <c r="H24" s="212"/>
      <c r="I24" s="213"/>
      <c r="J24" s="302"/>
      <c r="K24" s="217"/>
      <c r="L24" s="218"/>
      <c r="M24" s="219"/>
      <c r="N24" s="205"/>
      <c r="O24" s="303"/>
      <c r="P24" s="556"/>
      <c r="Q24" s="543"/>
      <c r="R24" s="544"/>
      <c r="S24" s="221"/>
      <c r="T24" s="221"/>
    </row>
    <row r="25" spans="1:20" ht="13.8" thickBot="1">
      <c r="B25" s="266"/>
      <c r="C25" s="210"/>
      <c r="D25" s="163"/>
      <c r="E25" s="210"/>
      <c r="F25" s="211"/>
      <c r="G25" s="211"/>
      <c r="H25" s="212"/>
      <c r="I25" s="232" t="s">
        <v>4865</v>
      </c>
      <c r="J25" s="309"/>
      <c r="K25" s="310"/>
      <c r="L25" s="311"/>
      <c r="M25" s="312"/>
      <c r="N25" s="313"/>
      <c r="O25" s="518"/>
      <c r="P25" s="557"/>
      <c r="Q25" s="551"/>
      <c r="R25" s="552"/>
      <c r="S25" s="276"/>
      <c r="T25" s="276"/>
    </row>
    <row r="26" spans="1:20" ht="13.8" thickBot="1">
      <c r="A26">
        <v>5</v>
      </c>
      <c r="B26" s="277"/>
      <c r="C26" s="192"/>
      <c r="D26" s="242"/>
      <c r="E26" s="278"/>
      <c r="F26" s="194"/>
      <c r="G26" s="195"/>
      <c r="H26" s="196"/>
      <c r="I26" s="197"/>
      <c r="J26" s="302"/>
      <c r="K26" s="217"/>
      <c r="L26" s="218"/>
      <c r="M26" s="219"/>
      <c r="N26" s="205"/>
      <c r="O26" s="315"/>
      <c r="P26" s="556"/>
      <c r="Q26" s="543"/>
      <c r="R26" s="544"/>
      <c r="S26" s="304"/>
      <c r="T26" s="305"/>
    </row>
    <row r="27" spans="1:20">
      <c r="B27" s="209"/>
      <c r="C27" s="210"/>
      <c r="D27" s="163"/>
      <c r="E27" s="316"/>
      <c r="F27" s="211"/>
      <c r="G27" s="211"/>
      <c r="H27" s="212"/>
      <c r="I27" s="213"/>
      <c r="J27" s="302"/>
      <c r="K27" s="217"/>
      <c r="L27" s="218"/>
      <c r="M27" s="219"/>
      <c r="N27" s="205"/>
      <c r="O27" s="315"/>
      <c r="P27" s="556"/>
      <c r="Q27" s="543"/>
      <c r="R27" s="544"/>
      <c r="S27" s="221"/>
      <c r="T27" s="221"/>
    </row>
    <row r="28" spans="1:20">
      <c r="B28" s="141"/>
      <c r="C28" s="210"/>
      <c r="D28" s="163"/>
      <c r="E28" s="316"/>
      <c r="F28" s="211"/>
      <c r="G28" s="211"/>
      <c r="H28" s="212"/>
      <c r="I28" s="213"/>
      <c r="J28" s="284"/>
      <c r="K28" s="285"/>
      <c r="L28" s="286"/>
      <c r="M28" s="287"/>
      <c r="N28" s="256"/>
      <c r="O28" s="519"/>
      <c r="P28" s="558"/>
      <c r="Q28" s="545"/>
      <c r="R28" s="546"/>
      <c r="S28" s="225"/>
      <c r="T28" s="225"/>
    </row>
    <row r="29" spans="1:20">
      <c r="B29" s="141"/>
      <c r="C29" s="210"/>
      <c r="D29" s="163"/>
      <c r="E29" s="316"/>
      <c r="F29" s="211"/>
      <c r="G29" s="211"/>
      <c r="H29" s="212"/>
      <c r="I29" s="213"/>
      <c r="J29" s="290"/>
      <c r="K29" s="291"/>
      <c r="L29" s="292"/>
      <c r="M29" s="319"/>
      <c r="N29" s="264"/>
      <c r="O29" s="554"/>
      <c r="P29" s="559"/>
      <c r="Q29" s="547"/>
      <c r="R29" s="548"/>
      <c r="S29" s="225"/>
      <c r="T29" s="225"/>
    </row>
    <row r="30" spans="1:20">
      <c r="B30" s="141"/>
      <c r="C30" s="210"/>
      <c r="D30" s="163"/>
      <c r="E30" s="316"/>
      <c r="F30" s="211"/>
      <c r="G30" s="211"/>
      <c r="H30" s="212"/>
      <c r="I30" s="213"/>
      <c r="J30" s="290"/>
      <c r="K30" s="291"/>
      <c r="L30" s="292"/>
      <c r="M30" s="319"/>
      <c r="N30" s="264"/>
      <c r="O30" s="554"/>
      <c r="P30" s="559"/>
      <c r="Q30" s="547"/>
      <c r="R30" s="548"/>
      <c r="S30" s="225"/>
      <c r="T30" s="225"/>
    </row>
    <row r="31" spans="1:20">
      <c r="B31" s="141"/>
      <c r="C31" s="210"/>
      <c r="D31" s="163"/>
      <c r="E31" s="316"/>
      <c r="F31" s="211"/>
      <c r="G31" s="211"/>
      <c r="H31" s="212"/>
      <c r="I31" s="213"/>
      <c r="J31" s="290"/>
      <c r="K31" s="291"/>
      <c r="L31" s="292"/>
      <c r="M31" s="319"/>
      <c r="N31" s="264"/>
      <c r="O31" s="554"/>
      <c r="P31" s="559"/>
      <c r="Q31" s="547"/>
      <c r="R31" s="548"/>
      <c r="S31" s="225"/>
      <c r="T31" s="225"/>
    </row>
    <row r="32" spans="1:20">
      <c r="B32" s="141"/>
      <c r="C32" s="210"/>
      <c r="D32" s="163"/>
      <c r="E32" s="316"/>
      <c r="F32" s="211"/>
      <c r="G32" s="211"/>
      <c r="H32" s="212"/>
      <c r="I32" s="213"/>
      <c r="J32" s="290"/>
      <c r="K32" s="291"/>
      <c r="L32" s="292"/>
      <c r="M32" s="319"/>
      <c r="N32" s="264"/>
      <c r="O32" s="554"/>
      <c r="P32" s="559"/>
      <c r="Q32" s="547"/>
      <c r="R32" s="548"/>
      <c r="S32" s="225"/>
      <c r="T32" s="225"/>
    </row>
    <row r="33" spans="2:20" ht="13.8" thickBot="1">
      <c r="B33" s="141"/>
      <c r="C33" s="210"/>
      <c r="D33" s="163"/>
      <c r="E33" s="316"/>
      <c r="F33" s="211"/>
      <c r="G33" s="211"/>
      <c r="H33" s="212"/>
      <c r="I33" s="213"/>
      <c r="J33" s="290"/>
      <c r="K33" s="291"/>
      <c r="L33" s="292"/>
      <c r="M33" s="263"/>
      <c r="N33" s="264"/>
      <c r="O33" s="515"/>
      <c r="P33" s="559"/>
      <c r="Q33" s="547"/>
      <c r="R33" s="548"/>
      <c r="S33" s="225"/>
      <c r="T33" s="225"/>
    </row>
    <row r="34" spans="2:20" ht="13.8" thickBot="1">
      <c r="B34" s="141"/>
      <c r="C34" s="210"/>
      <c r="D34" s="163"/>
      <c r="E34" s="316"/>
      <c r="F34" s="211"/>
      <c r="G34" s="211"/>
      <c r="H34" s="212"/>
      <c r="I34" s="293" t="s">
        <v>4865</v>
      </c>
      <c r="J34" s="270"/>
      <c r="K34" s="321"/>
      <c r="L34" s="322"/>
      <c r="M34" s="298"/>
      <c r="N34" s="299"/>
      <c r="O34" s="516"/>
      <c r="P34" s="560"/>
      <c r="Q34" s="549"/>
      <c r="R34" s="550"/>
      <c r="S34" s="323"/>
      <c r="T34" s="324"/>
    </row>
  </sheetData>
  <mergeCells count="4">
    <mergeCell ref="J3:L3"/>
    <mergeCell ref="M3:O3"/>
    <mergeCell ref="S3:T3"/>
    <mergeCell ref="P3:R3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EB82-26D2-4765-9451-FB1B9DE90239}">
  <sheetPr codeName="List10"/>
  <dimension ref="A2:W34"/>
  <sheetViews>
    <sheetView zoomScale="85" zoomScaleNormal="85" workbookViewId="0">
      <selection activeCell="C6" sqref="C6"/>
    </sheetView>
  </sheetViews>
  <sheetFormatPr defaultColWidth="8.88671875" defaultRowHeight="13.2"/>
  <cols>
    <col min="1" max="1" width="8.88671875" style="112"/>
    <col min="2" max="2" width="17.33203125" style="112" bestFit="1" customWidth="1"/>
    <col min="3" max="3" width="67.44140625" style="112" bestFit="1" customWidth="1"/>
    <col min="4" max="4" width="9" style="112" bestFit="1" customWidth="1"/>
    <col min="5" max="5" width="18.5546875" style="112" bestFit="1" customWidth="1"/>
    <col min="6" max="6" width="16.6640625" style="112" customWidth="1"/>
    <col min="7" max="7" width="15.5546875" style="112" customWidth="1"/>
    <col min="8" max="8" width="10.109375" style="112" bestFit="1" customWidth="1"/>
    <col min="9" max="9" width="8.88671875" style="112"/>
    <col min="10" max="10" width="10.109375" style="112" bestFit="1" customWidth="1"/>
    <col min="11" max="12" width="13.88671875" style="112" bestFit="1" customWidth="1"/>
    <col min="13" max="13" width="10.109375" style="112" bestFit="1" customWidth="1"/>
    <col min="14" max="15" width="13.88671875" style="112" bestFit="1" customWidth="1"/>
    <col min="16" max="16" width="10.109375" style="112" bestFit="1" customWidth="1"/>
    <col min="17" max="18" width="13.88671875" style="112" bestFit="1" customWidth="1"/>
    <col min="19" max="21" width="13.88671875" style="112" customWidth="1"/>
    <col min="22" max="23" width="13.88671875" style="112" bestFit="1" customWidth="1"/>
    <col min="24" max="16384" width="8.88671875" style="112"/>
  </cols>
  <sheetData>
    <row r="2" spans="1:23" ht="13.8" thickBot="1"/>
    <row r="3" spans="1:23" ht="31.95" customHeight="1" thickBot="1">
      <c r="B3" s="173" t="s">
        <v>4856</v>
      </c>
      <c r="C3" s="174" t="s">
        <v>4857</v>
      </c>
      <c r="D3" s="174" t="s">
        <v>3068</v>
      </c>
      <c r="E3" s="174" t="s">
        <v>4858</v>
      </c>
      <c r="F3" s="175" t="s">
        <v>4859</v>
      </c>
      <c r="G3" s="175" t="s">
        <v>4860</v>
      </c>
      <c r="H3" s="174" t="s">
        <v>4861</v>
      </c>
      <c r="I3" s="176"/>
      <c r="J3" s="1775">
        <v>2022</v>
      </c>
      <c r="K3" s="1776"/>
      <c r="L3" s="1777"/>
      <c r="M3" s="1770">
        <v>2023</v>
      </c>
      <c r="N3" s="1763"/>
      <c r="O3" s="1764"/>
      <c r="P3" s="1765">
        <v>2024</v>
      </c>
      <c r="Q3" s="1766"/>
      <c r="R3" s="1767"/>
      <c r="S3" s="1770">
        <v>2025</v>
      </c>
      <c r="T3" s="1763"/>
      <c r="U3" s="1764"/>
      <c r="V3" s="1768" t="s">
        <v>4862</v>
      </c>
      <c r="W3" s="1769"/>
    </row>
    <row r="4" spans="1:23" ht="13.8" thickBot="1">
      <c r="B4" s="177"/>
      <c r="C4" s="163"/>
      <c r="D4" s="178"/>
      <c r="E4" s="163"/>
      <c r="F4" s="179"/>
      <c r="G4" s="179"/>
      <c r="H4" s="163"/>
      <c r="I4" s="180"/>
      <c r="J4" s="181"/>
      <c r="K4" s="182" t="s">
        <v>4863</v>
      </c>
      <c r="L4" s="183" t="s">
        <v>4864</v>
      </c>
      <c r="M4" s="184"/>
      <c r="N4" s="185" t="s">
        <v>4863</v>
      </c>
      <c r="O4" s="186" t="s">
        <v>4864</v>
      </c>
      <c r="P4" s="187"/>
      <c r="Q4" s="188" t="s">
        <v>4863</v>
      </c>
      <c r="R4" s="189" t="s">
        <v>4864</v>
      </c>
      <c r="S4" s="184"/>
      <c r="T4" s="185" t="s">
        <v>4863</v>
      </c>
      <c r="U4" s="186" t="s">
        <v>4864</v>
      </c>
      <c r="V4" s="190" t="s">
        <v>4863</v>
      </c>
      <c r="W4" s="191" t="s">
        <v>4864</v>
      </c>
    </row>
    <row r="5" spans="1:23" ht="13.8" thickBot="1">
      <c r="A5" s="112">
        <v>1</v>
      </c>
      <c r="B5" s="172"/>
      <c r="C5" s="192"/>
      <c r="D5" s="178"/>
      <c r="E5" s="193"/>
      <c r="F5" s="194"/>
      <c r="G5" s="195"/>
      <c r="H5" s="196"/>
      <c r="I5" s="197"/>
      <c r="J5" s="198"/>
      <c r="K5" s="199"/>
      <c r="L5" s="200"/>
      <c r="M5" s="201"/>
      <c r="N5" s="202"/>
      <c r="O5" s="203"/>
      <c r="P5" s="204"/>
      <c r="Q5" s="205"/>
      <c r="R5" s="206"/>
      <c r="S5" s="201"/>
      <c r="T5" s="202"/>
      <c r="U5" s="203"/>
      <c r="V5" s="207"/>
      <c r="W5" s="208"/>
    </row>
    <row r="6" spans="1:23">
      <c r="B6" s="209"/>
      <c r="C6" s="210"/>
      <c r="D6" s="163"/>
      <c r="E6" s="210"/>
      <c r="F6" s="211"/>
      <c r="G6" s="211"/>
      <c r="H6" s="212"/>
      <c r="I6" s="213"/>
      <c r="J6" s="214"/>
      <c r="K6" s="215"/>
      <c r="L6" s="200"/>
      <c r="M6" s="216"/>
      <c r="N6" s="217"/>
      <c r="O6" s="218"/>
      <c r="P6" s="219"/>
      <c r="Q6" s="205"/>
      <c r="R6" s="220"/>
      <c r="S6" s="216"/>
      <c r="T6" s="217"/>
      <c r="U6" s="218"/>
      <c r="V6" s="221"/>
      <c r="W6" s="221"/>
    </row>
    <row r="7" spans="1:23">
      <c r="B7" s="141"/>
      <c r="C7" s="210"/>
      <c r="D7" s="163"/>
      <c r="E7" s="210"/>
      <c r="F7" s="211"/>
      <c r="G7" s="211"/>
      <c r="H7" s="212"/>
      <c r="I7" s="213"/>
      <c r="J7" s="214"/>
      <c r="K7" s="215"/>
      <c r="L7" s="200"/>
      <c r="M7" s="222"/>
      <c r="N7" s="223"/>
      <c r="O7" s="224"/>
      <c r="P7" s="219"/>
      <c r="Q7" s="205"/>
      <c r="R7" s="220"/>
      <c r="S7" s="222"/>
      <c r="T7" s="223"/>
      <c r="U7" s="224"/>
      <c r="V7" s="225"/>
      <c r="W7" s="225"/>
    </row>
    <row r="8" spans="1:23">
      <c r="B8" s="141"/>
      <c r="C8" s="210"/>
      <c r="D8" s="163"/>
      <c r="E8" s="210"/>
      <c r="F8" s="211"/>
      <c r="G8" s="211"/>
      <c r="H8" s="212"/>
      <c r="I8" s="213"/>
      <c r="J8" s="226"/>
      <c r="K8" s="227"/>
      <c r="L8" s="228"/>
      <c r="M8" s="222"/>
      <c r="N8" s="223"/>
      <c r="O8" s="224"/>
      <c r="P8" s="219"/>
      <c r="Q8" s="205"/>
      <c r="R8" s="220"/>
      <c r="S8" s="222"/>
      <c r="T8" s="223"/>
      <c r="U8" s="224"/>
      <c r="V8" s="225"/>
      <c r="W8" s="225"/>
    </row>
    <row r="9" spans="1:23">
      <c r="B9" s="141"/>
      <c r="C9" s="210"/>
      <c r="D9" s="163"/>
      <c r="E9" s="210"/>
      <c r="F9" s="211"/>
      <c r="G9" s="211"/>
      <c r="H9" s="212"/>
      <c r="I9" s="213"/>
      <c r="J9" s="229"/>
      <c r="K9" s="199"/>
      <c r="L9" s="230"/>
      <c r="M9" s="222"/>
      <c r="N9" s="223"/>
      <c r="O9" s="224"/>
      <c r="P9" s="219"/>
      <c r="Q9" s="205"/>
      <c r="R9" s="220"/>
      <c r="S9" s="222"/>
      <c r="T9" s="223"/>
      <c r="U9" s="224"/>
      <c r="V9" s="225"/>
      <c r="W9" s="225"/>
    </row>
    <row r="10" spans="1:23">
      <c r="B10" s="141"/>
      <c r="C10" s="210"/>
      <c r="D10" s="163"/>
      <c r="E10" s="210"/>
      <c r="F10" s="211"/>
      <c r="G10" s="211"/>
      <c r="H10" s="212"/>
      <c r="I10" s="213"/>
      <c r="J10" s="214"/>
      <c r="K10" s="215"/>
      <c r="L10" s="200"/>
      <c r="M10" s="222"/>
      <c r="N10" s="223"/>
      <c r="O10" s="224"/>
      <c r="P10" s="231"/>
      <c r="Q10" s="205"/>
      <c r="R10" s="220"/>
      <c r="S10" s="222"/>
      <c r="T10" s="223"/>
      <c r="U10" s="224"/>
      <c r="V10" s="225"/>
      <c r="W10" s="225"/>
    </row>
    <row r="11" spans="1:23" ht="13.8" thickBot="1">
      <c r="B11" s="141"/>
      <c r="C11" s="210"/>
      <c r="D11" s="163"/>
      <c r="E11" s="210"/>
      <c r="F11" s="211"/>
      <c r="G11" s="211"/>
      <c r="H11" s="212"/>
      <c r="I11" s="232" t="s">
        <v>4865</v>
      </c>
      <c r="J11" s="233"/>
      <c r="K11" s="234"/>
      <c r="L11" s="235"/>
      <c r="M11" s="236"/>
      <c r="N11" s="237"/>
      <c r="O11" s="238"/>
      <c r="P11" s="239"/>
      <c r="Q11" s="240"/>
      <c r="R11" s="241"/>
      <c r="S11" s="236"/>
      <c r="T11" s="237"/>
      <c r="U11" s="238"/>
      <c r="V11" s="225"/>
      <c r="W11" s="225"/>
    </row>
    <row r="12" spans="1:23" ht="13.8" thickBot="1">
      <c r="A12" s="112">
        <v>2</v>
      </c>
      <c r="B12" s="172"/>
      <c r="C12" s="192"/>
      <c r="D12" s="242"/>
      <c r="E12" s="193"/>
      <c r="F12" s="194"/>
      <c r="G12" s="195"/>
      <c r="H12" s="196"/>
      <c r="I12" s="197"/>
      <c r="J12" s="198"/>
      <c r="K12" s="243"/>
      <c r="L12" s="244"/>
      <c r="M12" s="201"/>
      <c r="N12" s="202"/>
      <c r="O12" s="203"/>
      <c r="P12" s="245"/>
      <c r="Q12" s="246"/>
      <c r="R12" s="206"/>
      <c r="S12" s="201"/>
      <c r="T12" s="202"/>
      <c r="U12" s="203"/>
      <c r="V12" s="247"/>
      <c r="W12" s="248"/>
    </row>
    <row r="13" spans="1:23">
      <c r="B13" s="209"/>
      <c r="C13" s="210"/>
      <c r="D13" s="163"/>
      <c r="E13" s="210"/>
      <c r="F13" s="211"/>
      <c r="G13" s="211"/>
      <c r="H13" s="212"/>
      <c r="I13" s="213"/>
      <c r="J13" s="249"/>
      <c r="K13" s="250"/>
      <c r="L13" s="251"/>
      <c r="M13" s="216"/>
      <c r="N13" s="217"/>
      <c r="O13" s="218"/>
      <c r="P13" s="252"/>
      <c r="Q13" s="205"/>
      <c r="R13" s="220"/>
      <c r="S13" s="216"/>
      <c r="T13" s="217"/>
      <c r="U13" s="218"/>
      <c r="V13" s="225"/>
      <c r="W13" s="225"/>
    </row>
    <row r="14" spans="1:23">
      <c r="B14" s="141"/>
      <c r="C14" s="210"/>
      <c r="D14" s="163"/>
      <c r="E14" s="210"/>
      <c r="F14" s="211"/>
      <c r="G14" s="211"/>
      <c r="H14" s="212"/>
      <c r="I14" s="232"/>
      <c r="J14" s="233"/>
      <c r="K14" s="253"/>
      <c r="L14" s="254"/>
      <c r="M14" s="255"/>
      <c r="N14" s="217"/>
      <c r="O14" s="218"/>
      <c r="P14" s="239"/>
      <c r="Q14" s="256"/>
      <c r="R14" s="257"/>
      <c r="S14" s="255"/>
      <c r="T14" s="217"/>
      <c r="U14" s="218"/>
      <c r="V14" s="225"/>
      <c r="W14" s="225"/>
    </row>
    <row r="15" spans="1:23">
      <c r="B15" s="141"/>
      <c r="C15" s="210"/>
      <c r="D15" s="163"/>
      <c r="E15" s="210"/>
      <c r="F15" s="211"/>
      <c r="G15" s="211"/>
      <c r="H15" s="212"/>
      <c r="I15" s="258"/>
      <c r="J15" s="259"/>
      <c r="K15" s="260"/>
      <c r="L15" s="261"/>
      <c r="M15" s="262"/>
      <c r="N15" s="217"/>
      <c r="O15" s="218"/>
      <c r="P15" s="263"/>
      <c r="Q15" s="264"/>
      <c r="R15" s="265"/>
      <c r="S15" s="262"/>
      <c r="T15" s="217"/>
      <c r="U15" s="218"/>
      <c r="V15" s="225"/>
      <c r="W15" s="225"/>
    </row>
    <row r="16" spans="1:23" ht="13.8" thickBot="1">
      <c r="B16" s="266"/>
      <c r="C16" s="210"/>
      <c r="D16" s="163"/>
      <c r="E16" s="210"/>
      <c r="F16" s="211"/>
      <c r="G16" s="211"/>
      <c r="H16" s="212"/>
      <c r="I16" s="232" t="s">
        <v>4865</v>
      </c>
      <c r="J16" s="267"/>
      <c r="K16" s="268"/>
      <c r="L16" s="269"/>
      <c r="M16" s="270"/>
      <c r="N16" s="271"/>
      <c r="O16" s="272"/>
      <c r="P16" s="273"/>
      <c r="Q16" s="274"/>
      <c r="R16" s="275"/>
      <c r="S16" s="270"/>
      <c r="T16" s="271"/>
      <c r="U16" s="238"/>
      <c r="V16" s="276"/>
      <c r="W16" s="276"/>
    </row>
    <row r="17" spans="1:23" ht="13.8" thickBot="1">
      <c r="A17" s="112">
        <v>3</v>
      </c>
      <c r="B17" s="277"/>
      <c r="C17" s="192"/>
      <c r="D17" s="242"/>
      <c r="E17" s="278"/>
      <c r="F17" s="194"/>
      <c r="G17" s="195"/>
      <c r="H17" s="196"/>
      <c r="I17" s="197"/>
      <c r="J17" s="249"/>
      <c r="K17" s="279"/>
      <c r="L17" s="280"/>
      <c r="M17" s="216"/>
      <c r="N17" s="217"/>
      <c r="O17" s="203"/>
      <c r="P17" s="219"/>
      <c r="Q17" s="256"/>
      <c r="R17" s="220"/>
      <c r="S17" s="216"/>
      <c r="T17" s="217"/>
      <c r="U17" s="203"/>
      <c r="V17" s="247"/>
      <c r="W17" s="248"/>
    </row>
    <row r="18" spans="1:23">
      <c r="B18" s="209"/>
      <c r="C18" s="210"/>
      <c r="D18" s="163"/>
      <c r="E18" s="210"/>
      <c r="F18" s="211"/>
      <c r="G18" s="211"/>
      <c r="H18" s="212"/>
      <c r="I18" s="213"/>
      <c r="J18" s="249"/>
      <c r="K18" s="279"/>
      <c r="L18" s="280"/>
      <c r="M18" s="216"/>
      <c r="N18" s="217"/>
      <c r="O18" s="218"/>
      <c r="P18" s="219"/>
      <c r="Q18" s="281"/>
      <c r="R18" s="220"/>
      <c r="S18" s="216"/>
      <c r="T18" s="217"/>
      <c r="U18" s="218"/>
      <c r="V18" s="221"/>
      <c r="W18" s="221"/>
    </row>
    <row r="19" spans="1:23">
      <c r="B19" s="141"/>
      <c r="C19" s="210"/>
      <c r="D19" s="163"/>
      <c r="E19" s="210"/>
      <c r="F19" s="211"/>
      <c r="G19" s="211"/>
      <c r="H19" s="212"/>
      <c r="I19" s="213"/>
      <c r="J19" s="233"/>
      <c r="K19" s="282"/>
      <c r="L19" s="283"/>
      <c r="M19" s="284"/>
      <c r="N19" s="285"/>
      <c r="O19" s="286"/>
      <c r="P19" s="287"/>
      <c r="Q19" s="256"/>
      <c r="R19" s="220"/>
      <c r="S19" s="284"/>
      <c r="T19" s="285"/>
      <c r="U19" s="286"/>
      <c r="V19" s="225"/>
      <c r="W19" s="225"/>
    </row>
    <row r="20" spans="1:23">
      <c r="B20" s="141"/>
      <c r="C20" s="210"/>
      <c r="D20" s="163"/>
      <c r="E20" s="210"/>
      <c r="F20" s="211"/>
      <c r="G20" s="211"/>
      <c r="H20" s="212"/>
      <c r="I20" s="213"/>
      <c r="J20" s="259"/>
      <c r="K20" s="288"/>
      <c r="L20" s="289"/>
      <c r="M20" s="290"/>
      <c r="N20" s="291"/>
      <c r="O20" s="292"/>
      <c r="P20" s="263"/>
      <c r="Q20" s="264"/>
      <c r="R20" s="220"/>
      <c r="S20" s="290"/>
      <c r="T20" s="291"/>
      <c r="U20" s="292"/>
      <c r="V20" s="225"/>
      <c r="W20" s="225"/>
    </row>
    <row r="21" spans="1:23" ht="13.8" thickBot="1">
      <c r="B21" s="266"/>
      <c r="C21" s="210"/>
      <c r="D21" s="163"/>
      <c r="E21" s="210"/>
      <c r="F21" s="211"/>
      <c r="G21" s="211"/>
      <c r="H21" s="212"/>
      <c r="I21" s="293" t="s">
        <v>4865</v>
      </c>
      <c r="J21" s="267"/>
      <c r="K21" s="294"/>
      <c r="L21" s="295"/>
      <c r="M21" s="270"/>
      <c r="N21" s="296"/>
      <c r="O21" s="297"/>
      <c r="P21" s="298"/>
      <c r="Q21" s="299"/>
      <c r="R21" s="275"/>
      <c r="S21" s="270"/>
      <c r="T21" s="296"/>
      <c r="U21" s="297"/>
      <c r="V21" s="225"/>
      <c r="W21" s="225"/>
    </row>
    <row r="22" spans="1:23" ht="13.8" thickBot="1">
      <c r="A22" s="112">
        <v>4</v>
      </c>
      <c r="B22" s="277"/>
      <c r="C22" s="192"/>
      <c r="D22" s="242"/>
      <c r="E22" s="278"/>
      <c r="F22" s="194"/>
      <c r="G22" s="195"/>
      <c r="H22" s="196"/>
      <c r="I22" s="301"/>
      <c r="J22" s="249"/>
      <c r="K22" s="279"/>
      <c r="L22" s="280"/>
      <c r="M22" s="302"/>
      <c r="N22" s="217"/>
      <c r="O22" s="218"/>
      <c r="P22" s="219"/>
      <c r="Q22" s="205"/>
      <c r="R22" s="220"/>
      <c r="S22" s="302"/>
      <c r="T22" s="217"/>
      <c r="U22" s="218"/>
      <c r="V22" s="304"/>
      <c r="W22" s="305"/>
    </row>
    <row r="23" spans="1:23" ht="13.8" thickBot="1">
      <c r="B23" s="209"/>
      <c r="C23" s="210"/>
      <c r="D23" s="163"/>
      <c r="E23" s="316"/>
      <c r="F23" s="211"/>
      <c r="G23" s="211"/>
      <c r="H23" s="212"/>
      <c r="I23" s="351"/>
      <c r="J23" s="249"/>
      <c r="K23" s="279"/>
      <c r="L23" s="280"/>
      <c r="M23" s="302"/>
      <c r="N23" s="217"/>
      <c r="O23" s="218"/>
      <c r="P23" s="219"/>
      <c r="Q23" s="205"/>
      <c r="R23" s="220"/>
      <c r="S23" s="302"/>
      <c r="T23" s="217"/>
      <c r="U23" s="218"/>
      <c r="V23" s="349"/>
      <c r="W23" s="349"/>
    </row>
    <row r="24" spans="1:23">
      <c r="B24" s="141"/>
      <c r="C24" s="210"/>
      <c r="D24" s="163"/>
      <c r="E24" s="210"/>
      <c r="F24" s="211"/>
      <c r="G24" s="211"/>
      <c r="H24" s="212"/>
      <c r="I24" s="213"/>
      <c r="J24" s="249"/>
      <c r="K24" s="279"/>
      <c r="L24" s="280"/>
      <c r="M24" s="302"/>
      <c r="N24" s="217"/>
      <c r="O24" s="218"/>
      <c r="P24" s="219"/>
      <c r="Q24" s="205"/>
      <c r="R24" s="220"/>
      <c r="S24" s="302"/>
      <c r="T24" s="217"/>
      <c r="U24" s="218"/>
      <c r="V24" s="221"/>
      <c r="W24" s="221"/>
    </row>
    <row r="25" spans="1:23" ht="13.8" thickBot="1">
      <c r="B25" s="266"/>
      <c r="C25" s="210"/>
      <c r="D25" s="163"/>
      <c r="E25" s="210"/>
      <c r="F25" s="211"/>
      <c r="G25" s="211"/>
      <c r="H25" s="212"/>
      <c r="I25" s="232" t="s">
        <v>4865</v>
      </c>
      <c r="J25" s="306"/>
      <c r="K25" s="307"/>
      <c r="L25" s="308"/>
      <c r="M25" s="309"/>
      <c r="N25" s="310"/>
      <c r="O25" s="311"/>
      <c r="P25" s="312"/>
      <c r="Q25" s="313"/>
      <c r="R25" s="314"/>
      <c r="S25" s="309"/>
      <c r="T25" s="310"/>
      <c r="U25" s="311"/>
      <c r="V25" s="276"/>
      <c r="W25" s="276"/>
    </row>
    <row r="26" spans="1:23" ht="13.8" thickBot="1">
      <c r="A26" s="112">
        <v>5</v>
      </c>
      <c r="B26" s="277"/>
      <c r="C26" s="192"/>
      <c r="D26" s="242"/>
      <c r="E26" s="278"/>
      <c r="F26" s="194"/>
      <c r="G26" s="195"/>
      <c r="H26" s="196"/>
      <c r="I26" s="197"/>
      <c r="J26" s="249"/>
      <c r="K26" s="279"/>
      <c r="L26" s="280"/>
      <c r="M26" s="302"/>
      <c r="N26" s="217"/>
      <c r="O26" s="218"/>
      <c r="P26" s="219"/>
      <c r="Q26" s="205"/>
      <c r="R26" s="206"/>
      <c r="S26" s="302"/>
      <c r="T26" s="217"/>
      <c r="U26" s="218"/>
      <c r="V26" s="304"/>
      <c r="W26" s="305"/>
    </row>
    <row r="27" spans="1:23">
      <c r="B27" s="209"/>
      <c r="C27" s="210"/>
      <c r="D27" s="163"/>
      <c r="E27" s="316"/>
      <c r="F27" s="211"/>
      <c r="G27" s="211"/>
      <c r="H27" s="212"/>
      <c r="I27" s="213"/>
      <c r="J27" s="249"/>
      <c r="K27" s="279"/>
      <c r="L27" s="280"/>
      <c r="M27" s="302"/>
      <c r="N27" s="217"/>
      <c r="O27" s="218"/>
      <c r="P27" s="219"/>
      <c r="Q27" s="205"/>
      <c r="R27" s="317"/>
      <c r="S27" s="302"/>
      <c r="T27" s="217"/>
      <c r="U27" s="218"/>
      <c r="V27" s="221"/>
      <c r="W27" s="221"/>
    </row>
    <row r="28" spans="1:23">
      <c r="B28" s="141"/>
      <c r="C28" s="210"/>
      <c r="D28" s="163"/>
      <c r="E28" s="316"/>
      <c r="F28" s="211"/>
      <c r="G28" s="211"/>
      <c r="H28" s="212"/>
      <c r="I28" s="213"/>
      <c r="J28" s="233"/>
      <c r="K28" s="282"/>
      <c r="L28" s="283"/>
      <c r="M28" s="284"/>
      <c r="N28" s="285"/>
      <c r="O28" s="286"/>
      <c r="P28" s="287"/>
      <c r="Q28" s="256"/>
      <c r="R28" s="318"/>
      <c r="S28" s="284"/>
      <c r="T28" s="285"/>
      <c r="U28" s="286"/>
      <c r="V28" s="225"/>
      <c r="W28" s="225"/>
    </row>
    <row r="29" spans="1:23">
      <c r="B29" s="141"/>
      <c r="C29" s="210"/>
      <c r="D29" s="163"/>
      <c r="E29" s="316"/>
      <c r="F29" s="211"/>
      <c r="G29" s="211"/>
      <c r="H29" s="212"/>
      <c r="I29" s="213"/>
      <c r="J29" s="259"/>
      <c r="K29" s="288"/>
      <c r="L29" s="289"/>
      <c r="M29" s="290"/>
      <c r="N29" s="291"/>
      <c r="O29" s="292"/>
      <c r="P29" s="319"/>
      <c r="Q29" s="264"/>
      <c r="R29" s="320"/>
      <c r="S29" s="290"/>
      <c r="T29" s="291"/>
      <c r="U29" s="292"/>
      <c r="V29" s="225"/>
      <c r="W29" s="225"/>
    </row>
    <row r="30" spans="1:23">
      <c r="B30" s="141"/>
      <c r="C30" s="210"/>
      <c r="D30" s="163"/>
      <c r="E30" s="316"/>
      <c r="F30" s="211"/>
      <c r="G30" s="211"/>
      <c r="H30" s="212"/>
      <c r="I30" s="213"/>
      <c r="J30" s="259"/>
      <c r="K30" s="288"/>
      <c r="L30" s="289"/>
      <c r="M30" s="290"/>
      <c r="N30" s="291"/>
      <c r="O30" s="292"/>
      <c r="P30" s="319"/>
      <c r="Q30" s="264"/>
      <c r="R30" s="320"/>
      <c r="S30" s="290"/>
      <c r="T30" s="291"/>
      <c r="U30" s="292"/>
      <c r="V30" s="225"/>
      <c r="W30" s="225"/>
    </row>
    <row r="31" spans="1:23">
      <c r="B31" s="141"/>
      <c r="C31" s="210"/>
      <c r="D31" s="163"/>
      <c r="E31" s="316"/>
      <c r="F31" s="211"/>
      <c r="G31" s="211"/>
      <c r="H31" s="212"/>
      <c r="I31" s="213"/>
      <c r="J31" s="259"/>
      <c r="K31" s="288"/>
      <c r="L31" s="289"/>
      <c r="M31" s="290"/>
      <c r="N31" s="291"/>
      <c r="O31" s="292"/>
      <c r="P31" s="319"/>
      <c r="Q31" s="264"/>
      <c r="R31" s="320"/>
      <c r="S31" s="290"/>
      <c r="T31" s="291"/>
      <c r="U31" s="292"/>
      <c r="V31" s="225"/>
      <c r="W31" s="225"/>
    </row>
    <row r="32" spans="1:23">
      <c r="B32" s="141"/>
      <c r="C32" s="210"/>
      <c r="D32" s="163"/>
      <c r="E32" s="316"/>
      <c r="F32" s="211"/>
      <c r="G32" s="211"/>
      <c r="H32" s="212"/>
      <c r="I32" s="213"/>
      <c r="J32" s="259"/>
      <c r="K32" s="288"/>
      <c r="L32" s="289"/>
      <c r="M32" s="290"/>
      <c r="N32" s="291"/>
      <c r="O32" s="292"/>
      <c r="P32" s="319"/>
      <c r="Q32" s="264"/>
      <c r="R32" s="320"/>
      <c r="S32" s="290"/>
      <c r="T32" s="291"/>
      <c r="U32" s="292"/>
      <c r="V32" s="225"/>
      <c r="W32" s="225"/>
    </row>
    <row r="33" spans="2:23" ht="13.8" thickBot="1">
      <c r="B33" s="141"/>
      <c r="C33" s="210"/>
      <c r="D33" s="163"/>
      <c r="E33" s="316"/>
      <c r="F33" s="211"/>
      <c r="G33" s="211"/>
      <c r="H33" s="212"/>
      <c r="I33" s="213"/>
      <c r="J33" s="259"/>
      <c r="K33" s="288"/>
      <c r="L33" s="289"/>
      <c r="M33" s="290"/>
      <c r="N33" s="291"/>
      <c r="O33" s="292"/>
      <c r="P33" s="263"/>
      <c r="Q33" s="264"/>
      <c r="R33" s="265"/>
      <c r="S33" s="290"/>
      <c r="T33" s="291"/>
      <c r="U33" s="292"/>
      <c r="V33" s="225"/>
      <c r="W33" s="225"/>
    </row>
    <row r="34" spans="2:23" ht="13.8" thickBot="1">
      <c r="B34" s="141"/>
      <c r="C34" s="210"/>
      <c r="D34" s="163"/>
      <c r="E34" s="316"/>
      <c r="F34" s="211"/>
      <c r="G34" s="211"/>
      <c r="H34" s="212"/>
      <c r="I34" s="293" t="s">
        <v>4865</v>
      </c>
      <c r="J34" s="267"/>
      <c r="K34" s="294"/>
      <c r="L34" s="295"/>
      <c r="M34" s="270"/>
      <c r="N34" s="321"/>
      <c r="O34" s="322"/>
      <c r="P34" s="298"/>
      <c r="Q34" s="299"/>
      <c r="R34" s="300"/>
      <c r="S34" s="270"/>
      <c r="T34" s="321"/>
      <c r="U34" s="322"/>
      <c r="V34" s="323"/>
      <c r="W34" s="324"/>
    </row>
  </sheetData>
  <mergeCells count="5">
    <mergeCell ref="J3:L3"/>
    <mergeCell ref="M3:O3"/>
    <mergeCell ref="P3:R3"/>
    <mergeCell ref="V3:W3"/>
    <mergeCell ref="S3:U3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0E9B-F195-4DD0-8FC2-49C361D94B8F}">
  <sheetPr codeName="List11"/>
  <dimension ref="A2:W35"/>
  <sheetViews>
    <sheetView zoomScaleNormal="100" workbookViewId="0">
      <selection activeCell="W9" sqref="W9"/>
    </sheetView>
  </sheetViews>
  <sheetFormatPr defaultColWidth="8.88671875" defaultRowHeight="13.2"/>
  <cols>
    <col min="1" max="1" width="8.88671875" style="112"/>
    <col min="2" max="2" width="19.88671875" style="112" customWidth="1"/>
    <col min="3" max="3" width="67.44140625" style="112" bestFit="1" customWidth="1"/>
    <col min="4" max="4" width="9" style="112" bestFit="1" customWidth="1"/>
    <col min="5" max="5" width="26.88671875" style="112" customWidth="1"/>
    <col min="6" max="6" width="16.6640625" style="112" bestFit="1" customWidth="1"/>
    <col min="7" max="7" width="17.109375" style="112" customWidth="1"/>
    <col min="8" max="8" width="10.109375" style="112" bestFit="1" customWidth="1"/>
    <col min="9" max="9" width="7.44140625" style="112" bestFit="1" customWidth="1"/>
    <col min="10" max="10" width="10.109375" style="112" bestFit="1" customWidth="1"/>
    <col min="11" max="12" width="13.88671875" style="112" bestFit="1" customWidth="1"/>
    <col min="13" max="13" width="10.109375" style="112" bestFit="1" customWidth="1"/>
    <col min="14" max="15" width="13.88671875" style="112" bestFit="1" customWidth="1"/>
    <col min="16" max="16" width="10.109375" style="112" bestFit="1" customWidth="1"/>
    <col min="17" max="18" width="13.88671875" style="112" bestFit="1" customWidth="1"/>
    <col min="19" max="19" width="10.77734375" style="112" bestFit="1" customWidth="1"/>
    <col min="20" max="22" width="13.88671875" style="112" bestFit="1" customWidth="1"/>
    <col min="23" max="23" width="14.44140625" style="112" bestFit="1" customWidth="1"/>
    <col min="24" max="16384" width="8.88671875" style="112"/>
  </cols>
  <sheetData>
    <row r="2" spans="1:23" ht="13.8" thickBot="1"/>
    <row r="3" spans="1:23" ht="34.950000000000003" customHeight="1" thickBot="1">
      <c r="B3" s="173" t="s">
        <v>4856</v>
      </c>
      <c r="C3" s="174" t="s">
        <v>4857</v>
      </c>
      <c r="D3" s="174" t="s">
        <v>3068</v>
      </c>
      <c r="E3" s="174" t="s">
        <v>4858</v>
      </c>
      <c r="F3" s="175" t="s">
        <v>4859</v>
      </c>
      <c r="G3" s="175" t="s">
        <v>4860</v>
      </c>
      <c r="H3" s="174" t="s">
        <v>4861</v>
      </c>
      <c r="I3" s="176"/>
      <c r="J3" s="1775">
        <v>2022</v>
      </c>
      <c r="K3" s="1776"/>
      <c r="L3" s="1777"/>
      <c r="M3" s="1770">
        <v>2023</v>
      </c>
      <c r="N3" s="1763"/>
      <c r="O3" s="1764"/>
      <c r="P3" s="1765">
        <v>2024</v>
      </c>
      <c r="Q3" s="1766"/>
      <c r="R3" s="1767"/>
      <c r="S3" s="1770">
        <v>2025</v>
      </c>
      <c r="T3" s="1763"/>
      <c r="U3" s="1764"/>
      <c r="V3" s="1768" t="s">
        <v>4862</v>
      </c>
      <c r="W3" s="1769"/>
    </row>
    <row r="4" spans="1:23" ht="13.8" thickBot="1">
      <c r="B4" s="177"/>
      <c r="C4" s="163"/>
      <c r="D4" s="178"/>
      <c r="E4" s="163"/>
      <c r="F4" s="179"/>
      <c r="G4" s="179"/>
      <c r="H4" s="163"/>
      <c r="I4" s="180"/>
      <c r="J4" s="181"/>
      <c r="K4" s="182" t="s">
        <v>4863</v>
      </c>
      <c r="L4" s="183" t="s">
        <v>4864</v>
      </c>
      <c r="M4" s="184"/>
      <c r="N4" s="185" t="s">
        <v>4863</v>
      </c>
      <c r="O4" s="186" t="s">
        <v>4864</v>
      </c>
      <c r="P4" s="187"/>
      <c r="Q4" s="188" t="s">
        <v>4863</v>
      </c>
      <c r="R4" s="189" t="s">
        <v>4864</v>
      </c>
      <c r="S4" s="184"/>
      <c r="T4" s="185" t="s">
        <v>4863</v>
      </c>
      <c r="U4" s="186" t="s">
        <v>4864</v>
      </c>
      <c r="V4" s="190" t="s">
        <v>4863</v>
      </c>
      <c r="W4" s="191" t="s">
        <v>4864</v>
      </c>
    </row>
    <row r="5" spans="1:23" ht="13.8" thickBot="1">
      <c r="A5" s="112">
        <v>1</v>
      </c>
      <c r="B5" s="172" t="s">
        <v>5455</v>
      </c>
      <c r="C5" s="192" t="s">
        <v>5457</v>
      </c>
      <c r="D5" s="178">
        <v>75063425</v>
      </c>
      <c r="E5" s="193" t="s">
        <v>5456</v>
      </c>
      <c r="F5" s="957"/>
      <c r="G5" s="195">
        <v>150000</v>
      </c>
      <c r="H5" s="1265">
        <v>46022</v>
      </c>
      <c r="I5" s="197"/>
      <c r="J5" s="198"/>
      <c r="K5" s="199"/>
      <c r="L5" s="200"/>
      <c r="M5" s="201"/>
      <c r="N5" s="202"/>
      <c r="O5" s="203"/>
      <c r="P5" s="204"/>
      <c r="Q5" s="205"/>
      <c r="R5" s="206"/>
      <c r="S5" s="201">
        <v>45755</v>
      </c>
      <c r="T5" s="956"/>
      <c r="U5" s="203">
        <v>5400</v>
      </c>
      <c r="V5" s="972"/>
      <c r="W5" s="208">
        <f>G5-U11</f>
        <v>46500</v>
      </c>
    </row>
    <row r="6" spans="1:23">
      <c r="B6" s="209"/>
      <c r="C6" s="210"/>
      <c r="D6" s="163"/>
      <c r="E6" s="210"/>
      <c r="F6" s="211"/>
      <c r="G6" s="211"/>
      <c r="H6" s="212"/>
      <c r="I6" s="213"/>
      <c r="J6" s="214"/>
      <c r="K6" s="215"/>
      <c r="L6" s="200"/>
      <c r="M6" s="216"/>
      <c r="N6" s="217"/>
      <c r="O6" s="218"/>
      <c r="P6" s="219"/>
      <c r="Q6" s="205"/>
      <c r="R6" s="220"/>
      <c r="S6" s="216">
        <v>45821</v>
      </c>
      <c r="T6" s="971"/>
      <c r="U6" s="218">
        <v>35640</v>
      </c>
      <c r="V6" s="221"/>
      <c r="W6" s="221"/>
    </row>
    <row r="7" spans="1:23">
      <c r="B7" s="141"/>
      <c r="C7" s="210"/>
      <c r="D7" s="163"/>
      <c r="E7" s="210"/>
      <c r="F7" s="211"/>
      <c r="G7" s="211"/>
      <c r="H7" s="212"/>
      <c r="I7" s="213"/>
      <c r="J7" s="214"/>
      <c r="K7" s="215"/>
      <c r="L7" s="200"/>
      <c r="M7" s="222"/>
      <c r="N7" s="223"/>
      <c r="O7" s="224"/>
      <c r="P7" s="219"/>
      <c r="Q7" s="205"/>
      <c r="R7" s="220"/>
      <c r="S7" s="216">
        <v>45959</v>
      </c>
      <c r="T7" s="971"/>
      <c r="U7" s="218">
        <v>21600</v>
      </c>
      <c r="V7" s="225"/>
      <c r="W7" s="225"/>
    </row>
    <row r="8" spans="1:23">
      <c r="B8" s="141"/>
      <c r="C8" s="210"/>
      <c r="D8" s="163"/>
      <c r="E8" s="210"/>
      <c r="F8" s="211"/>
      <c r="G8" s="211"/>
      <c r="H8" s="212"/>
      <c r="I8" s="213"/>
      <c r="J8" s="226"/>
      <c r="K8" s="227"/>
      <c r="L8" s="228"/>
      <c r="M8" s="222"/>
      <c r="N8" s="223"/>
      <c r="O8" s="224"/>
      <c r="P8" s="219"/>
      <c r="Q8" s="205"/>
      <c r="R8" s="220"/>
      <c r="S8" s="216">
        <v>46014</v>
      </c>
      <c r="T8" s="971"/>
      <c r="U8" s="218">
        <v>40860</v>
      </c>
      <c r="V8" s="225"/>
      <c r="W8" s="225"/>
    </row>
    <row r="9" spans="1:23">
      <c r="B9" s="141"/>
      <c r="C9" s="210"/>
      <c r="D9" s="163"/>
      <c r="E9" s="210"/>
      <c r="F9" s="211"/>
      <c r="G9" s="211"/>
      <c r="H9" s="212"/>
      <c r="I9" s="213"/>
      <c r="J9" s="229"/>
      <c r="K9" s="199"/>
      <c r="L9" s="230"/>
      <c r="M9" s="222"/>
      <c r="N9" s="223"/>
      <c r="O9" s="224"/>
      <c r="P9" s="219"/>
      <c r="Q9" s="205"/>
      <c r="R9" s="220"/>
      <c r="S9" s="222"/>
      <c r="T9" s="223"/>
      <c r="U9" s="224"/>
      <c r="V9" s="225"/>
      <c r="W9" s="225"/>
    </row>
    <row r="10" spans="1:23">
      <c r="B10" s="141"/>
      <c r="C10" s="210"/>
      <c r="D10" s="163"/>
      <c r="E10" s="210"/>
      <c r="F10" s="211"/>
      <c r="G10" s="211"/>
      <c r="H10" s="212"/>
      <c r="I10" s="213"/>
      <c r="J10" s="214"/>
      <c r="K10" s="215"/>
      <c r="L10" s="200"/>
      <c r="M10" s="222"/>
      <c r="N10" s="223"/>
      <c r="O10" s="224"/>
      <c r="P10" s="231"/>
      <c r="Q10" s="205"/>
      <c r="R10" s="220"/>
      <c r="S10" s="222"/>
      <c r="T10" s="223"/>
      <c r="U10" s="224"/>
      <c r="V10" s="225"/>
      <c r="W10" s="225"/>
    </row>
    <row r="11" spans="1:23" ht="13.8" thickBot="1">
      <c r="B11" s="141"/>
      <c r="C11" s="210"/>
      <c r="D11" s="163"/>
      <c r="E11" s="210"/>
      <c r="F11" s="211"/>
      <c r="G11" s="211"/>
      <c r="H11" s="212"/>
      <c r="I11" s="232" t="s">
        <v>4865</v>
      </c>
      <c r="J11" s="233"/>
      <c r="K11" s="234"/>
      <c r="L11" s="235"/>
      <c r="M11" s="236"/>
      <c r="N11" s="237"/>
      <c r="O11" s="238"/>
      <c r="P11" s="239"/>
      <c r="Q11" s="240"/>
      <c r="R11" s="241"/>
      <c r="S11" s="236"/>
      <c r="T11" s="237"/>
      <c r="U11" s="955">
        <f>SUM(U5:U10)</f>
        <v>103500</v>
      </c>
      <c r="V11" s="225"/>
      <c r="W11" s="225"/>
    </row>
    <row r="12" spans="1:23" ht="13.8" thickBot="1">
      <c r="A12" s="112">
        <v>2</v>
      </c>
      <c r="B12" s="172"/>
      <c r="C12" s="192"/>
      <c r="D12" s="242"/>
      <c r="E12" s="193"/>
      <c r="F12" s="194"/>
      <c r="G12" s="195"/>
      <c r="H12" s="196"/>
      <c r="I12" s="197"/>
      <c r="J12" s="198"/>
      <c r="K12" s="243"/>
      <c r="L12" s="244"/>
      <c r="M12" s="201"/>
      <c r="N12" s="202"/>
      <c r="O12" s="203"/>
      <c r="P12" s="245"/>
      <c r="Q12" s="246"/>
      <c r="R12" s="206"/>
      <c r="S12" s="201"/>
      <c r="T12" s="202"/>
      <c r="U12" s="203"/>
      <c r="V12" s="247"/>
      <c r="W12" s="248"/>
    </row>
    <row r="13" spans="1:23">
      <c r="B13" s="209"/>
      <c r="C13" s="210"/>
      <c r="D13" s="163"/>
      <c r="E13" s="210"/>
      <c r="F13" s="211"/>
      <c r="G13" s="211"/>
      <c r="H13" s="212"/>
      <c r="I13" s="213"/>
      <c r="J13" s="249"/>
      <c r="K13" s="250"/>
      <c r="L13" s="251"/>
      <c r="M13" s="216"/>
      <c r="N13" s="217"/>
      <c r="O13" s="218"/>
      <c r="P13" s="252"/>
      <c r="Q13" s="205"/>
      <c r="R13" s="220"/>
      <c r="S13" s="216"/>
      <c r="T13" s="217"/>
      <c r="U13" s="218"/>
      <c r="V13" s="225"/>
      <c r="W13" s="225"/>
    </row>
    <row r="14" spans="1:23">
      <c r="B14" s="141"/>
      <c r="C14" s="210"/>
      <c r="D14" s="163"/>
      <c r="E14" s="210"/>
      <c r="F14" s="211"/>
      <c r="G14" s="211"/>
      <c r="H14" s="212"/>
      <c r="I14" s="232"/>
      <c r="J14" s="233"/>
      <c r="K14" s="253"/>
      <c r="L14" s="254"/>
      <c r="M14" s="255"/>
      <c r="N14" s="217"/>
      <c r="O14" s="218"/>
      <c r="P14" s="239"/>
      <c r="Q14" s="256"/>
      <c r="R14" s="257"/>
      <c r="S14" s="255"/>
      <c r="T14" s="217"/>
      <c r="U14" s="218"/>
      <c r="V14" s="225"/>
      <c r="W14" s="225"/>
    </row>
    <row r="15" spans="1:23">
      <c r="B15" s="141"/>
      <c r="C15" s="210"/>
      <c r="D15" s="163"/>
      <c r="E15" s="210"/>
      <c r="F15" s="211"/>
      <c r="G15" s="211"/>
      <c r="H15" s="212"/>
      <c r="I15" s="258"/>
      <c r="J15" s="259"/>
      <c r="K15" s="260"/>
      <c r="L15" s="261"/>
      <c r="M15" s="262"/>
      <c r="N15" s="217"/>
      <c r="O15" s="218"/>
      <c r="P15" s="263"/>
      <c r="Q15" s="264"/>
      <c r="R15" s="265"/>
      <c r="S15" s="262"/>
      <c r="T15" s="217"/>
      <c r="U15" s="218"/>
      <c r="V15" s="225"/>
      <c r="W15" s="225"/>
    </row>
    <row r="16" spans="1:23" ht="13.8" thickBot="1">
      <c r="B16" s="266"/>
      <c r="C16" s="210"/>
      <c r="D16" s="163"/>
      <c r="E16" s="210"/>
      <c r="F16" s="211"/>
      <c r="G16" s="211"/>
      <c r="H16" s="212"/>
      <c r="I16" s="232" t="s">
        <v>4865</v>
      </c>
      <c r="J16" s="267"/>
      <c r="K16" s="268"/>
      <c r="L16" s="269"/>
      <c r="M16" s="270"/>
      <c r="N16" s="271"/>
      <c r="O16" s="272"/>
      <c r="P16" s="273"/>
      <c r="Q16" s="274"/>
      <c r="R16" s="275"/>
      <c r="S16" s="270"/>
      <c r="T16" s="271"/>
      <c r="U16" s="958"/>
      <c r="V16" s="276"/>
      <c r="W16" s="276"/>
    </row>
    <row r="17" spans="1:23" ht="13.8" thickBot="1">
      <c r="A17" s="112">
        <v>3</v>
      </c>
      <c r="B17" s="277"/>
      <c r="C17" s="192"/>
      <c r="D17" s="242"/>
      <c r="E17" s="278"/>
      <c r="F17" s="194"/>
      <c r="G17" s="195"/>
      <c r="H17" s="196"/>
      <c r="I17" s="197"/>
      <c r="J17" s="249"/>
      <c r="K17" s="279"/>
      <c r="L17" s="280"/>
      <c r="M17" s="216"/>
      <c r="N17" s="217"/>
      <c r="O17" s="203"/>
      <c r="P17" s="219"/>
      <c r="Q17" s="256"/>
      <c r="R17" s="220"/>
      <c r="S17" s="216"/>
      <c r="T17" s="217"/>
      <c r="U17" s="203"/>
      <c r="V17" s="247"/>
      <c r="W17" s="248"/>
    </row>
    <row r="18" spans="1:23">
      <c r="B18" s="209"/>
      <c r="C18" s="210"/>
      <c r="D18" s="163"/>
      <c r="E18" s="210"/>
      <c r="F18" s="211"/>
      <c r="G18" s="211"/>
      <c r="H18" s="212"/>
      <c r="I18" s="213"/>
      <c r="J18" s="249"/>
      <c r="K18" s="279"/>
      <c r="L18" s="280"/>
      <c r="M18" s="216"/>
      <c r="N18" s="217"/>
      <c r="O18" s="218"/>
      <c r="P18" s="219"/>
      <c r="Q18" s="281"/>
      <c r="R18" s="220"/>
      <c r="S18" s="216"/>
      <c r="T18" s="217"/>
      <c r="U18" s="218"/>
      <c r="V18" s="221"/>
      <c r="W18" s="221"/>
    </row>
    <row r="19" spans="1:23">
      <c r="B19" s="141"/>
      <c r="C19" s="210"/>
      <c r="D19" s="163"/>
      <c r="E19" s="210"/>
      <c r="F19" s="211"/>
      <c r="G19" s="211"/>
      <c r="H19" s="212"/>
      <c r="I19" s="213"/>
      <c r="J19" s="233"/>
      <c r="K19" s="282"/>
      <c r="L19" s="283"/>
      <c r="M19" s="284"/>
      <c r="N19" s="285"/>
      <c r="O19" s="286"/>
      <c r="P19" s="287"/>
      <c r="Q19" s="256"/>
      <c r="R19" s="257"/>
      <c r="S19" s="284"/>
      <c r="T19" s="285"/>
      <c r="U19" s="286"/>
      <c r="V19" s="225"/>
      <c r="W19" s="225"/>
    </row>
    <row r="20" spans="1:23">
      <c r="B20" s="141"/>
      <c r="C20" s="210"/>
      <c r="D20" s="163"/>
      <c r="E20" s="210"/>
      <c r="F20" s="211"/>
      <c r="G20" s="211"/>
      <c r="H20" s="212"/>
      <c r="I20" s="213"/>
      <c r="J20" s="259"/>
      <c r="K20" s="288"/>
      <c r="L20" s="289"/>
      <c r="M20" s="290"/>
      <c r="N20" s="291"/>
      <c r="O20" s="292"/>
      <c r="P20" s="263"/>
      <c r="Q20" s="264"/>
      <c r="R20" s="265"/>
      <c r="S20" s="290"/>
      <c r="T20" s="291"/>
      <c r="U20" s="292"/>
      <c r="V20" s="225"/>
      <c r="W20" s="225"/>
    </row>
    <row r="21" spans="1:23" ht="13.8" thickBot="1">
      <c r="B21" s="266"/>
      <c r="C21" s="210"/>
      <c r="D21" s="163"/>
      <c r="E21" s="210"/>
      <c r="F21" s="211"/>
      <c r="G21" s="211"/>
      <c r="H21" s="212"/>
      <c r="I21" s="293" t="s">
        <v>4865</v>
      </c>
      <c r="J21" s="267"/>
      <c r="K21" s="294"/>
      <c r="L21" s="295"/>
      <c r="M21" s="270"/>
      <c r="N21" s="296"/>
      <c r="O21" s="297"/>
      <c r="P21" s="298"/>
      <c r="Q21" s="299"/>
      <c r="R21" s="300"/>
      <c r="S21" s="270"/>
      <c r="T21" s="296"/>
      <c r="U21" s="297"/>
      <c r="V21" s="225"/>
      <c r="W21" s="225"/>
    </row>
    <row r="22" spans="1:23" ht="13.8" thickBot="1">
      <c r="A22" s="112">
        <v>4</v>
      </c>
      <c r="B22" s="277"/>
      <c r="C22" s="192"/>
      <c r="D22" s="242"/>
      <c r="E22" s="278"/>
      <c r="F22" s="194"/>
      <c r="G22" s="195"/>
      <c r="H22" s="196"/>
      <c r="I22" s="301"/>
      <c r="J22" s="249"/>
      <c r="K22" s="279"/>
      <c r="L22" s="280"/>
      <c r="M22" s="302"/>
      <c r="N22" s="217"/>
      <c r="O22" s="218"/>
      <c r="P22" s="219"/>
      <c r="Q22" s="205"/>
      <c r="R22" s="762"/>
      <c r="S22" s="302"/>
      <c r="T22" s="217"/>
      <c r="U22" s="218"/>
      <c r="V22" s="304"/>
      <c r="W22" s="305"/>
    </row>
    <row r="23" spans="1:23" ht="13.8" thickBot="1">
      <c r="B23" s="209"/>
      <c r="C23" s="210"/>
      <c r="D23" s="163"/>
      <c r="E23" s="316"/>
      <c r="F23" s="211"/>
      <c r="G23" s="211"/>
      <c r="H23" s="212"/>
      <c r="I23" s="351"/>
      <c r="J23" s="249"/>
      <c r="K23" s="279"/>
      <c r="L23" s="280"/>
      <c r="M23" s="302"/>
      <c r="N23" s="217"/>
      <c r="O23" s="218"/>
      <c r="P23" s="219"/>
      <c r="Q23" s="205"/>
      <c r="R23" s="763"/>
      <c r="S23" s="302"/>
      <c r="T23" s="217"/>
      <c r="U23" s="218"/>
      <c r="V23" s="349"/>
      <c r="W23" s="349"/>
    </row>
    <row r="24" spans="1:23" ht="13.8" thickBot="1">
      <c r="B24" s="141"/>
      <c r="C24" s="210"/>
      <c r="D24" s="163"/>
      <c r="E24" s="316"/>
      <c r="F24" s="211"/>
      <c r="G24" s="211"/>
      <c r="H24" s="212"/>
      <c r="I24" s="213"/>
      <c r="J24" s="249"/>
      <c r="K24" s="279"/>
      <c r="L24" s="280"/>
      <c r="M24" s="302"/>
      <c r="N24" s="217"/>
      <c r="O24" s="218"/>
      <c r="P24" s="219"/>
      <c r="Q24" s="205"/>
      <c r="R24" s="763"/>
      <c r="S24" s="302"/>
      <c r="T24" s="217"/>
      <c r="U24" s="218"/>
      <c r="V24" s="349"/>
      <c r="W24" s="349"/>
    </row>
    <row r="25" spans="1:23">
      <c r="B25" s="141"/>
      <c r="C25" s="210"/>
      <c r="D25" s="163"/>
      <c r="E25" s="210"/>
      <c r="F25" s="211"/>
      <c r="G25" s="211"/>
      <c r="H25" s="212"/>
      <c r="I25" s="213"/>
      <c r="J25" s="249"/>
      <c r="K25" s="279"/>
      <c r="L25" s="280"/>
      <c r="M25" s="302"/>
      <c r="N25" s="217"/>
      <c r="O25" s="218"/>
      <c r="P25" s="219"/>
      <c r="Q25" s="205"/>
      <c r="R25" s="220"/>
      <c r="S25" s="302"/>
      <c r="T25" s="217"/>
      <c r="U25" s="218"/>
      <c r="V25" s="221"/>
      <c r="W25" s="221"/>
    </row>
    <row r="26" spans="1:23" ht="13.8" thickBot="1">
      <c r="B26" s="266"/>
      <c r="C26" s="210"/>
      <c r="D26" s="163"/>
      <c r="E26" s="210"/>
      <c r="F26" s="211"/>
      <c r="G26" s="211"/>
      <c r="H26" s="212"/>
      <c r="I26" s="232" t="s">
        <v>4865</v>
      </c>
      <c r="J26" s="306"/>
      <c r="K26" s="307"/>
      <c r="L26" s="308"/>
      <c r="M26" s="309"/>
      <c r="N26" s="310"/>
      <c r="O26" s="311"/>
      <c r="P26" s="312"/>
      <c r="Q26" s="313"/>
      <c r="R26" s="314"/>
      <c r="S26" s="309"/>
      <c r="T26" s="310"/>
      <c r="U26" s="311"/>
      <c r="V26" s="276"/>
      <c r="W26" s="276"/>
    </row>
    <row r="27" spans="1:23" ht="13.8" thickBot="1">
      <c r="A27" s="112">
        <v>5</v>
      </c>
      <c r="B27" s="277"/>
      <c r="C27" s="192"/>
      <c r="D27" s="242"/>
      <c r="E27" s="278"/>
      <c r="F27" s="194"/>
      <c r="G27" s="195"/>
      <c r="H27" s="196"/>
      <c r="I27" s="197"/>
      <c r="J27" s="249"/>
      <c r="K27" s="279"/>
      <c r="L27" s="280"/>
      <c r="M27" s="302"/>
      <c r="N27" s="217"/>
      <c r="O27" s="218"/>
      <c r="P27" s="219"/>
      <c r="Q27" s="205"/>
      <c r="R27" s="764"/>
      <c r="S27" s="302"/>
      <c r="T27" s="217"/>
      <c r="U27" s="218"/>
      <c r="V27" s="304"/>
      <c r="W27" s="305"/>
    </row>
    <row r="28" spans="1:23">
      <c r="B28" s="209"/>
      <c r="C28" s="210"/>
      <c r="D28" s="163"/>
      <c r="E28" s="316"/>
      <c r="F28" s="211"/>
      <c r="G28" s="211"/>
      <c r="H28" s="212"/>
      <c r="I28" s="213"/>
      <c r="J28" s="249"/>
      <c r="K28" s="279"/>
      <c r="L28" s="280"/>
      <c r="M28" s="302"/>
      <c r="N28" s="217"/>
      <c r="O28" s="218"/>
      <c r="P28" s="219"/>
      <c r="Q28" s="205"/>
      <c r="R28" s="317"/>
      <c r="S28" s="302"/>
      <c r="T28" s="217"/>
      <c r="U28" s="218"/>
      <c r="V28" s="221"/>
      <c r="W28" s="221"/>
    </row>
    <row r="29" spans="1:23">
      <c r="B29" s="141"/>
      <c r="C29" s="210"/>
      <c r="D29" s="163"/>
      <c r="E29" s="316"/>
      <c r="F29" s="211"/>
      <c r="G29" s="211"/>
      <c r="H29" s="212"/>
      <c r="I29" s="213"/>
      <c r="J29" s="233"/>
      <c r="K29" s="282"/>
      <c r="L29" s="283"/>
      <c r="M29" s="284"/>
      <c r="N29" s="285"/>
      <c r="O29" s="286"/>
      <c r="P29" s="287"/>
      <c r="Q29" s="256"/>
      <c r="R29" s="318"/>
      <c r="S29" s="284"/>
      <c r="T29" s="285"/>
      <c r="U29" s="286"/>
      <c r="V29" s="225"/>
      <c r="W29" s="225"/>
    </row>
    <row r="30" spans="1:23">
      <c r="B30" s="141"/>
      <c r="C30" s="210"/>
      <c r="D30" s="163"/>
      <c r="E30" s="316"/>
      <c r="F30" s="211"/>
      <c r="G30" s="211"/>
      <c r="H30" s="212"/>
      <c r="I30" s="213"/>
      <c r="J30" s="259"/>
      <c r="K30" s="288"/>
      <c r="L30" s="289"/>
      <c r="M30" s="290"/>
      <c r="N30" s="291"/>
      <c r="O30" s="292"/>
      <c r="P30" s="319"/>
      <c r="Q30" s="264"/>
      <c r="R30" s="320"/>
      <c r="S30" s="290"/>
      <c r="T30" s="291"/>
      <c r="U30" s="292"/>
      <c r="V30" s="225"/>
      <c r="W30" s="225"/>
    </row>
    <row r="31" spans="1:23">
      <c r="B31" s="141"/>
      <c r="C31" s="210"/>
      <c r="D31" s="163"/>
      <c r="E31" s="316"/>
      <c r="F31" s="211"/>
      <c r="G31" s="211"/>
      <c r="H31" s="212"/>
      <c r="I31" s="213"/>
      <c r="J31" s="259"/>
      <c r="K31" s="288"/>
      <c r="L31" s="289"/>
      <c r="M31" s="290"/>
      <c r="N31" s="291"/>
      <c r="O31" s="292"/>
      <c r="P31" s="319"/>
      <c r="Q31" s="264"/>
      <c r="R31" s="320"/>
      <c r="S31" s="290"/>
      <c r="T31" s="291"/>
      <c r="U31" s="292"/>
      <c r="V31" s="225"/>
      <c r="W31" s="225"/>
    </row>
    <row r="32" spans="1:23">
      <c r="B32" s="141"/>
      <c r="C32" s="210"/>
      <c r="D32" s="163"/>
      <c r="E32" s="316"/>
      <c r="F32" s="211"/>
      <c r="G32" s="211"/>
      <c r="H32" s="212"/>
      <c r="I32" s="213"/>
      <c r="J32" s="259"/>
      <c r="K32" s="288"/>
      <c r="L32" s="289"/>
      <c r="M32" s="290"/>
      <c r="N32" s="291"/>
      <c r="O32" s="292"/>
      <c r="P32" s="319"/>
      <c r="Q32" s="264"/>
      <c r="R32" s="320"/>
      <c r="S32" s="290"/>
      <c r="T32" s="291"/>
      <c r="U32" s="292"/>
      <c r="V32" s="225"/>
      <c r="W32" s="225"/>
    </row>
    <row r="33" spans="2:23">
      <c r="B33" s="141"/>
      <c r="C33" s="210"/>
      <c r="D33" s="163"/>
      <c r="E33" s="316"/>
      <c r="F33" s="211"/>
      <c r="G33" s="211"/>
      <c r="H33" s="212"/>
      <c r="I33" s="213"/>
      <c r="J33" s="259"/>
      <c r="K33" s="288"/>
      <c r="L33" s="289"/>
      <c r="M33" s="290"/>
      <c r="N33" s="291"/>
      <c r="O33" s="292"/>
      <c r="P33" s="319"/>
      <c r="Q33" s="264"/>
      <c r="R33" s="320"/>
      <c r="S33" s="290"/>
      <c r="T33" s="291"/>
      <c r="U33" s="292"/>
      <c r="V33" s="225"/>
      <c r="W33" s="225"/>
    </row>
    <row r="34" spans="2:23" ht="13.8" thickBot="1">
      <c r="B34" s="141"/>
      <c r="C34" s="210"/>
      <c r="D34" s="163"/>
      <c r="E34" s="316"/>
      <c r="F34" s="211"/>
      <c r="G34" s="211"/>
      <c r="H34" s="212"/>
      <c r="I34" s="213"/>
      <c r="J34" s="259"/>
      <c r="K34" s="288"/>
      <c r="L34" s="289"/>
      <c r="M34" s="290"/>
      <c r="N34" s="291"/>
      <c r="O34" s="292"/>
      <c r="P34" s="263"/>
      <c r="Q34" s="264"/>
      <c r="R34" s="265"/>
      <c r="S34" s="290"/>
      <c r="T34" s="291"/>
      <c r="U34" s="292"/>
      <c r="V34" s="225"/>
      <c r="W34" s="225"/>
    </row>
    <row r="35" spans="2:23" ht="13.8" thickBot="1">
      <c r="B35" s="141"/>
      <c r="C35" s="210"/>
      <c r="D35" s="163"/>
      <c r="E35" s="316"/>
      <c r="F35" s="211"/>
      <c r="G35" s="211"/>
      <c r="H35" s="212"/>
      <c r="I35" s="293" t="s">
        <v>4865</v>
      </c>
      <c r="J35" s="267"/>
      <c r="K35" s="294"/>
      <c r="L35" s="295"/>
      <c r="M35" s="270"/>
      <c r="N35" s="321"/>
      <c r="O35" s="322"/>
      <c r="P35" s="298"/>
      <c r="Q35" s="299"/>
      <c r="R35" s="300"/>
      <c r="S35" s="270"/>
      <c r="T35" s="321"/>
      <c r="U35" s="322"/>
      <c r="V35" s="323"/>
      <c r="W35" s="324"/>
    </row>
  </sheetData>
  <mergeCells count="5">
    <mergeCell ref="J3:L3"/>
    <mergeCell ref="M3:O3"/>
    <mergeCell ref="P3:R3"/>
    <mergeCell ref="V3:W3"/>
    <mergeCell ref="S3:U3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BD75-2279-4380-9446-216408B8E130}">
  <dimension ref="B2:L71"/>
  <sheetViews>
    <sheetView zoomScaleNormal="100" workbookViewId="0">
      <selection activeCell="A3" sqref="A3"/>
    </sheetView>
  </sheetViews>
  <sheetFormatPr defaultColWidth="8.88671875" defaultRowHeight="13.2"/>
  <cols>
    <col min="1" max="1" width="8.88671875" style="112"/>
    <col min="2" max="2" width="24.88671875" style="325" bestFit="1" customWidth="1"/>
    <col min="3" max="3" width="13.109375" style="325" customWidth="1"/>
    <col min="4" max="4" width="77.33203125" style="325" bestFit="1" customWidth="1"/>
    <col min="5" max="5" width="9.6640625" style="325" bestFit="1" customWidth="1"/>
    <col min="6" max="6" width="36" style="325" bestFit="1" customWidth="1"/>
    <col min="7" max="7" width="16.33203125" style="112" customWidth="1"/>
    <col min="8" max="8" width="15.5546875" style="112" customWidth="1"/>
    <col min="9" max="9" width="11.109375" style="112" bestFit="1" customWidth="1"/>
    <col min="10" max="11" width="17.33203125" style="112" bestFit="1" customWidth="1"/>
    <col min="12" max="12" width="15.88671875" style="112" bestFit="1" customWidth="1"/>
    <col min="13" max="13" width="18.88671875" style="112" customWidth="1"/>
    <col min="14" max="14" width="16" style="112" customWidth="1"/>
    <col min="15" max="15" width="17" style="112" bestFit="1" customWidth="1"/>
    <col min="16" max="16384" width="8.88671875" style="112"/>
  </cols>
  <sheetData>
    <row r="2" spans="2:12" ht="13.8" thickBot="1"/>
    <row r="3" spans="2:12" s="332" customFormat="1" ht="40.200000000000003" thickBot="1">
      <c r="B3" s="113" t="s">
        <v>4856</v>
      </c>
      <c r="C3" s="113" t="s">
        <v>4622</v>
      </c>
      <c r="D3" s="113" t="s">
        <v>4857</v>
      </c>
      <c r="E3" s="113" t="s">
        <v>3068</v>
      </c>
      <c r="F3" s="113" t="s">
        <v>4858</v>
      </c>
      <c r="G3" s="114" t="s">
        <v>4859</v>
      </c>
      <c r="H3" s="114" t="s">
        <v>4860</v>
      </c>
      <c r="I3" s="1453" t="s">
        <v>4861</v>
      </c>
      <c r="J3" s="1778" t="s">
        <v>4862</v>
      </c>
      <c r="K3" s="1743"/>
    </row>
    <row r="4" spans="2:12" s="332" customFormat="1" ht="13.8" thickBot="1">
      <c r="B4" s="333"/>
      <c r="C4" s="334"/>
      <c r="D4" s="334"/>
      <c r="E4" s="335"/>
      <c r="F4" s="334"/>
      <c r="G4" s="336"/>
      <c r="H4" s="336"/>
      <c r="I4" s="334"/>
      <c r="J4" s="1696" t="s">
        <v>4863</v>
      </c>
      <c r="K4" s="347" t="s">
        <v>4864</v>
      </c>
    </row>
    <row r="5" spans="2:12">
      <c r="B5" s="1663" t="s">
        <v>663</v>
      </c>
      <c r="C5" s="1664" t="s">
        <v>6321</v>
      </c>
      <c r="D5" s="1665" t="s">
        <v>4878</v>
      </c>
      <c r="E5" s="1705">
        <v>27094987</v>
      </c>
      <c r="F5" s="1666" t="s">
        <v>4879</v>
      </c>
      <c r="G5" s="1667">
        <v>1000080</v>
      </c>
      <c r="H5" s="1667">
        <v>1210096.8</v>
      </c>
      <c r="I5" s="1686">
        <v>46455</v>
      </c>
      <c r="J5" s="1706">
        <v>420037.40999999992</v>
      </c>
      <c r="K5" s="1669">
        <v>508245.25999999995</v>
      </c>
    </row>
    <row r="6" spans="2:12">
      <c r="B6" s="1432" t="s">
        <v>6030</v>
      </c>
      <c r="C6" s="1668" t="s">
        <v>6321</v>
      </c>
      <c r="D6" s="1433" t="s">
        <v>6329</v>
      </c>
      <c r="E6" s="1495">
        <v>60719044</v>
      </c>
      <c r="F6" s="1454" t="s">
        <v>6053</v>
      </c>
      <c r="G6" s="1434">
        <v>850000</v>
      </c>
      <c r="H6" s="1434">
        <v>1028500</v>
      </c>
      <c r="I6" s="1687">
        <v>46470</v>
      </c>
      <c r="J6" s="1457">
        <v>850000</v>
      </c>
      <c r="K6" s="1456">
        <v>1028500</v>
      </c>
    </row>
    <row r="7" spans="2:12">
      <c r="B7" s="1432" t="s">
        <v>6031</v>
      </c>
      <c r="C7" s="1668" t="s">
        <v>6321</v>
      </c>
      <c r="D7" s="1433" t="s">
        <v>6328</v>
      </c>
      <c r="E7" s="1495">
        <v>60719044</v>
      </c>
      <c r="F7" s="1454" t="s">
        <v>6053</v>
      </c>
      <c r="G7" s="1434">
        <v>500000</v>
      </c>
      <c r="H7" s="1434">
        <v>605000</v>
      </c>
      <c r="I7" s="1687">
        <v>46470</v>
      </c>
      <c r="J7" s="1457">
        <v>500000</v>
      </c>
      <c r="K7" s="1456">
        <v>605000</v>
      </c>
    </row>
    <row r="8" spans="2:12">
      <c r="B8" s="1432" t="s">
        <v>4699</v>
      </c>
      <c r="C8" s="1668" t="s">
        <v>6321</v>
      </c>
      <c r="D8" s="1433" t="s">
        <v>4890</v>
      </c>
      <c r="E8" s="1495">
        <v>48586285</v>
      </c>
      <c r="F8" s="1454" t="s">
        <v>4701</v>
      </c>
      <c r="G8" s="1434">
        <v>1500000</v>
      </c>
      <c r="H8" s="1434">
        <v>1815000</v>
      </c>
      <c r="I8" s="1687">
        <v>46252</v>
      </c>
      <c r="J8" s="1457">
        <v>1001598.1983471075</v>
      </c>
      <c r="K8" s="1456">
        <v>1211934.72</v>
      </c>
    </row>
    <row r="9" spans="2:12">
      <c r="B9" s="1432" t="s">
        <v>528</v>
      </c>
      <c r="C9" s="1668" t="s">
        <v>6321</v>
      </c>
      <c r="D9" s="1433" t="s">
        <v>4880</v>
      </c>
      <c r="E9" s="1495">
        <v>27094987</v>
      </c>
      <c r="F9" s="1454" t="s">
        <v>4879</v>
      </c>
      <c r="G9" s="1434">
        <v>750000</v>
      </c>
      <c r="H9" s="1434">
        <v>907500</v>
      </c>
      <c r="I9" s="1687">
        <v>46299</v>
      </c>
      <c r="J9" s="1457">
        <v>332307.8330578513</v>
      </c>
      <c r="K9" s="1456">
        <v>420429.13999999996</v>
      </c>
    </row>
    <row r="10" spans="2:12">
      <c r="B10" s="1432" t="s">
        <v>4584</v>
      </c>
      <c r="C10" s="1668" t="s">
        <v>6321</v>
      </c>
      <c r="D10" s="1433" t="s">
        <v>4889</v>
      </c>
      <c r="E10" s="1495">
        <v>27529053</v>
      </c>
      <c r="F10" s="1454" t="s">
        <v>3424</v>
      </c>
      <c r="G10" s="1434">
        <v>700000</v>
      </c>
      <c r="H10" s="1434">
        <v>784000</v>
      </c>
      <c r="I10" s="1687">
        <v>46221</v>
      </c>
      <c r="J10" s="1457">
        <v>319300</v>
      </c>
      <c r="K10" s="1456">
        <v>357616</v>
      </c>
    </row>
    <row r="11" spans="2:12">
      <c r="B11" s="1432" t="s">
        <v>5825</v>
      </c>
      <c r="C11" s="1668" t="s">
        <v>6321</v>
      </c>
      <c r="D11" s="1433" t="s">
        <v>4875</v>
      </c>
      <c r="E11" s="1495">
        <v>27529053</v>
      </c>
      <c r="F11" s="1454" t="s">
        <v>3424</v>
      </c>
      <c r="G11" s="1434">
        <v>410000</v>
      </c>
      <c r="H11" s="1434">
        <v>459200</v>
      </c>
      <c r="I11" s="1687">
        <v>46198</v>
      </c>
      <c r="J11" s="1457">
        <v>290000</v>
      </c>
      <c r="K11" s="1456">
        <v>324800</v>
      </c>
    </row>
    <row r="12" spans="2:12">
      <c r="B12" s="1432" t="s">
        <v>724</v>
      </c>
      <c r="C12" s="1668" t="s">
        <v>6321</v>
      </c>
      <c r="D12" s="1433" t="s">
        <v>4884</v>
      </c>
      <c r="E12" s="1495">
        <v>25944991</v>
      </c>
      <c r="F12" s="1454" t="s">
        <v>3539</v>
      </c>
      <c r="G12" s="1434">
        <v>1990000</v>
      </c>
      <c r="H12" s="1434">
        <v>2407900</v>
      </c>
      <c r="I12" s="1687">
        <v>46180</v>
      </c>
      <c r="J12" s="1457">
        <v>674200</v>
      </c>
      <c r="K12" s="1456">
        <v>922594</v>
      </c>
    </row>
    <row r="13" spans="2:12">
      <c r="B13" s="1432" t="s">
        <v>5362</v>
      </c>
      <c r="C13" s="1668" t="s">
        <v>6321</v>
      </c>
      <c r="D13" s="1433" t="s">
        <v>5695</v>
      </c>
      <c r="E13" s="1495">
        <v>60491256</v>
      </c>
      <c r="F13" s="1454" t="s">
        <v>5366</v>
      </c>
      <c r="G13" s="1434">
        <v>500000</v>
      </c>
      <c r="H13" s="1434">
        <v>560000</v>
      </c>
      <c r="I13" s="1688">
        <v>46078</v>
      </c>
      <c r="J13" s="1457">
        <v>268160</v>
      </c>
      <c r="K13" s="1456">
        <v>300339.20000000001</v>
      </c>
    </row>
    <row r="14" spans="2:12">
      <c r="B14" s="1432" t="s">
        <v>707</v>
      </c>
      <c r="C14" s="1668" t="s">
        <v>6321</v>
      </c>
      <c r="D14" s="1433" t="s">
        <v>4870</v>
      </c>
      <c r="E14" s="1495">
        <v>28467299</v>
      </c>
      <c r="F14" s="1454" t="s">
        <v>4871</v>
      </c>
      <c r="G14" s="1434">
        <v>1990000</v>
      </c>
      <c r="H14" s="1434">
        <v>2407900</v>
      </c>
      <c r="I14" s="1687">
        <v>46157</v>
      </c>
      <c r="J14" s="1464">
        <v>399000</v>
      </c>
      <c r="K14" s="1456">
        <v>482790</v>
      </c>
    </row>
    <row r="15" spans="2:12">
      <c r="B15" s="1435" t="s">
        <v>5203</v>
      </c>
      <c r="C15" s="1668" t="s">
        <v>6321</v>
      </c>
      <c r="D15" s="1433" t="s">
        <v>6152</v>
      </c>
      <c r="E15" s="1495">
        <v>47675934</v>
      </c>
      <c r="F15" s="1455" t="s">
        <v>3286</v>
      </c>
      <c r="G15" s="1434">
        <v>1500000</v>
      </c>
      <c r="H15" s="1434">
        <v>1680000</v>
      </c>
      <c r="I15" s="1688">
        <v>46034</v>
      </c>
      <c r="J15" s="1457">
        <v>248162.94642857136</v>
      </c>
      <c r="K15" s="1456">
        <v>277942.5</v>
      </c>
      <c r="L15" s="112" t="s">
        <v>5445</v>
      </c>
    </row>
    <row r="16" spans="2:12">
      <c r="B16" s="1435" t="s">
        <v>6208</v>
      </c>
      <c r="C16" s="1668" t="s">
        <v>6321</v>
      </c>
      <c r="D16" s="1433" t="s">
        <v>6266</v>
      </c>
      <c r="E16" s="1495">
        <v>25099019</v>
      </c>
      <c r="F16" s="1455" t="s">
        <v>6267</v>
      </c>
      <c r="G16" s="1434">
        <v>1000000</v>
      </c>
      <c r="H16" s="1434">
        <v>1120000</v>
      </c>
      <c r="I16" s="1687">
        <v>46329</v>
      </c>
      <c r="J16" s="1457">
        <v>878450</v>
      </c>
      <c r="K16" s="1456">
        <v>983864</v>
      </c>
      <c r="L16" s="112" t="s">
        <v>5445</v>
      </c>
    </row>
    <row r="17" spans="2:11">
      <c r="B17" s="1432" t="s">
        <v>733</v>
      </c>
      <c r="C17" s="1668" t="s">
        <v>6321</v>
      </c>
      <c r="D17" s="1433" t="s">
        <v>734</v>
      </c>
      <c r="E17" s="1495">
        <v>27094987</v>
      </c>
      <c r="F17" s="1454" t="s">
        <v>4879</v>
      </c>
      <c r="G17" s="1434">
        <v>600000</v>
      </c>
      <c r="H17" s="1434">
        <v>726000</v>
      </c>
      <c r="I17" s="1687">
        <v>46587</v>
      </c>
      <c r="J17" s="1457">
        <v>260000</v>
      </c>
      <c r="K17" s="1456">
        <v>338162</v>
      </c>
    </row>
    <row r="18" spans="2:11">
      <c r="B18" s="1432" t="s">
        <v>736</v>
      </c>
      <c r="C18" s="1668" t="s">
        <v>6321</v>
      </c>
      <c r="D18" s="1433" t="s">
        <v>737</v>
      </c>
      <c r="E18" s="1495">
        <v>27094987</v>
      </c>
      <c r="F18" s="1454" t="s">
        <v>4879</v>
      </c>
      <c r="G18" s="1434">
        <v>60000</v>
      </c>
      <c r="H18" s="1434">
        <v>72600</v>
      </c>
      <c r="I18" s="1687">
        <v>46587</v>
      </c>
      <c r="J18" s="1457">
        <v>35300</v>
      </c>
      <c r="K18" s="1456">
        <v>44252</v>
      </c>
    </row>
    <row r="19" spans="2:11">
      <c r="B19" s="1432" t="s">
        <v>739</v>
      </c>
      <c r="C19" s="1668" t="s">
        <v>6321</v>
      </c>
      <c r="D19" s="1433" t="s">
        <v>740</v>
      </c>
      <c r="E19" s="1495">
        <v>27094987</v>
      </c>
      <c r="F19" s="1454" t="s">
        <v>4879</v>
      </c>
      <c r="G19" s="1434">
        <v>180000</v>
      </c>
      <c r="H19" s="1434">
        <v>217800</v>
      </c>
      <c r="I19" s="1687">
        <v>46587</v>
      </c>
      <c r="J19" s="1457">
        <v>60300</v>
      </c>
      <c r="K19" s="1456">
        <v>82881</v>
      </c>
    </row>
    <row r="20" spans="2:11">
      <c r="B20" s="1432" t="s">
        <v>742</v>
      </c>
      <c r="C20" s="1668" t="s">
        <v>6321</v>
      </c>
      <c r="D20" s="1433" t="s">
        <v>743</v>
      </c>
      <c r="E20" s="1495">
        <v>27094987</v>
      </c>
      <c r="F20" s="1454" t="s">
        <v>4879</v>
      </c>
      <c r="G20" s="1434">
        <v>70000</v>
      </c>
      <c r="H20" s="1434">
        <v>84700</v>
      </c>
      <c r="I20" s="1687">
        <v>46587</v>
      </c>
      <c r="J20" s="1457">
        <v>39600</v>
      </c>
      <c r="K20" s="1456">
        <v>50310</v>
      </c>
    </row>
    <row r="21" spans="2:11">
      <c r="B21" s="1432" t="s">
        <v>5923</v>
      </c>
      <c r="C21" s="1668" t="s">
        <v>6321</v>
      </c>
      <c r="D21" s="1433" t="s">
        <v>5960</v>
      </c>
      <c r="E21" s="1495">
        <v>28849809</v>
      </c>
      <c r="F21" s="1455" t="s">
        <v>3381</v>
      </c>
      <c r="G21" s="1434">
        <v>350000</v>
      </c>
      <c r="H21" s="1434">
        <v>392000</v>
      </c>
      <c r="I21" s="1687">
        <v>46231</v>
      </c>
      <c r="J21" s="1457">
        <v>168000</v>
      </c>
      <c r="K21" s="1456">
        <v>188160</v>
      </c>
    </row>
    <row r="22" spans="2:11">
      <c r="B22" s="1432" t="s">
        <v>5925</v>
      </c>
      <c r="C22" s="1668" t="s">
        <v>6321</v>
      </c>
      <c r="D22" s="1433" t="s">
        <v>5961</v>
      </c>
      <c r="E22" s="1495">
        <v>27094987</v>
      </c>
      <c r="F22" s="1455" t="s">
        <v>5962</v>
      </c>
      <c r="G22" s="1434">
        <v>250000</v>
      </c>
      <c r="H22" s="1434">
        <v>280000</v>
      </c>
      <c r="I22" s="1687">
        <v>46237</v>
      </c>
      <c r="J22" s="1457">
        <v>250000</v>
      </c>
      <c r="K22" s="1456">
        <v>280000</v>
      </c>
    </row>
    <row r="23" spans="2:11">
      <c r="B23" s="1436" t="s">
        <v>442</v>
      </c>
      <c r="C23" s="1668" t="s">
        <v>6321</v>
      </c>
      <c r="D23" s="1433" t="s">
        <v>441</v>
      </c>
      <c r="E23" s="1495">
        <v>28849809</v>
      </c>
      <c r="F23" s="1455" t="s">
        <v>3381</v>
      </c>
      <c r="G23" s="1434">
        <v>739580</v>
      </c>
      <c r="H23" s="1434">
        <v>894891.8</v>
      </c>
      <c r="I23" s="1687">
        <v>46185</v>
      </c>
      <c r="J23" s="1457">
        <v>83960</v>
      </c>
      <c r="K23" s="1456">
        <v>131285.3000000001</v>
      </c>
    </row>
    <row r="24" spans="2:11">
      <c r="B24" s="1432" t="s">
        <v>4309</v>
      </c>
      <c r="C24" s="1668" t="s">
        <v>6321</v>
      </c>
      <c r="D24" s="1433" t="s">
        <v>4311</v>
      </c>
      <c r="E24" s="1495">
        <v>47675934</v>
      </c>
      <c r="F24" s="1454" t="s">
        <v>3286</v>
      </c>
      <c r="G24" s="1434">
        <v>140000</v>
      </c>
      <c r="H24" s="1434">
        <v>156800</v>
      </c>
      <c r="I24" s="1687">
        <v>46535</v>
      </c>
      <c r="J24" s="1464">
        <v>46736.010000000009</v>
      </c>
      <c r="K24" s="1456">
        <v>52344.320000000007</v>
      </c>
    </row>
    <row r="25" spans="2:11">
      <c r="B25" s="1432" t="s">
        <v>4601</v>
      </c>
      <c r="C25" s="1668" t="s">
        <v>6321</v>
      </c>
      <c r="D25" s="1433" t="s">
        <v>4602</v>
      </c>
      <c r="E25" s="1495">
        <v>28849809</v>
      </c>
      <c r="F25" s="1454" t="s">
        <v>3381</v>
      </c>
      <c r="G25" s="1434">
        <v>1800000</v>
      </c>
      <c r="H25" s="1434">
        <v>2178000</v>
      </c>
      <c r="I25" s="1687">
        <v>46605</v>
      </c>
      <c r="J25" s="1457">
        <v>470884</v>
      </c>
      <c r="K25" s="1456">
        <v>689390.08000000019</v>
      </c>
    </row>
    <row r="26" spans="2:11">
      <c r="B26" s="1432" t="s">
        <v>4070</v>
      </c>
      <c r="C26" s="1668" t="s">
        <v>6321</v>
      </c>
      <c r="D26" s="1433" t="s">
        <v>4888</v>
      </c>
      <c r="E26" s="1495">
        <v>61509051</v>
      </c>
      <c r="F26" s="1454" t="s">
        <v>4071</v>
      </c>
      <c r="G26" s="1434">
        <v>1100000</v>
      </c>
      <c r="H26" s="1434">
        <v>1331000</v>
      </c>
      <c r="I26" s="1687">
        <v>46130</v>
      </c>
      <c r="J26" s="1457">
        <v>889916</v>
      </c>
      <c r="K26" s="1456">
        <v>1076798.3600000001</v>
      </c>
    </row>
    <row r="27" spans="2:11">
      <c r="B27" s="1432" t="s">
        <v>5932</v>
      </c>
      <c r="C27" s="1668" t="s">
        <v>6321</v>
      </c>
      <c r="D27" s="1433" t="s">
        <v>6330</v>
      </c>
      <c r="E27" s="1495">
        <v>24766356</v>
      </c>
      <c r="F27" s="1454" t="s">
        <v>5096</v>
      </c>
      <c r="G27" s="1434">
        <v>350000</v>
      </c>
      <c r="H27" s="1434">
        <v>392000</v>
      </c>
      <c r="I27" s="1687">
        <v>46231</v>
      </c>
      <c r="J27" s="1457">
        <v>331000.89285714284</v>
      </c>
      <c r="K27" s="1456">
        <v>370721</v>
      </c>
    </row>
    <row r="28" spans="2:11">
      <c r="B28" s="1432" t="s">
        <v>5934</v>
      </c>
      <c r="C28" s="1668" t="s">
        <v>6321</v>
      </c>
      <c r="D28" s="1433" t="s">
        <v>6331</v>
      </c>
      <c r="E28" s="1495">
        <v>26698293</v>
      </c>
      <c r="F28" s="1454" t="s">
        <v>3509</v>
      </c>
      <c r="G28" s="1434">
        <v>250000</v>
      </c>
      <c r="H28" s="1434">
        <v>280000</v>
      </c>
      <c r="I28" s="1687">
        <v>46237</v>
      </c>
      <c r="J28" s="1457">
        <v>224000</v>
      </c>
      <c r="K28" s="1456">
        <v>250880</v>
      </c>
    </row>
    <row r="29" spans="2:11">
      <c r="B29" s="1432" t="s">
        <v>5936</v>
      </c>
      <c r="C29" s="1668" t="s">
        <v>6321</v>
      </c>
      <c r="D29" s="1433" t="s">
        <v>6332</v>
      </c>
      <c r="E29" s="1495">
        <v>24766356</v>
      </c>
      <c r="F29" s="1454" t="s">
        <v>5096</v>
      </c>
      <c r="G29" s="1434">
        <v>134000</v>
      </c>
      <c r="H29" s="1434">
        <v>150080</v>
      </c>
      <c r="I29" s="1687">
        <v>46267</v>
      </c>
      <c r="J29" s="1457">
        <v>134000</v>
      </c>
      <c r="K29" s="1456">
        <v>150080</v>
      </c>
    </row>
    <row r="30" spans="2:11" ht="13.8" thickBot="1">
      <c r="B30" s="1698" t="s">
        <v>5603</v>
      </c>
      <c r="C30" s="1699" t="s">
        <v>6321</v>
      </c>
      <c r="D30" s="1700" t="s">
        <v>5693</v>
      </c>
      <c r="E30" s="1707">
        <v>27226158</v>
      </c>
      <c r="F30" s="1701" t="s">
        <v>5694</v>
      </c>
      <c r="G30" s="1702">
        <v>900000</v>
      </c>
      <c r="H30" s="1702">
        <v>1089000</v>
      </c>
      <c r="I30" s="1703">
        <v>46139</v>
      </c>
      <c r="J30" s="1708">
        <v>608800</v>
      </c>
      <c r="K30" s="1709">
        <v>762856</v>
      </c>
    </row>
    <row r="31" spans="2:11">
      <c r="B31" s="1465" t="s">
        <v>5637</v>
      </c>
      <c r="C31" s="1670" t="s">
        <v>6322</v>
      </c>
      <c r="D31" s="1466" t="s">
        <v>5692</v>
      </c>
      <c r="E31" s="1710">
        <v>18383084</v>
      </c>
      <c r="F31" s="1467" t="s">
        <v>4938</v>
      </c>
      <c r="G31" s="1468">
        <v>600000</v>
      </c>
      <c r="H31" s="1468">
        <v>726000</v>
      </c>
      <c r="I31" s="1704">
        <v>46506</v>
      </c>
      <c r="J31" s="1473">
        <v>516809.71074380167</v>
      </c>
      <c r="K31" s="1474">
        <v>625339.75</v>
      </c>
    </row>
    <row r="32" spans="2:11">
      <c r="B32" s="1469" t="s">
        <v>5866</v>
      </c>
      <c r="C32" s="1671" t="s">
        <v>6322</v>
      </c>
      <c r="D32" s="1470" t="s">
        <v>5868</v>
      </c>
      <c r="E32" s="1711">
        <v>25699032</v>
      </c>
      <c r="F32" s="1471" t="s">
        <v>5905</v>
      </c>
      <c r="G32" s="1472">
        <v>1000000</v>
      </c>
      <c r="H32" s="1472">
        <v>1210000</v>
      </c>
      <c r="I32" s="1690">
        <v>46575</v>
      </c>
      <c r="J32" s="1458">
        <v>1000000</v>
      </c>
      <c r="K32" s="1459">
        <v>1210000</v>
      </c>
    </row>
    <row r="33" spans="2:11">
      <c r="B33" s="1469" t="s">
        <v>5892</v>
      </c>
      <c r="C33" s="1671" t="s">
        <v>6322</v>
      </c>
      <c r="D33" s="1470" t="s">
        <v>5906</v>
      </c>
      <c r="E33" s="1711">
        <v>9275525</v>
      </c>
      <c r="F33" s="1471" t="s">
        <v>4948</v>
      </c>
      <c r="G33" s="1472">
        <v>750000</v>
      </c>
      <c r="H33" s="1472">
        <v>907500</v>
      </c>
      <c r="I33" s="1690">
        <v>46575</v>
      </c>
      <c r="J33" s="1458">
        <v>724800</v>
      </c>
      <c r="K33" s="1459">
        <v>877008</v>
      </c>
    </row>
    <row r="34" spans="2:11">
      <c r="B34" s="1437" t="s">
        <v>5271</v>
      </c>
      <c r="C34" s="1671" t="s">
        <v>6322</v>
      </c>
      <c r="D34" s="1438" t="s">
        <v>5298</v>
      </c>
      <c r="E34" s="1712">
        <v>5732069</v>
      </c>
      <c r="F34" s="1439" t="s">
        <v>3700</v>
      </c>
      <c r="G34" s="1440">
        <v>2000000</v>
      </c>
      <c r="H34" s="1440">
        <v>2420000</v>
      </c>
      <c r="I34" s="1689">
        <v>46781</v>
      </c>
      <c r="J34" s="1458">
        <v>776200</v>
      </c>
      <c r="K34" s="1459">
        <v>939202.5</v>
      </c>
    </row>
    <row r="35" spans="2:11">
      <c r="B35" s="1437" t="s">
        <v>852</v>
      </c>
      <c r="C35" s="1671" t="s">
        <v>6322</v>
      </c>
      <c r="D35" s="1438" t="s">
        <v>6099</v>
      </c>
      <c r="E35" s="1712">
        <v>19573499</v>
      </c>
      <c r="F35" s="1439" t="s">
        <v>3639</v>
      </c>
      <c r="G35" s="1440">
        <f>822800*100/121</f>
        <v>680000</v>
      </c>
      <c r="H35" s="1440">
        <v>822800</v>
      </c>
      <c r="I35" s="1689">
        <v>2958465</v>
      </c>
      <c r="J35" s="1458">
        <v>118016.5289256199</v>
      </c>
      <c r="K35" s="1459">
        <v>142800</v>
      </c>
    </row>
    <row r="36" spans="2:11">
      <c r="B36" s="1437" t="s">
        <v>5012</v>
      </c>
      <c r="C36" s="1671" t="s">
        <v>6322</v>
      </c>
      <c r="D36" s="1438" t="s">
        <v>6100</v>
      </c>
      <c r="E36" s="1712">
        <v>5732069</v>
      </c>
      <c r="F36" s="1439" t="s">
        <v>3700</v>
      </c>
      <c r="G36" s="1440">
        <v>624000</v>
      </c>
      <c r="H36" s="1440">
        <v>755040</v>
      </c>
      <c r="I36" s="1689">
        <v>46568</v>
      </c>
      <c r="J36" s="1458">
        <v>89450</v>
      </c>
      <c r="K36" s="1459">
        <v>108234.5</v>
      </c>
    </row>
    <row r="37" spans="2:11">
      <c r="B37" s="1436" t="s">
        <v>5054</v>
      </c>
      <c r="C37" s="1671" t="s">
        <v>6322</v>
      </c>
      <c r="D37" s="1442" t="s">
        <v>6098</v>
      </c>
      <c r="E37" s="1713">
        <v>24664812</v>
      </c>
      <c r="F37" s="1446" t="s">
        <v>5055</v>
      </c>
      <c r="G37" s="1444">
        <v>480000</v>
      </c>
      <c r="H37" s="1444">
        <v>580800</v>
      </c>
      <c r="I37" s="1691"/>
      <c r="J37" s="1460">
        <v>3200</v>
      </c>
      <c r="K37" s="1461">
        <v>3872</v>
      </c>
    </row>
    <row r="38" spans="2:11">
      <c r="B38" s="1437" t="s">
        <v>6012</v>
      </c>
      <c r="C38" s="1671" t="s">
        <v>6322</v>
      </c>
      <c r="D38" s="1438" t="s">
        <v>6101</v>
      </c>
      <c r="E38" s="1712">
        <v>22302174</v>
      </c>
      <c r="F38" s="1439" t="s">
        <v>6102</v>
      </c>
      <c r="G38" s="1440">
        <v>948000</v>
      </c>
      <c r="H38" s="1440">
        <v>1147080</v>
      </c>
      <c r="I38" s="1689">
        <v>46173</v>
      </c>
      <c r="J38" s="1458">
        <v>810000</v>
      </c>
      <c r="K38" s="1459">
        <v>980100</v>
      </c>
    </row>
    <row r="39" spans="2:11">
      <c r="B39" s="1437" t="s">
        <v>411</v>
      </c>
      <c r="C39" s="1671" t="s">
        <v>6322</v>
      </c>
      <c r="D39" s="1438" t="s">
        <v>412</v>
      </c>
      <c r="E39" s="1712">
        <v>60724269</v>
      </c>
      <c r="F39" s="1441" t="s">
        <v>4944</v>
      </c>
      <c r="G39" s="1440">
        <v>480000</v>
      </c>
      <c r="H39" s="1440">
        <v>580800</v>
      </c>
      <c r="I39" s="1689">
        <v>46843</v>
      </c>
      <c r="J39" s="1458">
        <v>269600</v>
      </c>
      <c r="K39" s="1459">
        <v>326216</v>
      </c>
    </row>
    <row r="40" spans="2:11">
      <c r="B40" s="1437" t="s">
        <v>496</v>
      </c>
      <c r="C40" s="1671" t="s">
        <v>6322</v>
      </c>
      <c r="D40" s="1438" t="s">
        <v>497</v>
      </c>
      <c r="E40" s="1712">
        <v>60724269</v>
      </c>
      <c r="F40" s="1441" t="s">
        <v>4944</v>
      </c>
      <c r="G40" s="1440">
        <v>750000</v>
      </c>
      <c r="H40" s="1440">
        <v>907500</v>
      </c>
      <c r="I40" s="1689">
        <v>47848</v>
      </c>
      <c r="J40" s="1458">
        <v>177000</v>
      </c>
      <c r="K40" s="1459">
        <v>214170</v>
      </c>
    </row>
    <row r="41" spans="2:11" ht="13.8" thickBot="1">
      <c r="B41" s="1436" t="s">
        <v>4534</v>
      </c>
      <c r="C41" s="1671" t="s">
        <v>6322</v>
      </c>
      <c r="D41" s="1442" t="s">
        <v>4536</v>
      </c>
      <c r="E41" s="1713">
        <v>9692142</v>
      </c>
      <c r="F41" s="1443" t="s">
        <v>3671</v>
      </c>
      <c r="G41" s="1444">
        <v>1990000</v>
      </c>
      <c r="H41" s="1444">
        <v>2407900</v>
      </c>
      <c r="I41" s="1691">
        <v>46955</v>
      </c>
      <c r="J41" s="1460">
        <v>1236669</v>
      </c>
      <c r="K41" s="1461">
        <v>1496369.49</v>
      </c>
    </row>
    <row r="42" spans="2:11">
      <c r="B42" s="1672" t="s">
        <v>5970</v>
      </c>
      <c r="C42" s="1673" t="s">
        <v>6323</v>
      </c>
      <c r="D42" s="1674" t="s">
        <v>5971</v>
      </c>
      <c r="E42" s="1714">
        <v>48586285</v>
      </c>
      <c r="F42" s="1675" t="s">
        <v>3278</v>
      </c>
      <c r="G42" s="1676">
        <v>354879</v>
      </c>
      <c r="H42" s="1676">
        <v>397464.48</v>
      </c>
      <c r="I42" s="1693">
        <v>46606</v>
      </c>
      <c r="J42" s="1697">
        <v>287655.63392857142</v>
      </c>
      <c r="K42" s="1677">
        <v>322174.31</v>
      </c>
    </row>
    <row r="43" spans="2:11">
      <c r="B43" s="1436" t="s">
        <v>5967</v>
      </c>
      <c r="C43" s="1678" t="s">
        <v>6323</v>
      </c>
      <c r="D43" s="1442" t="s">
        <v>5969</v>
      </c>
      <c r="E43" s="1713">
        <v>49689011</v>
      </c>
      <c r="F43" s="1443" t="s">
        <v>5984</v>
      </c>
      <c r="G43" s="1445">
        <v>2328591</v>
      </c>
      <c r="H43" s="1445">
        <v>2608021.92</v>
      </c>
      <c r="I43" s="1691">
        <v>46606</v>
      </c>
      <c r="J43" s="1460">
        <v>1896259.7946428573</v>
      </c>
      <c r="K43" s="1461">
        <v>2123810.9699999997</v>
      </c>
    </row>
    <row r="44" spans="2:11" ht="13.8" thickBot="1">
      <c r="B44" s="1449" t="s">
        <v>4618</v>
      </c>
      <c r="C44" s="1679" t="s">
        <v>6323</v>
      </c>
      <c r="D44" s="1450" t="s">
        <v>4892</v>
      </c>
      <c r="E44" s="1715">
        <v>25277961</v>
      </c>
      <c r="F44" s="1451" t="s">
        <v>4619</v>
      </c>
      <c r="G44" s="1452">
        <v>5400000</v>
      </c>
      <c r="H44" s="1452">
        <v>6048000</v>
      </c>
      <c r="I44" s="1692">
        <v>46247</v>
      </c>
      <c r="J44" s="1462">
        <v>1160380.0446428582</v>
      </c>
      <c r="K44" s="1463">
        <v>1299625.6499999999</v>
      </c>
    </row>
    <row r="45" spans="2:11" ht="13.8" thickBot="1">
      <c r="B45" s="1720" t="s">
        <v>6596</v>
      </c>
      <c r="C45" s="1721" t="s">
        <v>6639</v>
      </c>
      <c r="D45" s="1722" t="s">
        <v>6613</v>
      </c>
      <c r="E45" s="1723">
        <v>29055130</v>
      </c>
      <c r="F45" s="1724" t="s">
        <v>5498</v>
      </c>
      <c r="G45" s="1725">
        <v>1500000</v>
      </c>
      <c r="H45" s="1725">
        <f>1500000*1.21</f>
        <v>1815000</v>
      </c>
      <c r="I45" s="1726">
        <v>2958465</v>
      </c>
      <c r="J45" s="1716">
        <v>1436000</v>
      </c>
      <c r="K45" s="248">
        <v>1737560</v>
      </c>
    </row>
    <row r="46" spans="2:11">
      <c r="B46" s="1672" t="s">
        <v>4788</v>
      </c>
      <c r="C46" s="1673" t="s">
        <v>6324</v>
      </c>
      <c r="D46" s="1674" t="s">
        <v>4897</v>
      </c>
      <c r="E46" s="1714">
        <v>41193598</v>
      </c>
      <c r="F46" s="1680" t="s">
        <v>4898</v>
      </c>
      <c r="G46" s="1681">
        <v>50000</v>
      </c>
      <c r="H46" s="1681">
        <v>60500</v>
      </c>
      <c r="I46" s="1693">
        <v>47349</v>
      </c>
      <c r="J46" s="1697">
        <v>30879.620247933883</v>
      </c>
      <c r="K46" s="1677">
        <v>36732.840000000011</v>
      </c>
    </row>
    <row r="47" spans="2:11">
      <c r="B47" s="1682" t="s">
        <v>5187</v>
      </c>
      <c r="C47" s="1678" t="s">
        <v>6324</v>
      </c>
      <c r="D47" s="1683" t="s">
        <v>5192</v>
      </c>
      <c r="E47" s="1717">
        <v>28489969</v>
      </c>
      <c r="F47" s="1684" t="s">
        <v>5285</v>
      </c>
      <c r="G47" s="1685">
        <v>1990000</v>
      </c>
      <c r="H47" s="1685">
        <v>2407900</v>
      </c>
      <c r="I47" s="1694">
        <v>46561</v>
      </c>
      <c r="J47" s="1718">
        <v>1194004</v>
      </c>
      <c r="K47" s="1719">
        <v>1444744.8399999994</v>
      </c>
    </row>
    <row r="48" spans="2:11">
      <c r="B48" s="1447" t="s">
        <v>4010</v>
      </c>
      <c r="C48" s="1678" t="s">
        <v>6324</v>
      </c>
      <c r="D48" s="1448" t="s">
        <v>5918</v>
      </c>
      <c r="E48" s="1713">
        <v>4260431</v>
      </c>
      <c r="F48" s="1443" t="s">
        <v>5833</v>
      </c>
      <c r="G48" s="1444">
        <v>450000</v>
      </c>
      <c r="H48" s="1444">
        <v>544500</v>
      </c>
      <c r="I48" s="1695">
        <v>46112</v>
      </c>
      <c r="J48" s="1460">
        <v>154842.11570247935</v>
      </c>
      <c r="K48" s="1461">
        <v>187358.96000000002</v>
      </c>
    </row>
    <row r="49" spans="2:11">
      <c r="B49" s="1447" t="s">
        <v>365</v>
      </c>
      <c r="C49" s="1678" t="s">
        <v>6324</v>
      </c>
      <c r="D49" s="1448" t="s">
        <v>5989</v>
      </c>
      <c r="E49" s="1713">
        <v>68855958</v>
      </c>
      <c r="F49" s="1443" t="s">
        <v>5980</v>
      </c>
      <c r="G49" s="1444">
        <v>1695000</v>
      </c>
      <c r="H49" s="1444">
        <f>G49*1.21</f>
        <v>2050950</v>
      </c>
      <c r="I49" s="1691">
        <v>46752</v>
      </c>
      <c r="J49" s="1460">
        <v>1695000</v>
      </c>
      <c r="K49" s="1461">
        <v>2050950</v>
      </c>
    </row>
    <row r="50" spans="2:11">
      <c r="B50" s="1447" t="s">
        <v>489</v>
      </c>
      <c r="C50" s="1678" t="s">
        <v>6324</v>
      </c>
      <c r="D50" s="1448" t="s">
        <v>5990</v>
      </c>
      <c r="E50" s="1713">
        <v>68855958</v>
      </c>
      <c r="F50" s="1443" t="s">
        <v>5980</v>
      </c>
      <c r="G50" s="1444">
        <v>1970000</v>
      </c>
      <c r="H50" s="1444">
        <v>2383700</v>
      </c>
      <c r="I50" s="1691">
        <v>46752</v>
      </c>
      <c r="J50" s="1460">
        <v>298500</v>
      </c>
      <c r="K50" s="1461">
        <v>361185</v>
      </c>
    </row>
    <row r="51" spans="2:11">
      <c r="B51" s="1447" t="s">
        <v>515</v>
      </c>
      <c r="C51" s="1678" t="s">
        <v>6324</v>
      </c>
      <c r="D51" s="1448" t="s">
        <v>5981</v>
      </c>
      <c r="E51" s="1713">
        <v>68855958</v>
      </c>
      <c r="F51" s="1443" t="s">
        <v>5980</v>
      </c>
      <c r="G51" s="1444">
        <v>1365500</v>
      </c>
      <c r="H51" s="1444">
        <v>1652255</v>
      </c>
      <c r="I51" s="1691">
        <v>46752</v>
      </c>
      <c r="J51" s="1460">
        <v>461869.66942148749</v>
      </c>
      <c r="K51" s="1461">
        <v>558863.19999999995</v>
      </c>
    </row>
    <row r="52" spans="2:11">
      <c r="B52" s="1447" t="s">
        <v>759</v>
      </c>
      <c r="C52" s="1678" t="s">
        <v>6324</v>
      </c>
      <c r="D52" s="1448" t="s">
        <v>5982</v>
      </c>
      <c r="E52" s="1713">
        <v>68855958</v>
      </c>
      <c r="F52" s="1443" t="s">
        <v>5980</v>
      </c>
      <c r="G52" s="1444">
        <v>1338500</v>
      </c>
      <c r="H52" s="1444">
        <v>1619585</v>
      </c>
      <c r="I52" s="1691">
        <v>46752</v>
      </c>
      <c r="J52" s="1460">
        <v>445900.2066115702</v>
      </c>
      <c r="K52" s="1461">
        <v>539540</v>
      </c>
    </row>
    <row r="53" spans="2:11">
      <c r="B53" s="1447" t="s">
        <v>762</v>
      </c>
      <c r="C53" s="1678" t="s">
        <v>6324</v>
      </c>
      <c r="D53" s="1448" t="s">
        <v>5983</v>
      </c>
      <c r="E53" s="1713">
        <v>68855958</v>
      </c>
      <c r="F53" s="1443" t="s">
        <v>5980</v>
      </c>
      <c r="G53" s="1444">
        <v>1344950</v>
      </c>
      <c r="H53" s="1444">
        <v>1627390</v>
      </c>
      <c r="I53" s="1691">
        <v>46752</v>
      </c>
      <c r="J53" s="1460">
        <v>438680</v>
      </c>
      <c r="K53" s="1461">
        <v>530804</v>
      </c>
    </row>
    <row r="54" spans="2:11">
      <c r="B54" s="1436" t="s">
        <v>5994</v>
      </c>
      <c r="C54" s="1678" t="s">
        <v>6324</v>
      </c>
      <c r="D54" s="1442" t="s">
        <v>6198</v>
      </c>
      <c r="E54" s="1713">
        <v>2891506</v>
      </c>
      <c r="F54" s="1443" t="s">
        <v>4895</v>
      </c>
      <c r="G54" s="1444">
        <v>1150000</v>
      </c>
      <c r="H54" s="1444">
        <v>1391500</v>
      </c>
      <c r="I54" s="1691">
        <v>46752</v>
      </c>
      <c r="J54" s="1460">
        <v>724953</v>
      </c>
      <c r="K54" s="1461">
        <v>877193.13</v>
      </c>
    </row>
    <row r="55" spans="2:11">
      <c r="B55" s="1436" t="s">
        <v>6190</v>
      </c>
      <c r="C55" s="1678" t="s">
        <v>6324</v>
      </c>
      <c r="D55" s="1442" t="s">
        <v>6205</v>
      </c>
      <c r="E55" s="1713">
        <v>48111198</v>
      </c>
      <c r="F55" s="1443" t="s">
        <v>6204</v>
      </c>
      <c r="G55" s="1444">
        <v>1900000</v>
      </c>
      <c r="H55" s="1444">
        <v>2299000</v>
      </c>
      <c r="I55" s="1691">
        <v>46682</v>
      </c>
      <c r="J55" s="1460">
        <v>1756223.8147933884</v>
      </c>
      <c r="K55" s="1461">
        <v>2125031</v>
      </c>
    </row>
    <row r="56" spans="2:11">
      <c r="B56" s="1436" t="s">
        <v>5991</v>
      </c>
      <c r="C56" s="1678" t="s">
        <v>6324</v>
      </c>
      <c r="D56" s="1442" t="s">
        <v>5993</v>
      </c>
      <c r="E56" s="1713">
        <v>25347047</v>
      </c>
      <c r="F56" s="1443" t="s">
        <v>5992</v>
      </c>
      <c r="G56" s="1444">
        <v>2900000</v>
      </c>
      <c r="H56" s="1444">
        <v>3509000</v>
      </c>
      <c r="I56" s="1691">
        <v>46627</v>
      </c>
      <c r="J56" s="1460">
        <v>2793781.7520661158</v>
      </c>
      <c r="K56" s="1461">
        <v>3380475.92</v>
      </c>
    </row>
    <row r="57" spans="2:11" ht="13.8" thickBot="1">
      <c r="B57" s="1449" t="s">
        <v>547</v>
      </c>
      <c r="C57" s="1679" t="s">
        <v>6324</v>
      </c>
      <c r="D57" s="1450" t="s">
        <v>548</v>
      </c>
      <c r="E57" s="1715">
        <v>11754</v>
      </c>
      <c r="F57" s="1451" t="s">
        <v>3885</v>
      </c>
      <c r="G57" s="1452">
        <v>27860600</v>
      </c>
      <c r="H57" s="1452">
        <v>32789546</v>
      </c>
      <c r="I57" s="1692">
        <v>46321</v>
      </c>
      <c r="J57" s="1462">
        <v>27786554</v>
      </c>
      <c r="K57" s="1463">
        <v>32184958</v>
      </c>
    </row>
    <row r="58" spans="2:11">
      <c r="B58" s="1672" t="s">
        <v>595</v>
      </c>
      <c r="C58" s="1673" t="s">
        <v>4735</v>
      </c>
      <c r="D58" s="1674" t="s">
        <v>4899</v>
      </c>
      <c r="E58" s="1714">
        <v>7524145</v>
      </c>
      <c r="F58" s="1675" t="s">
        <v>4900</v>
      </c>
      <c r="G58" s="1681">
        <v>1990000</v>
      </c>
      <c r="H58" s="1681">
        <f>1990000*1.21</f>
        <v>2407900</v>
      </c>
      <c r="I58" s="1693">
        <v>46375</v>
      </c>
      <c r="J58" s="1697">
        <v>533440</v>
      </c>
      <c r="K58" s="1677">
        <v>645462.39999999991</v>
      </c>
    </row>
    <row r="59" spans="2:11">
      <c r="B59" s="1436" t="s">
        <v>618</v>
      </c>
      <c r="C59" s="1678" t="s">
        <v>4735</v>
      </c>
      <c r="D59" s="1442" t="s">
        <v>4901</v>
      </c>
      <c r="E59" s="1713">
        <v>4262719</v>
      </c>
      <c r="F59" s="1443" t="s">
        <v>4902</v>
      </c>
      <c r="G59" s="1444">
        <v>1245000</v>
      </c>
      <c r="H59" s="1444">
        <v>1506450</v>
      </c>
      <c r="I59" s="1691">
        <v>2958465</v>
      </c>
      <c r="J59" s="1460">
        <v>797000</v>
      </c>
      <c r="K59" s="1461">
        <v>964370</v>
      </c>
    </row>
    <row r="60" spans="2:11">
      <c r="B60" s="1436" t="s">
        <v>4031</v>
      </c>
      <c r="C60" s="1678" t="s">
        <v>4735</v>
      </c>
      <c r="D60" s="1442" t="s">
        <v>4903</v>
      </c>
      <c r="E60" s="1713">
        <v>4896661</v>
      </c>
      <c r="F60" s="1446" t="s">
        <v>4032</v>
      </c>
      <c r="G60" s="1444">
        <v>1950000</v>
      </c>
      <c r="H60" s="1444">
        <v>2359500</v>
      </c>
      <c r="I60" s="1691">
        <v>46568</v>
      </c>
      <c r="J60" s="1460">
        <v>1775618</v>
      </c>
      <c r="K60" s="1461">
        <v>2148497.7799999998</v>
      </c>
    </row>
    <row r="61" spans="2:11">
      <c r="B61" s="1436" t="s">
        <v>5879</v>
      </c>
      <c r="C61" s="1678" t="s">
        <v>4735</v>
      </c>
      <c r="D61" s="1442" t="s">
        <v>5880</v>
      </c>
      <c r="E61" s="1713">
        <v>4896661</v>
      </c>
      <c r="F61" s="1446" t="s">
        <v>4032</v>
      </c>
      <c r="G61" s="1444">
        <v>480000</v>
      </c>
      <c r="H61" s="1444">
        <v>580800</v>
      </c>
      <c r="I61" s="1691">
        <v>46568</v>
      </c>
      <c r="J61" s="1460">
        <v>305618</v>
      </c>
      <c r="K61" s="1461">
        <v>369797.78</v>
      </c>
    </row>
    <row r="62" spans="2:11">
      <c r="B62" s="1436" t="s">
        <v>5095</v>
      </c>
      <c r="C62" s="1678" t="s">
        <v>4735</v>
      </c>
      <c r="D62" s="1442" t="s">
        <v>5098</v>
      </c>
      <c r="E62" s="1713">
        <v>24207519</v>
      </c>
      <c r="F62" s="1446" t="s">
        <v>5180</v>
      </c>
      <c r="G62" s="1444">
        <f>26191541.32/121*100</f>
        <v>21645901.91735537</v>
      </c>
      <c r="H62" s="1444">
        <v>26191541.32</v>
      </c>
      <c r="I62" s="1691">
        <v>46721</v>
      </c>
      <c r="J62" s="1460">
        <v>14430601.277355369</v>
      </c>
      <c r="K62" s="1461">
        <v>17461027.550000001</v>
      </c>
    </row>
    <row r="63" spans="2:11" ht="13.8" thickBot="1">
      <c r="B63" s="1449" t="s">
        <v>5461</v>
      </c>
      <c r="C63" s="1679" t="s">
        <v>4735</v>
      </c>
      <c r="D63" s="1450" t="s">
        <v>5318</v>
      </c>
      <c r="E63" s="1715">
        <v>24207519</v>
      </c>
      <c r="F63" s="1475" t="s">
        <v>5180</v>
      </c>
      <c r="G63" s="1452">
        <f>26191541.32/121*100</f>
        <v>21645901.91735537</v>
      </c>
      <c r="H63" s="1452">
        <v>26191541.32</v>
      </c>
      <c r="I63" s="1692">
        <v>46721</v>
      </c>
      <c r="J63" s="1462">
        <v>7738942.4922314025</v>
      </c>
      <c r="K63" s="1463">
        <v>9364120.4200000018</v>
      </c>
    </row>
    <row r="64" spans="2:11">
      <c r="B64" s="209"/>
      <c r="C64" s="141"/>
      <c r="D64" s="210"/>
      <c r="E64" s="163"/>
      <c r="F64" s="316"/>
      <c r="G64" s="211"/>
      <c r="H64" s="211"/>
      <c r="I64" s="212"/>
      <c r="J64" s="221"/>
      <c r="K64" s="221"/>
    </row>
    <row r="65" spans="2:11">
      <c r="B65" s="141"/>
      <c r="C65" s="141"/>
      <c r="D65" s="210"/>
      <c r="E65" s="163"/>
      <c r="F65" s="316"/>
      <c r="G65" s="211"/>
      <c r="H65" s="211"/>
      <c r="I65" s="212"/>
      <c r="J65" s="225"/>
      <c r="K65" s="225"/>
    </row>
    <row r="66" spans="2:11">
      <c r="B66" s="141"/>
      <c r="C66" s="141"/>
      <c r="D66" s="210"/>
      <c r="E66" s="163"/>
      <c r="F66" s="316"/>
      <c r="G66" s="211"/>
      <c r="H66" s="211"/>
      <c r="I66" s="212"/>
      <c r="J66" s="225"/>
      <c r="K66" s="225"/>
    </row>
    <row r="67" spans="2:11">
      <c r="B67" s="141"/>
      <c r="C67" s="141"/>
      <c r="D67" s="210"/>
      <c r="E67" s="163"/>
      <c r="F67" s="316"/>
      <c r="G67" s="211"/>
      <c r="H67" s="211"/>
      <c r="I67" s="212"/>
      <c r="J67" s="225"/>
      <c r="K67" s="225"/>
    </row>
    <row r="68" spans="2:11">
      <c r="B68" s="141"/>
      <c r="C68" s="141"/>
      <c r="D68" s="210"/>
      <c r="E68" s="163"/>
      <c r="F68" s="316"/>
      <c r="G68" s="211"/>
      <c r="H68" s="211"/>
      <c r="I68" s="212"/>
      <c r="J68" s="225"/>
      <c r="K68" s="225"/>
    </row>
    <row r="69" spans="2:11">
      <c r="B69" s="141"/>
      <c r="C69" s="141"/>
      <c r="D69" s="210"/>
      <c r="E69" s="163"/>
      <c r="F69" s="316"/>
      <c r="G69" s="211"/>
      <c r="H69" s="211"/>
      <c r="I69" s="212"/>
      <c r="J69" s="225"/>
      <c r="K69" s="225"/>
    </row>
    <row r="70" spans="2:11">
      <c r="B70" s="141"/>
      <c r="C70" s="141"/>
      <c r="D70" s="210"/>
      <c r="E70" s="163"/>
      <c r="F70" s="316"/>
      <c r="G70" s="211"/>
      <c r="H70" s="211"/>
      <c r="I70" s="212"/>
    </row>
    <row r="71" spans="2:11">
      <c r="B71" s="141"/>
      <c r="C71" s="141"/>
      <c r="D71" s="210"/>
      <c r="E71" s="163"/>
      <c r="F71" s="316"/>
      <c r="G71" s="211"/>
      <c r="H71" s="211"/>
      <c r="I71" s="212"/>
    </row>
  </sheetData>
  <mergeCells count="1">
    <mergeCell ref="J3:K3"/>
  </mergeCells>
  <conditionalFormatting sqref="B48:B53">
    <cfRule type="containsText" dxfId="6" priority="843" operator="containsText" text="&quot;A&quot;">
      <formula>NOT(ISERROR(SEARCH(("""A"""),(B48))))</formula>
    </cfRule>
    <cfRule type="containsText" dxfId="5" priority="844" operator="containsText" text="&quot;N&quot;">
      <formula>NOT(ISERROR(SEARCH(("""N"""),(B48))))</formula>
    </cfRule>
    <cfRule type="expression" dxfId="4" priority="845">
      <formula>AND(COUNTIF($B$2:$B$243,B48)+COUNTIF($B$245:$B$64429,B48)&gt;1,NOT(ISBLANK(B48)))</formula>
    </cfRule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58F7-F0D8-4DE4-8960-2F928D0F2555}">
  <dimension ref="B1:J16"/>
  <sheetViews>
    <sheetView workbookViewId="0">
      <selection activeCell="H27" sqref="H27"/>
    </sheetView>
  </sheetViews>
  <sheetFormatPr defaultColWidth="9.109375" defaultRowHeight="14.4"/>
  <cols>
    <col min="1" max="1" width="9.109375" style="66"/>
    <col min="2" max="2" width="6.88671875" style="66" bestFit="1" customWidth="1"/>
    <col min="3" max="3" width="0.5546875" style="66" customWidth="1"/>
    <col min="4" max="4" width="19.44140625" style="66" customWidth="1"/>
    <col min="5" max="5" width="0.5546875" style="66" customWidth="1"/>
    <col min="6" max="6" width="19.44140625" style="66" customWidth="1"/>
    <col min="7" max="7" width="0.5546875" style="66" customWidth="1"/>
    <col min="8" max="8" width="19.44140625" style="66" customWidth="1"/>
    <col min="9" max="9" width="0.5546875" style="66" customWidth="1"/>
    <col min="10" max="10" width="19.44140625" style="66" customWidth="1"/>
    <col min="11" max="16384" width="9.109375" style="66"/>
  </cols>
  <sheetData>
    <row r="1" spans="2:10">
      <c r="B1" s="1779" t="s">
        <v>5359</v>
      </c>
      <c r="C1" s="1779"/>
      <c r="D1" s="1779"/>
      <c r="E1" s="1779"/>
      <c r="F1" s="1779"/>
      <c r="G1" s="1779"/>
      <c r="H1" s="1779"/>
      <c r="I1" s="1779"/>
      <c r="J1" s="1779"/>
    </row>
    <row r="2" spans="2:10">
      <c r="B2" s="1779"/>
      <c r="C2" s="1779"/>
      <c r="D2" s="1779"/>
      <c r="E2" s="1779"/>
      <c r="F2" s="1779"/>
      <c r="G2" s="1779"/>
      <c r="H2" s="1779"/>
      <c r="I2" s="1779"/>
      <c r="J2" s="1779"/>
    </row>
    <row r="3" spans="2:10" ht="4.5" customHeight="1"/>
    <row r="4" spans="2:10">
      <c r="B4" s="770" t="s">
        <v>4622</v>
      </c>
      <c r="C4" s="771"/>
      <c r="D4" s="765" t="s">
        <v>5355</v>
      </c>
      <c r="E4" s="765"/>
      <c r="F4" s="765" t="s">
        <v>5356</v>
      </c>
      <c r="G4" s="765"/>
      <c r="H4" s="765" t="s">
        <v>5357</v>
      </c>
      <c r="I4" s="765"/>
      <c r="J4" s="765" t="s">
        <v>5358</v>
      </c>
    </row>
    <row r="5" spans="2:10" ht="4.5" customHeight="1">
      <c r="B5" s="67"/>
      <c r="D5" s="67"/>
      <c r="E5" s="67"/>
      <c r="F5" s="67"/>
      <c r="G5" s="67"/>
      <c r="H5" s="67"/>
      <c r="I5" s="67"/>
      <c r="J5" s="67"/>
    </row>
    <row r="6" spans="2:10">
      <c r="B6" s="770" t="s">
        <v>3087</v>
      </c>
      <c r="D6" s="766">
        <f>SUM(ÚNLZP!W5:W1048576)</f>
        <v>13495158.23</v>
      </c>
      <c r="E6" s="767"/>
      <c r="F6" s="766">
        <f>SUMIF(ÚNLZP!I5:I1048576,"Celkem",ÚNLZP!U5:U1048576)</f>
        <v>11539512.130000001</v>
      </c>
      <c r="G6" s="767"/>
      <c r="H6" s="766">
        <f>SUMIF(ÚNLZP!I5:I1048576,"Celkem",ÚNLZP!R5:R1048576)</f>
        <v>9075913.8200000003</v>
      </c>
      <c r="I6" s="767"/>
      <c r="J6" s="766">
        <f>SUMIF(ÚNLZP!I5:I1048576,"Celkem",ÚNLZP!O5:O1048576)</f>
        <v>5026208.830000001</v>
      </c>
    </row>
    <row r="7" spans="2:10">
      <c r="B7" s="770" t="s">
        <v>5351</v>
      </c>
      <c r="D7" s="766">
        <f>SUM(ÚEko!W5:W1048576)</f>
        <v>14039118.489999998</v>
      </c>
      <c r="E7" s="767"/>
      <c r="F7" s="766">
        <f>SUMIF(ÚEko!I5:I1048576,"Celkem",ÚEko!U5:U1048576)</f>
        <v>6769471.2799999993</v>
      </c>
      <c r="G7" s="767"/>
      <c r="H7" s="766">
        <f>SUMIF(ÚEko!I5:I1048576,"Celkem",ÚEko!R5:R1048576)</f>
        <v>3374739.23</v>
      </c>
      <c r="I7" s="767"/>
      <c r="J7" s="766">
        <f>SUMIF(ÚEko!I5:I1048576,"Celkem",ÚEko!O5:O1048576)</f>
        <v>317867</v>
      </c>
    </row>
    <row r="8" spans="2:10">
      <c r="B8" s="770" t="s">
        <v>5352</v>
      </c>
      <c r="D8" s="766">
        <f>SUM(ÚLé!T5:T1048576)</f>
        <v>3972143.59</v>
      </c>
      <c r="E8" s="767"/>
      <c r="F8" s="766">
        <f>SUMIF(ÚLé!I5:I1048576,"Celkem",ÚLé!R5:R1048576)</f>
        <v>4634695.1899999995</v>
      </c>
      <c r="G8" s="767"/>
      <c r="H8" s="766">
        <f>SUMIF(ÚLé!I5:I1048576,"Celkem",ÚLé!O5:O1048576)</f>
        <v>2330354.4300000002</v>
      </c>
      <c r="I8" s="767"/>
      <c r="J8" s="766">
        <f>SUMIF(ÚLé!I5:I1048576,"Celkem",ÚLé!L5:L1048576)</f>
        <v>524193.19</v>
      </c>
    </row>
    <row r="9" spans="2:10">
      <c r="B9" s="770" t="s">
        <v>5353</v>
      </c>
      <c r="D9" s="766">
        <f>SUM(ÚPer!T5:T1048576)</f>
        <v>2926696</v>
      </c>
      <c r="E9" s="767"/>
      <c r="F9" s="766">
        <f>SUMIF(ÚPer!I5:I1048576,"Celkem",ÚPer!R5:R1048576)</f>
        <v>1099072</v>
      </c>
      <c r="G9" s="767"/>
      <c r="H9" s="766">
        <f>SUMIF(ÚPer!I5:I1048576,"Celkem",ÚPer!O5:O1048576)</f>
        <v>239620</v>
      </c>
      <c r="I9" s="767"/>
      <c r="J9" s="766">
        <f>SUMIF(ÚPer!I5:I1048576,"Celkem",ÚPer!L5:L1048576)</f>
        <v>0</v>
      </c>
    </row>
    <row r="10" spans="2:10">
      <c r="B10" s="770" t="s">
        <v>3110</v>
      </c>
      <c r="D10" s="766">
        <f>SUM(ÚPT!X5:X1048576)</f>
        <v>17304519.780000001</v>
      </c>
      <c r="E10" s="767"/>
      <c r="F10" s="766">
        <f>SUMIF(ÚPT!I5:I1048576,"Celkem",ÚPT!V5:V1048576)</f>
        <v>14793132.82</v>
      </c>
      <c r="G10" s="767"/>
      <c r="H10" s="766">
        <f>SUMIF(ÚPT!I5:I1048576,"Celkem",ÚPT!R5:R1048576)</f>
        <v>12504998.260000002</v>
      </c>
      <c r="I10" s="767"/>
      <c r="J10" s="766">
        <f>SUMIF(ÚPT!I5:I1048576,"Celkem",ÚPT!O5:O1048576)</f>
        <v>9060955.1399999987</v>
      </c>
    </row>
    <row r="11" spans="2:10">
      <c r="B11" s="770" t="s">
        <v>3116</v>
      </c>
      <c r="D11" s="766">
        <f>SUM(OIT!W5:W1048576)</f>
        <v>29715975.450000003</v>
      </c>
      <c r="E11" s="767"/>
      <c r="F11" s="766">
        <f>SUMIF(OIT!I5:I1048576,"Celkem",OIT!U5:U1048576)</f>
        <v>18381932.93</v>
      </c>
      <c r="G11" s="767"/>
      <c r="H11" s="766">
        <f>SUMIF(OIT!I5:I1048576,"Celkem",OIT!R5:R1048576)</f>
        <v>10129422</v>
      </c>
      <c r="I11" s="767"/>
      <c r="J11" s="766">
        <f>SUMIF(OIT!I5:I1048576,"Celkem",OIT!O5:O1048576)</f>
        <v>1108214.8</v>
      </c>
    </row>
    <row r="12" spans="2:10">
      <c r="B12" s="770" t="s">
        <v>5354</v>
      </c>
      <c r="D12" s="766">
        <f>SUM(ÚŘe!T5:T1048576)</f>
        <v>44795.650000000023</v>
      </c>
      <c r="E12" s="767"/>
      <c r="F12" s="766">
        <f>SUMIF(ÚŘe!I5:I1048576,"Celkem",ÚŘe!R5:R1048576)</f>
        <v>605235.35</v>
      </c>
      <c r="G12" s="767"/>
      <c r="H12" s="766">
        <f>SUMIF(ÚŘe!I5:I1048576,"Celkem",ÚŘe!O5:O1048576)</f>
        <v>136469</v>
      </c>
      <c r="I12" s="767"/>
      <c r="J12" s="766">
        <f>SUMIF(ÚŘe!I5:I1048576,"Celkem",ÚŘe!L5:L1048576)</f>
        <v>0</v>
      </c>
    </row>
    <row r="13" spans="2:10">
      <c r="B13" s="770" t="s">
        <v>3127</v>
      </c>
      <c r="D13" s="766">
        <f>SUM(ZOS!W5:W1048576)</f>
        <v>0</v>
      </c>
      <c r="E13" s="767"/>
      <c r="F13" s="766">
        <f>SUMIF(ZOS!I5:I1048576,"Celkem",ZOS!U5:U1048576)</f>
        <v>0</v>
      </c>
      <c r="G13" s="767"/>
      <c r="H13" s="766">
        <f>SUMIF(ZOS!I5:I1048576,"Celkem",ZOS!R5:R1048576)</f>
        <v>0</v>
      </c>
      <c r="I13" s="767"/>
      <c r="J13" s="766">
        <f>SUMIF(ZOS!I5:I1048576,"Celkem",ZOS!O5:O1048576)</f>
        <v>0</v>
      </c>
    </row>
    <row r="14" spans="2:10">
      <c r="B14" s="770" t="s">
        <v>4667</v>
      </c>
      <c r="D14" s="766">
        <f>SUM(PKP!W5:W1048576)</f>
        <v>46500</v>
      </c>
      <c r="E14" s="767"/>
      <c r="F14" s="766">
        <f>SUMIF(PKP!I5:I1048576,"Celkem",PKP!U5:U1048576)</f>
        <v>103500</v>
      </c>
      <c r="G14" s="767"/>
      <c r="H14" s="766">
        <f>SUMIF(PKP!I5:I1048576,"Celkem",PKP!R5:R1048576)</f>
        <v>0</v>
      </c>
      <c r="I14" s="767"/>
      <c r="J14" s="766">
        <f>SUMIF(PKP!I5:I1048576,"Celkem",PKP!O5:O1048576)</f>
        <v>0</v>
      </c>
    </row>
    <row r="15" spans="2:10" ht="4.5" customHeight="1">
      <c r="D15" s="766"/>
      <c r="E15" s="767"/>
      <c r="F15" s="767"/>
      <c r="G15" s="767"/>
      <c r="H15" s="767"/>
      <c r="I15" s="767"/>
      <c r="J15" s="767"/>
    </row>
    <row r="16" spans="2:10">
      <c r="D16" s="768">
        <f>SUM(D6:D15)</f>
        <v>81544907.190000013</v>
      </c>
      <c r="E16" s="769"/>
      <c r="F16" s="768">
        <f>SUM(F6:F15)</f>
        <v>57926551.700000003</v>
      </c>
      <c r="G16" s="769"/>
      <c r="H16" s="768">
        <f>SUM(H6:H15)</f>
        <v>37791516.740000002</v>
      </c>
      <c r="I16" s="769"/>
      <c r="J16" s="768">
        <f>SUM(J6:J15)</f>
        <v>16037438.960000001</v>
      </c>
    </row>
  </sheetData>
  <mergeCells count="1">
    <mergeCell ref="B1:J2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77ED-5321-44B7-A870-484E2CA0A68A}">
  <dimension ref="B1:J19"/>
  <sheetViews>
    <sheetView zoomScale="115" zoomScaleNormal="115" workbookViewId="0">
      <selection activeCell="C23" sqref="C23"/>
    </sheetView>
  </sheetViews>
  <sheetFormatPr defaultColWidth="17.44140625" defaultRowHeight="13.2"/>
  <cols>
    <col min="1" max="1" width="8.109375" customWidth="1"/>
    <col min="2" max="2" width="17.88671875" customWidth="1"/>
    <col min="3" max="3" width="56.33203125" customWidth="1"/>
  </cols>
  <sheetData>
    <row r="1" spans="2:10" ht="13.8" thickBot="1"/>
    <row r="2" spans="2:10" ht="27" thickBot="1">
      <c r="B2" s="809" t="s">
        <v>4856</v>
      </c>
      <c r="C2" s="809" t="s">
        <v>4857</v>
      </c>
      <c r="D2" s="809" t="s">
        <v>3068</v>
      </c>
      <c r="E2" s="809" t="s">
        <v>4858</v>
      </c>
      <c r="F2" s="810" t="s">
        <v>4859</v>
      </c>
      <c r="G2" s="810" t="s">
        <v>4860</v>
      </c>
      <c r="H2" s="811" t="s">
        <v>4861</v>
      </c>
      <c r="I2" s="1780" t="s">
        <v>4862</v>
      </c>
      <c r="J2" s="1781"/>
    </row>
    <row r="3" spans="2:10" ht="13.8" thickBot="1">
      <c r="B3" s="823"/>
      <c r="C3" s="823"/>
      <c r="D3" s="823"/>
      <c r="E3" s="823"/>
      <c r="F3" s="823"/>
      <c r="G3" s="823"/>
      <c r="H3" s="811" t="s">
        <v>4861</v>
      </c>
      <c r="I3" s="812" t="s">
        <v>4863</v>
      </c>
      <c r="J3" s="813" t="s">
        <v>4864</v>
      </c>
    </row>
    <row r="4" spans="2:10">
      <c r="B4" s="806"/>
      <c r="C4" s="806"/>
      <c r="D4" s="806"/>
      <c r="E4" s="806"/>
      <c r="F4" s="806"/>
      <c r="G4" s="806"/>
      <c r="H4" s="807" t="s">
        <v>5513</v>
      </c>
      <c r="I4" s="808">
        <f>SUM(I5:I18)</f>
        <v>4570537.1733884299</v>
      </c>
      <c r="J4" s="808">
        <f>SUM(J5:J18)</f>
        <v>5796187.7399999993</v>
      </c>
    </row>
    <row r="5" spans="2:10">
      <c r="B5" s="795" t="s">
        <v>4609</v>
      </c>
      <c r="C5" s="796" t="s">
        <v>893</v>
      </c>
      <c r="D5" s="816">
        <v>26746131</v>
      </c>
      <c r="E5" s="796" t="s">
        <v>4947</v>
      </c>
      <c r="F5" s="797">
        <v>150000</v>
      </c>
      <c r="G5" s="797">
        <v>181500</v>
      </c>
      <c r="H5" s="798">
        <v>46022</v>
      </c>
      <c r="I5" s="803">
        <v>80781.188016528933</v>
      </c>
      <c r="J5" s="803">
        <v>97745.15</v>
      </c>
    </row>
    <row r="6" spans="2:10">
      <c r="B6" s="788" t="s">
        <v>833</v>
      </c>
      <c r="C6" s="789" t="s">
        <v>4887</v>
      </c>
      <c r="D6" s="814">
        <v>6288740</v>
      </c>
      <c r="E6" s="818" t="s">
        <v>3696</v>
      </c>
      <c r="F6" s="790">
        <v>750000</v>
      </c>
      <c r="G6" s="790">
        <v>907500</v>
      </c>
      <c r="H6" s="791">
        <v>46008</v>
      </c>
      <c r="I6" s="803">
        <v>584628.09958677692</v>
      </c>
      <c r="J6" s="803">
        <v>712620</v>
      </c>
    </row>
    <row r="7" spans="2:10">
      <c r="B7" s="788" t="s">
        <v>819</v>
      </c>
      <c r="C7" s="789" t="s">
        <v>4873</v>
      </c>
      <c r="D7" s="814">
        <v>27777260</v>
      </c>
      <c r="E7" s="818" t="s">
        <v>4874</v>
      </c>
      <c r="F7" s="790">
        <v>750000</v>
      </c>
      <c r="G7" s="790">
        <v>907500</v>
      </c>
      <c r="H7" s="791">
        <v>45974</v>
      </c>
      <c r="I7" s="804">
        <v>622000</v>
      </c>
      <c r="J7" s="803">
        <v>761260</v>
      </c>
    </row>
    <row r="8" spans="2:10">
      <c r="B8" s="788" t="s">
        <v>824</v>
      </c>
      <c r="C8" s="789" t="s">
        <v>4886</v>
      </c>
      <c r="D8" s="814">
        <v>25099019</v>
      </c>
      <c r="E8" s="818" t="s">
        <v>3588</v>
      </c>
      <c r="F8" s="790">
        <v>1839540</v>
      </c>
      <c r="G8" s="790">
        <v>2225843.4</v>
      </c>
      <c r="H8" s="791">
        <v>45969</v>
      </c>
      <c r="I8" s="803">
        <v>555840</v>
      </c>
      <c r="J8" s="803">
        <v>759258.89999999991</v>
      </c>
    </row>
    <row r="9" spans="2:10">
      <c r="B9" s="788" t="s">
        <v>814</v>
      </c>
      <c r="C9" s="789" t="s">
        <v>4876</v>
      </c>
      <c r="D9" s="814">
        <v>27301800</v>
      </c>
      <c r="E9" s="818" t="s">
        <v>4877</v>
      </c>
      <c r="F9" s="790">
        <v>750000</v>
      </c>
      <c r="G9" s="790">
        <v>907500</v>
      </c>
      <c r="H9" s="791">
        <v>45967</v>
      </c>
      <c r="I9" s="803">
        <v>320980</v>
      </c>
      <c r="J9" s="803">
        <v>426998</v>
      </c>
    </row>
    <row r="10" spans="2:10">
      <c r="B10" s="799" t="s">
        <v>715</v>
      </c>
      <c r="C10" s="800" t="s">
        <v>4893</v>
      </c>
      <c r="D10" s="817">
        <v>19010290</v>
      </c>
      <c r="E10" s="821" t="s">
        <v>4891</v>
      </c>
      <c r="F10" s="801">
        <v>1990000</v>
      </c>
      <c r="G10" s="801">
        <v>2407900</v>
      </c>
      <c r="H10" s="802">
        <v>45830</v>
      </c>
      <c r="I10" s="805">
        <v>338374.71644628106</v>
      </c>
      <c r="J10" s="805">
        <v>409433.38999999996</v>
      </c>
    </row>
    <row r="11" spans="2:10">
      <c r="B11" s="792" t="s">
        <v>730</v>
      </c>
      <c r="C11" s="792" t="s">
        <v>731</v>
      </c>
      <c r="D11" s="792">
        <v>27922677</v>
      </c>
      <c r="E11" s="792" t="s">
        <v>4946</v>
      </c>
      <c r="F11" s="822">
        <v>438000</v>
      </c>
      <c r="G11" s="822">
        <v>529980</v>
      </c>
      <c r="H11" s="791">
        <v>45821</v>
      </c>
      <c r="I11" s="803">
        <v>153300</v>
      </c>
      <c r="J11" s="803">
        <v>185493</v>
      </c>
    </row>
    <row r="12" spans="2:10">
      <c r="B12" s="792" t="s">
        <v>719</v>
      </c>
      <c r="C12" s="792" t="s">
        <v>720</v>
      </c>
      <c r="D12" s="792">
        <v>29268931</v>
      </c>
      <c r="E12" s="792" t="s">
        <v>4945</v>
      </c>
      <c r="F12" s="822">
        <v>500000</v>
      </c>
      <c r="G12" s="822">
        <v>605000</v>
      </c>
      <c r="H12" s="791">
        <v>45812</v>
      </c>
      <c r="I12" s="803">
        <v>115700</v>
      </c>
      <c r="J12" s="803">
        <v>139997</v>
      </c>
    </row>
    <row r="13" spans="2:10">
      <c r="B13" s="794" t="s">
        <v>709</v>
      </c>
      <c r="C13" s="789" t="s">
        <v>4872</v>
      </c>
      <c r="D13" s="814">
        <v>28467299</v>
      </c>
      <c r="E13" s="818" t="s">
        <v>4871</v>
      </c>
      <c r="F13" s="790">
        <v>490000</v>
      </c>
      <c r="G13" s="790">
        <v>592900</v>
      </c>
      <c r="H13" s="791">
        <v>45792</v>
      </c>
      <c r="I13" s="803">
        <v>105000</v>
      </c>
      <c r="J13" s="803">
        <v>127050</v>
      </c>
    </row>
    <row r="14" spans="2:10">
      <c r="B14" s="788" t="s">
        <v>681</v>
      </c>
      <c r="C14" s="789" t="s">
        <v>4883</v>
      </c>
      <c r="D14" s="815">
        <v>26698293</v>
      </c>
      <c r="E14" s="820" t="s">
        <v>3509</v>
      </c>
      <c r="F14" s="790">
        <v>490000</v>
      </c>
      <c r="G14" s="790">
        <v>563500</v>
      </c>
      <c r="H14" s="791">
        <v>45763</v>
      </c>
      <c r="I14" s="803">
        <v>121300</v>
      </c>
      <c r="J14" s="803">
        <v>121300</v>
      </c>
    </row>
    <row r="15" spans="2:10">
      <c r="B15" s="788" t="s">
        <v>678</v>
      </c>
      <c r="C15" s="789" t="s">
        <v>4885</v>
      </c>
      <c r="D15" s="814">
        <v>25099019</v>
      </c>
      <c r="E15" s="818" t="s">
        <v>3588</v>
      </c>
      <c r="F15" s="790">
        <v>1990000</v>
      </c>
      <c r="G15" s="790">
        <v>2407900</v>
      </c>
      <c r="H15" s="791">
        <v>45743</v>
      </c>
      <c r="I15" s="803">
        <v>312440</v>
      </c>
      <c r="J15" s="803">
        <v>459387.19999999995</v>
      </c>
    </row>
    <row r="16" spans="2:10">
      <c r="B16" s="793" t="s">
        <v>657</v>
      </c>
      <c r="C16" s="789" t="s">
        <v>4869</v>
      </c>
      <c r="D16" s="814">
        <v>28849809</v>
      </c>
      <c r="E16" s="819" t="s">
        <v>3381</v>
      </c>
      <c r="F16" s="790">
        <v>1990000</v>
      </c>
      <c r="G16" s="790">
        <v>2407900</v>
      </c>
      <c r="H16" s="791">
        <v>45725</v>
      </c>
      <c r="I16" s="803">
        <v>4421.6900000000605</v>
      </c>
      <c r="J16" s="803">
        <v>76160.70999999973</v>
      </c>
    </row>
    <row r="17" spans="2:10">
      <c r="B17" s="792" t="s">
        <v>4937</v>
      </c>
      <c r="C17" s="792" t="s">
        <v>4971</v>
      </c>
      <c r="D17" s="792">
        <v>10576</v>
      </c>
      <c r="E17" s="792" t="s">
        <v>4938</v>
      </c>
      <c r="F17" s="822">
        <v>150000</v>
      </c>
      <c r="G17" s="822">
        <v>181500</v>
      </c>
      <c r="H17" s="791">
        <v>45716</v>
      </c>
      <c r="I17" s="825">
        <v>0</v>
      </c>
      <c r="J17" s="825">
        <v>0</v>
      </c>
    </row>
    <row r="18" spans="2:10">
      <c r="B18" s="788" t="s">
        <v>654</v>
      </c>
      <c r="C18" s="789" t="s">
        <v>4875</v>
      </c>
      <c r="D18" s="814">
        <v>27529053</v>
      </c>
      <c r="E18" s="818" t="s">
        <v>3424</v>
      </c>
      <c r="F18" s="790">
        <v>490000</v>
      </c>
      <c r="G18" s="790">
        <v>592900</v>
      </c>
      <c r="H18" s="791">
        <v>45715</v>
      </c>
      <c r="I18" s="803">
        <v>1255771.4793388431</v>
      </c>
      <c r="J18" s="803">
        <v>1519484.39</v>
      </c>
    </row>
    <row r="19" spans="2:10">
      <c r="I19" s="824"/>
      <c r="J19" s="824"/>
    </row>
  </sheetData>
  <autoFilter ref="B3:J18" xr:uid="{20DD77ED-5321-44B7-A870-484E2CA0A68A}">
    <sortState xmlns:xlrd2="http://schemas.microsoft.com/office/spreadsheetml/2017/richdata2" ref="B4:J18">
      <sortCondition descending="1" ref="H3:H18"/>
    </sortState>
  </autoFilter>
  <mergeCells count="1">
    <mergeCell ref="I2:J2"/>
  </mergeCells>
  <conditionalFormatting sqref="B4">
    <cfRule type="containsText" dxfId="3" priority="191" operator="containsText" text="&quot;A&quot;">
      <formula>NOT(ISERROR(SEARCH(("""A"""),(B4))))</formula>
    </cfRule>
    <cfRule type="containsText" dxfId="2" priority="192" operator="containsText" text="&quot;N&quot;">
      <formula>NOT(ISERROR(SEARCH(("""N"""),(B4))))</formula>
    </cfRule>
    <cfRule type="expression" dxfId="1" priority="193">
      <formula>AND(COUNTIF($C$1290:$C$65493,B4)+COUNTIF($C$1:$C$863,B4)&gt;1,NOT(ISBLANK(B4)))</formula>
    </cfRule>
    <cfRule type="expression" dxfId="0" priority="194">
      <formula>AND(COUNTIF($C$1:$C$1304,B4)+COUNTIF($C$1306:$C$65493,B4)&gt;1,NOT(ISBLANK(B4)))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14</vt:i4>
      </vt:variant>
    </vt:vector>
  </HeadingPairs>
  <TitlesOfParts>
    <vt:vector size="14" baseType="lpstr">
      <vt:lpstr>PŘEHLED</vt:lpstr>
      <vt:lpstr>seznamy</vt:lpstr>
      <vt:lpstr>ÚNLZP</vt:lpstr>
      <vt:lpstr>ÚEko</vt:lpstr>
      <vt:lpstr>ÚLé</vt:lpstr>
      <vt:lpstr>ÚPer</vt:lpstr>
      <vt:lpstr>ÚPT</vt:lpstr>
      <vt:lpstr>OIT</vt:lpstr>
      <vt:lpstr>ÚŘe</vt:lpstr>
      <vt:lpstr>ZOS</vt:lpstr>
      <vt:lpstr>PKP</vt:lpstr>
      <vt:lpstr>Souhrn všech plnění</vt:lpstr>
      <vt:lpstr>Čerpání celkem</vt:lpstr>
      <vt:lpstr>Končící smlouvy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Brožová Anna</dc:creator>
  <cp:lastModifiedBy>Bezoušková Tereza | ZZSSK</cp:lastModifiedBy>
  <cp:lastPrinted>2025-05-14T11:31:18Z</cp:lastPrinted>
  <dcterms:created xsi:type="dcterms:W3CDTF">2024-02-16T09:42:52Z</dcterms:created>
  <dcterms:modified xsi:type="dcterms:W3CDTF">2025-12-28T16:35:46Z</dcterms:modified>
</cp:coreProperties>
</file>