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Osobní pracovní\Moje tvorba\EEO\"/>
    </mc:Choice>
  </mc:AlternateContent>
  <xr:revisionPtr revIDLastSave="0" documentId="13_ncr:1_{4B23335F-B8F6-4582-9F77-358D77BE1E4E}" xr6:coauthVersionLast="47" xr6:coauthVersionMax="47" xr10:uidLastSave="{00000000-0000-0000-0000-000000000000}"/>
  <bookViews>
    <workbookView xWindow="-108" yWindow="-108" windowWidth="23256" windowHeight="12456" tabRatio="757" xr2:uid="{00000000-000D-0000-FFFF-FFFF00000000}"/>
  </bookViews>
  <sheets>
    <sheet name="Pro Fa modul vše " sheetId="23" r:id="rId1"/>
    <sheet name="EEO Souhrn všech plnění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22" l="1"/>
  <c r="F59" i="22"/>
  <c r="G55" i="22"/>
  <c r="G46" i="22"/>
  <c r="G42" i="22"/>
  <c r="F32" i="22"/>
</calcChain>
</file>

<file path=xl/sharedStrings.xml><?xml version="1.0" encoding="utf-8"?>
<sst xmlns="http://schemas.openxmlformats.org/spreadsheetml/2006/main" count="3144" uniqueCount="1908">
  <si>
    <t>04/12/238</t>
  </si>
  <si>
    <t>Smlouva o zajištění a bezpečnosti objektu_ag. Petr Hollay</t>
  </si>
  <si>
    <t>007/75030926/17</t>
  </si>
  <si>
    <t>výpůjčka 2x záchranářský batoh (D09160467, D09160468)</t>
  </si>
  <si>
    <t>019/75030926/17</t>
  </si>
  <si>
    <t>výpůjčka 6x AED</t>
  </si>
  <si>
    <t>023/75030926/17</t>
  </si>
  <si>
    <t>výpůjčka 1x AED (D09160460)</t>
  </si>
  <si>
    <t>028/75030926/17</t>
  </si>
  <si>
    <t>výpůjčka 1x AED (D09160455)</t>
  </si>
  <si>
    <t>029/75030926/17</t>
  </si>
  <si>
    <t>výpůjčka 1x AED</t>
  </si>
  <si>
    <t>032/75030926/17</t>
  </si>
  <si>
    <t>výpůjčka 3x AED (D09160456, D09160457, D09160458)</t>
  </si>
  <si>
    <t>036/75030926/17</t>
  </si>
  <si>
    <t>výpůjčka 1x AED (D09160459)</t>
  </si>
  <si>
    <t>039/75030926/17</t>
  </si>
  <si>
    <t>internet VZ Vranov</t>
  </si>
  <si>
    <t>040/75030926/17</t>
  </si>
  <si>
    <t>výpůjčka 5x AED (D09160461,D09160462,D09160463,D09160464,D09160465)</t>
  </si>
  <si>
    <t>041/75030926/17</t>
  </si>
  <si>
    <t>výpůjčka 1x AED (UH1170005)</t>
  </si>
  <si>
    <t>042/75030926/17</t>
  </si>
  <si>
    <t>Dodávka vody, Mnichovo Hradiště</t>
  </si>
  <si>
    <t>088/75030926/17</t>
  </si>
  <si>
    <t>věcné břemeno (ČEZ) Beroun</t>
  </si>
  <si>
    <t>094/75030926/17</t>
  </si>
  <si>
    <t>darovací smlouva cca 570 ks Kryštůfků</t>
  </si>
  <si>
    <t>104/75030926/17</t>
  </si>
  <si>
    <t>výpůjčka 5x defibrilátor ZOLL + 1x nabíječka</t>
  </si>
  <si>
    <t>119/75030926/17</t>
  </si>
  <si>
    <t>mytí vozidel VZ Beroun</t>
  </si>
  <si>
    <t>148/75030926/17</t>
  </si>
  <si>
    <t>pronájem dopravního prostředku MB Sprinter 316 CDI (UH1050012) + pojistné</t>
  </si>
  <si>
    <t>157/75030926/17</t>
  </si>
  <si>
    <t>výpůjčka batohů s AED včetně příslušenství (14 ks)</t>
  </si>
  <si>
    <t>158/75030926/17</t>
  </si>
  <si>
    <t>svoz směsného komunálního odpadu VZ Uhl. Janovice</t>
  </si>
  <si>
    <t>175/75030926/17</t>
  </si>
  <si>
    <t>nájem garáže VZ Městec Králové</t>
  </si>
  <si>
    <t>246/75030926/17</t>
  </si>
  <si>
    <t>dodávky poukázek Ticket Sport+Kultura a Ticket Medica</t>
  </si>
  <si>
    <t>042/75030926/18</t>
  </si>
  <si>
    <t>výpůjčka Defibrilátor ZOLL (UH1050032, výr.č. T04H61641)</t>
  </si>
  <si>
    <t>052/75030926/18</t>
  </si>
  <si>
    <t>výpůjčka 5x defibrilátor ZOLL + nabíječka</t>
  </si>
  <si>
    <t>069/75030926/18</t>
  </si>
  <si>
    <t>pronájem modemu VZ Městec Králové</t>
  </si>
  <si>
    <t>070/75030926/18</t>
  </si>
  <si>
    <t>internet VZ Městec Králové</t>
  </si>
  <si>
    <t>072/75030926/18</t>
  </si>
  <si>
    <t>zpětný odběr přenosných baterií a akumulátorů</t>
  </si>
  <si>
    <t>138/75030926/18</t>
  </si>
  <si>
    <t>IOL Ethernet Kladno (optika)</t>
  </si>
  <si>
    <t>147/75030926/18</t>
  </si>
  <si>
    <t>plánovaná pomoc na vyžádání v rámci IZS</t>
  </si>
  <si>
    <t>148/75030926/18</t>
  </si>
  <si>
    <t>163/75030926/18</t>
  </si>
  <si>
    <t>183/75030926/18</t>
  </si>
  <si>
    <t>194/75030926/18</t>
  </si>
  <si>
    <t>smlouva o zpracování osobních údajů</t>
  </si>
  <si>
    <t>226/75030926/18</t>
  </si>
  <si>
    <t>238/75030926/18</t>
  </si>
  <si>
    <t>věcné břemeno VZ Městec Králové</t>
  </si>
  <si>
    <t>254/75030926/18</t>
  </si>
  <si>
    <t>smlouva o centralizovaném zadávání pojištění vozidel + Kooperativa 2023-2027</t>
  </si>
  <si>
    <t>269/75030926/18</t>
  </si>
  <si>
    <t>výpůjčka VW Transporter 9S5 0682 a transp. technika (UH1090009, UH1090010)</t>
  </si>
  <si>
    <t>280/75030926/18</t>
  </si>
  <si>
    <t>281/75030926/18</t>
  </si>
  <si>
    <t>304/75030926/18</t>
  </si>
  <si>
    <t>zajištění likvidace návykových látek a přípravků (opiáty)</t>
  </si>
  <si>
    <t>308/75030926/18</t>
  </si>
  <si>
    <t>nájem + služby (voda, teplo, el.,) VZ Roztoky u Křivoklátu</t>
  </si>
  <si>
    <t>314/75030926/18</t>
  </si>
  <si>
    <t>svoz komunálního odpadu papír, sklo, plast na VZ Benešov</t>
  </si>
  <si>
    <t>315/75030926/18</t>
  </si>
  <si>
    <t>připojení k distribuční soustavě VN nebo VVN Kladno</t>
  </si>
  <si>
    <t>028/75030926/19</t>
  </si>
  <si>
    <t>Smlouva o účtu č. 6522432/0800</t>
  </si>
  <si>
    <t>045/75030926/19</t>
  </si>
  <si>
    <t>Nájem převaděče Soutice</t>
  </si>
  <si>
    <t>080/75030926/19</t>
  </si>
  <si>
    <t>093/75030926/19</t>
  </si>
  <si>
    <t>svoz odpadu směsný + plasty, VZ Jesenice</t>
  </si>
  <si>
    <t>Memorandum o spolupr</t>
  </si>
  <si>
    <t>095/75030926/19</t>
  </si>
  <si>
    <t>141/75030926/19</t>
  </si>
  <si>
    <t>smlouva o centralizovaném zadávání energií</t>
  </si>
  <si>
    <t>188/75030926/19</t>
  </si>
  <si>
    <t>Smlouva o dílo a licenční smlouva "SW řešení pro výjezdové skupiny"</t>
  </si>
  <si>
    <t>208/75030926/19</t>
  </si>
  <si>
    <t>Sml. o sml. budoucí o realizaci přeložek, náhrada oplocení, k.ú. Benešov u Prahy</t>
  </si>
  <si>
    <t>S-271/75030926/19</t>
  </si>
  <si>
    <t>Sml. o poskytování služeb při vydávání kvalifikačních elektro časových razítek</t>
  </si>
  <si>
    <t>S-272/75030926/19</t>
  </si>
  <si>
    <t>Výpůjčka dopravního prostředku VW Transporter T5, RZ 7S6 8653</t>
  </si>
  <si>
    <t>S-276/75030926/19</t>
  </si>
  <si>
    <t>Smlouva o akreditaci s MZ, specializovaný výcvik v oboru Urgentní medicína</t>
  </si>
  <si>
    <t>S-024/75030926/20</t>
  </si>
  <si>
    <t>internet v Kostelci nad Černými lesy</t>
  </si>
  <si>
    <t>S-030/75030926/20</t>
  </si>
  <si>
    <t>Poskytnutí služby TCTV 112 - předání AML zpráv do IS OŘ ZZS</t>
  </si>
  <si>
    <t>S-031/75030926/20</t>
  </si>
  <si>
    <t>Poskytnutí služby SMS konektoru TCTV 112</t>
  </si>
  <si>
    <t>S-034/75030926/20</t>
  </si>
  <si>
    <t>Smlouva o zprostředkování, správěpojištění a poradenské činnosti</t>
  </si>
  <si>
    <t>S-051/75030926/20</t>
  </si>
  <si>
    <t>Spolupráce v akreditovaném kvalifikačním kurzu - Řidič zdravotnické dopr. služby</t>
  </si>
  <si>
    <t>S-053/75030926/20</t>
  </si>
  <si>
    <t>Výpůjčka VW Transporter T5, RZ: 9S5 0684</t>
  </si>
  <si>
    <t>S-056/75030926/20</t>
  </si>
  <si>
    <t>Výpůjčka VW Transporter T5, RZ 9S5 0680</t>
  </si>
  <si>
    <t>S-061/75030926/20</t>
  </si>
  <si>
    <t>Dohoda o spolupráci - výuka studentů</t>
  </si>
  <si>
    <t>S-068/75030926/20</t>
  </si>
  <si>
    <t>Spolupráce při provádění laboratorních vyšetření biologického materiálu</t>
  </si>
  <si>
    <t>S-073/75030926/20</t>
  </si>
  <si>
    <t>Svoz komunálního odpadu, plastů, Mnihcovo Hradiště, Mladá Boleslav</t>
  </si>
  <si>
    <t>S-085/75030926/20</t>
  </si>
  <si>
    <t>Svoz odpadu (plast, papír), Benátky nad Jizerou</t>
  </si>
  <si>
    <t>S-093/75030926/20</t>
  </si>
  <si>
    <t>nájem + služby (teplo, el., vodné a stočné) VZ Brandýs nad Labem</t>
  </si>
  <si>
    <t>S-094/75030926/20</t>
  </si>
  <si>
    <t>Věcné břemeno - zřízení služebnosti užívacího práva a práva stezky</t>
  </si>
  <si>
    <t>S-133/75030926/20</t>
  </si>
  <si>
    <t>nájem + služby VZ Lysá nad Labem</t>
  </si>
  <si>
    <t>S-189/75030926/20</t>
  </si>
  <si>
    <t>Smlouva o výpůjčce dopravního prostředku VW T5 rz 2SD 2594 nosítka, radiostanice</t>
  </si>
  <si>
    <t>S-190/75030926/20</t>
  </si>
  <si>
    <t>Smlouva o výpůjčce dopravního prostředku VW T5 rz 3SJ 4819 nosítka, mobilní jedn</t>
  </si>
  <si>
    <t>S-193/75030926/20</t>
  </si>
  <si>
    <t>Výpůjčka dopravního prostředku, VW Transporter T5, rz 2SD 2588</t>
  </si>
  <si>
    <t>S-194/75030926/20</t>
  </si>
  <si>
    <t>Výpůjčka dopravního prostředku, kolový kontejner, rz 5S7 8717</t>
  </si>
  <si>
    <t>S-212/75030926/20</t>
  </si>
  <si>
    <t>Výpůjčka 9ks polomasek PM1, 34 ks celoobličejové masky GUZU CM-6</t>
  </si>
  <si>
    <t>S-003/75030926/21</t>
  </si>
  <si>
    <t>komunální odpad VZ Zbraslavice, komunální odpad + plast + papír VZ Kutná Hora</t>
  </si>
  <si>
    <t>S-007/75030926/21</t>
  </si>
  <si>
    <t>Smlouva o výpůjčce prostoru k podnikání, Mnichovo Hradiště</t>
  </si>
  <si>
    <t>S-008/75030926/21</t>
  </si>
  <si>
    <t>směsný komunální odpad z VZ Kolín</t>
  </si>
  <si>
    <t>S-013/75030926/21</t>
  </si>
  <si>
    <t>směsný komunální odpad + papír + plast z VZ Brandýs nad Labem</t>
  </si>
  <si>
    <t>S-018/75030926/21</t>
  </si>
  <si>
    <t>Smlouva o výpůjčce 6 ks detektoru CO BW Clip</t>
  </si>
  <si>
    <t>S-029/75030926/21</t>
  </si>
  <si>
    <t>svoz odpadu - Jesenice</t>
  </si>
  <si>
    <t>S-033/75030926/21</t>
  </si>
  <si>
    <t>Smlouva o svozu bio odpadu, Brandýs nad Labem</t>
  </si>
  <si>
    <t>S-038/75030926/21</t>
  </si>
  <si>
    <t>připojení odběrného elektrického zařízení - Neratovice</t>
  </si>
  <si>
    <t>S-039/75030926/21</t>
  </si>
  <si>
    <t>Dohoda o zajištění přístupové cesty Kostelec nad Černími lesy</t>
  </si>
  <si>
    <t>S-044/75030926/21</t>
  </si>
  <si>
    <t>výpůjčka prostor VZ Příbram + teplo, el. energie, vodné a stočné, odpad</t>
  </si>
  <si>
    <t>S-045/75030926/21</t>
  </si>
  <si>
    <t>nájem převaděče Ostředek</t>
  </si>
  <si>
    <t>S-052/75030926/21</t>
  </si>
  <si>
    <t>Smlouva o smlouvě budoucí - zřízení věcného břemene služebnosti</t>
  </si>
  <si>
    <t>S-060/75030926/21</t>
  </si>
  <si>
    <t>Svoz komunálního odpadu VZ Nymburk</t>
  </si>
  <si>
    <t>S-073/75030926/21</t>
  </si>
  <si>
    <t>Svoz komunálního odpadu Zdice, Hořovice</t>
  </si>
  <si>
    <t>S-098/75030926/21</t>
  </si>
  <si>
    <t>Bankovní účet, transparentní, Tornádo</t>
  </si>
  <si>
    <t>S-164/75030926/21</t>
  </si>
  <si>
    <t>Smlouva o výpůjčce vakuové matrace</t>
  </si>
  <si>
    <t>S-187/75030926/21</t>
  </si>
  <si>
    <t>Výpůjčka CO BW Clip</t>
  </si>
  <si>
    <t>S-193/75030926/21</t>
  </si>
  <si>
    <t>ostraha ZZS Kostelec nad Černými lesy</t>
  </si>
  <si>
    <t>S-196/75030926/21</t>
  </si>
  <si>
    <t>S-201/75030926/21</t>
  </si>
  <si>
    <t>Součinnostní dohoda - k zajištění ZZS na letišti Příbram</t>
  </si>
  <si>
    <t>S-210/75030926/21</t>
  </si>
  <si>
    <t>pronájem nebytových prostor Benešov, Kačengovi ordinace</t>
  </si>
  <si>
    <t>S-211/75030926/21</t>
  </si>
  <si>
    <t>nájem + služby VZ Zruč nad Sázavou</t>
  </si>
  <si>
    <t>S-020/75030926/22</t>
  </si>
  <si>
    <t>Výpůjčka AED, výrobní číslo 49646047</t>
  </si>
  <si>
    <t>S-023/75030926/22</t>
  </si>
  <si>
    <t>Servisní služby pro zajištění provozu zdravotnického operačn. střediska ZZS SčK</t>
  </si>
  <si>
    <t>S-029/75030926/22</t>
  </si>
  <si>
    <t>Smlouva o výpůjčce - 15 ks batohů vybavených AED</t>
  </si>
  <si>
    <t>S-030/75030926/22</t>
  </si>
  <si>
    <t>Smlouva o dodávce vody a o odvádění odpadních vod č. 3814/2</t>
  </si>
  <si>
    <t>S-031/75030926/22</t>
  </si>
  <si>
    <t>Smlouva o nakládání s odpadem č. S/5001657/22600046/001/2021</t>
  </si>
  <si>
    <t>S-041/75030926/22</t>
  </si>
  <si>
    <t>Poskytování služeb "Příjem a předávání SMS 155, odesílání SMS"</t>
  </si>
  <si>
    <t>S-045/75030926/22</t>
  </si>
  <si>
    <t>Smlouva o poskytování odbor. poradenství při admin. projektu financ. z ČR/EU</t>
  </si>
  <si>
    <t>S-051/75030926/22</t>
  </si>
  <si>
    <t>Likvidace ekolog. odpadů_Rak,Čás,Příb,Ber,Hoř,Zdic,Jesen,Říč, Br n L,Měl,M Král</t>
  </si>
  <si>
    <t>S-073/75030926/22</t>
  </si>
  <si>
    <t>svoz směsného komunálního odpadu + plast + sklo VZ Kladno</t>
  </si>
  <si>
    <t>S-082/75030926/22</t>
  </si>
  <si>
    <t>Mytí služebních vozů Roztoky</t>
  </si>
  <si>
    <t>S-096/75030926/22</t>
  </si>
  <si>
    <t>Rámcová smlouva o poskytnutí právních služeb_administrace VZ</t>
  </si>
  <si>
    <t>S-119/75030926/22</t>
  </si>
  <si>
    <t>svoz odpadu - Čáslav</t>
  </si>
  <si>
    <t>S-125/75030926/22</t>
  </si>
  <si>
    <t>Smlouva o poskytování přístupu k internetu č. 2022000403</t>
  </si>
  <si>
    <t>Laryngoskopy</t>
  </si>
  <si>
    <t>S-132/75030926/22</t>
  </si>
  <si>
    <t>Smlouva o dílo na servis výtahů č. SS 1230_Kolín</t>
  </si>
  <si>
    <t>Smlouva o dílo na servis výtahů č. SS 862_Kutná Hora</t>
  </si>
  <si>
    <t>S-139/75030926/22</t>
  </si>
  <si>
    <t>Smlouva o naklád. s odpad. a přepr. odpadů_Janovice_Zruč_nebezpečný odpad</t>
  </si>
  <si>
    <t>S-156/75030926/22</t>
  </si>
  <si>
    <t>Dodávka vody_Kostelec nad Černými lesy</t>
  </si>
  <si>
    <t>S-162/75030926/22</t>
  </si>
  <si>
    <t>Svoz odpadu_Beroun_komunál, papír, plast</t>
  </si>
  <si>
    <t>S-166/75030926/22</t>
  </si>
  <si>
    <t>nájem VZ Zbraslavice + teplo, el. energie, vodné a stočné</t>
  </si>
  <si>
    <t>Smlouva o dílo_provádění oprav, kontrol a čištění výměníku (LAVAL)</t>
  </si>
  <si>
    <t>S-179/75030926/22</t>
  </si>
  <si>
    <t>byt Komenského 3379_Tomáš a Marcela Tampierovi nájemní smlouva</t>
  </si>
  <si>
    <t>S-187/75030926/22</t>
  </si>
  <si>
    <t>S-202/75030926/22</t>
  </si>
  <si>
    <t>Smlouva o nájmu prostor_Obec Vranov</t>
  </si>
  <si>
    <t>S-204/75030926/22</t>
  </si>
  <si>
    <t>Smlouva o posk. poradenství_žádost o dotaci a admin. projektu IROP 2021-2027</t>
  </si>
  <si>
    <t>S-216/75030926/22</t>
  </si>
  <si>
    <t>Smlouva o poskytování služby elektronických komunikací</t>
  </si>
  <si>
    <t>S-239/75030926/22</t>
  </si>
  <si>
    <t>S-240/75030926/22</t>
  </si>
  <si>
    <t>Smlouva o sdružených služ. dodávky elektřin_ul. Komenského_Tampierovi</t>
  </si>
  <si>
    <t>S-250/75030926/22</t>
  </si>
  <si>
    <t>Smlouva o sdr. služ. dodávky plynu_ul. Komenského</t>
  </si>
  <si>
    <t>S-265/75030926/22</t>
  </si>
  <si>
    <t>S-266/75030926/22</t>
  </si>
  <si>
    <t>Servisní smlouva č. SO-4242 údržba a podpora provozu</t>
  </si>
  <si>
    <t>S-279/75030926/22</t>
  </si>
  <si>
    <t>Smlouva o výpůjčce 3x defibrilátory + 3x nabíječky</t>
  </si>
  <si>
    <t>S-283/75030926/22</t>
  </si>
  <si>
    <t>Smlouva o připojení k distribuční soustavě č. 320090192825_od.místo_Neratovice</t>
  </si>
  <si>
    <t>S-287/75030926/22</t>
  </si>
  <si>
    <t>dekontaminační místnost - nájem + služby (teplo, voda, elektřina) VZ Vlašim</t>
  </si>
  <si>
    <t>S-295/75030926/22</t>
  </si>
  <si>
    <t>Rámcová smlouva kupní a nájemní_MEDICINÁL. KYSLÍK PLYNNÝ VČ. NÁJMU.TL.LAHVÍ</t>
  </si>
  <si>
    <t>S-317/75030926/22</t>
  </si>
  <si>
    <t>Smlouva o nájmu nebytových prostor_Město Hostivice</t>
  </si>
  <si>
    <t>S-342/75030926/22</t>
  </si>
  <si>
    <t>Digitalizace - Licenční smlouva_oprávnění na užívání programového vybavení</t>
  </si>
  <si>
    <t>S-357/75030926/22</t>
  </si>
  <si>
    <t>Dohoda o narovnání ke sml. o nájmu nebyt. prostor ze dne 1.9.2022_130/SPR/2020</t>
  </si>
  <si>
    <t>S-363/75030926/22</t>
  </si>
  <si>
    <t>S-367/75030926/22</t>
  </si>
  <si>
    <t>Smlouva o budoucí nájemní smlouvě_Město Jesenice</t>
  </si>
  <si>
    <t>Budoucí nájemní</t>
  </si>
  <si>
    <t>S-011/75030926/23</t>
  </si>
  <si>
    <t>Smlouva o poskytování služeb_elektronizace dokumentů</t>
  </si>
  <si>
    <t>S-012/75030926/23</t>
  </si>
  <si>
    <t>Smlouva o výpůjčce_defibrilátor LP 12(výr.č.37226333,invent.č.UH1080093)</t>
  </si>
  <si>
    <t>S-020/75030926/23</t>
  </si>
  <si>
    <t>Smlouva o poskytování služeb_poradenství při sestavení účetní závěrky</t>
  </si>
  <si>
    <t>S-023/75030926/23</t>
  </si>
  <si>
    <t>S-031/75030926/23</t>
  </si>
  <si>
    <t>Smlouva o nájmu prostoru sloužícího k podnikání</t>
  </si>
  <si>
    <t>S-033/75030926/23</t>
  </si>
  <si>
    <t>Pronájem místnosti pro provoz zařízení pro výrobu tepla a ohřev TUV</t>
  </si>
  <si>
    <t>S-038/75030926/23</t>
  </si>
  <si>
    <t>S-045/75030926/23</t>
  </si>
  <si>
    <t>Nájemní smlouva_kancelářský prostor</t>
  </si>
  <si>
    <t>Smlouva o úklidových službách_Kutná Hora</t>
  </si>
  <si>
    <t>S-055/75030926/23</t>
  </si>
  <si>
    <t>Smlouva o spolupráci_sanitní vozidlo_Mladá Boleslav</t>
  </si>
  <si>
    <t>S-065/75030926/23</t>
  </si>
  <si>
    <t>Smlouva o poskytování pracovnělékařských služeb_okres kladno_MUDr. Jana Sůvová</t>
  </si>
  <si>
    <t>S-080/75030926/23</t>
  </si>
  <si>
    <t>S-083/75030926/23</t>
  </si>
  <si>
    <t>Smlouva o poskytování pracovnělékařských služeb_oblastní nemocnice Příbram, a.s.</t>
  </si>
  <si>
    <t>S-090/75030926/23</t>
  </si>
  <si>
    <t>Přidání nových funkcí a rozšíření komunikace stávajícího e-Health konektoru</t>
  </si>
  <si>
    <t>S-118/75030926/23</t>
  </si>
  <si>
    <t>Smlouva o poskytnutí fin.prostředků z FZŠ ČKP na kalen.rok 2023</t>
  </si>
  <si>
    <t>S-124/75030926/23</t>
  </si>
  <si>
    <t>Smlouva o centralizovaném zadávání_nákup prodoktů společnosti Cisco Systems</t>
  </si>
  <si>
    <t>S-132/75030926/23</t>
  </si>
  <si>
    <t>Příkazní sml o provozu registr. autor. pro vydávání kval. a komer. certif._I.CA</t>
  </si>
  <si>
    <t>S-135/75030926/23</t>
  </si>
  <si>
    <t>S-136/75030926/23</t>
  </si>
  <si>
    <t>S-138/75030926/23</t>
  </si>
  <si>
    <t>Smlouva o poskytování pracovnělékařských služeb_MUDr. Jiří Machů</t>
  </si>
  <si>
    <t>S-147/75030926/23</t>
  </si>
  <si>
    <t>Smlouva o poskytování poradenských a konzultačních služeb</t>
  </si>
  <si>
    <t>S-170/75030926/23</t>
  </si>
  <si>
    <t>Smlouva o poskytování pracovnělékařských služeb</t>
  </si>
  <si>
    <t>S-171/75030926/23</t>
  </si>
  <si>
    <t>S-179/75030926/23</t>
  </si>
  <si>
    <t>výpůjčka AED_D09160447, D09160448</t>
  </si>
  <si>
    <t>S-208/75030926/23</t>
  </si>
  <si>
    <t>Kyslíková terapie - část A - Kyslíkové masky s rezervoárem pro dospělé</t>
  </si>
  <si>
    <t>S-209/75030926/23</t>
  </si>
  <si>
    <t>Kyslíková terapie - část B - Kyslíkové masky s rezervoárem pro děti</t>
  </si>
  <si>
    <t>S-210/75030926/23</t>
  </si>
  <si>
    <t>Kyslíková terapie - Část C - Kyslíkové nebulizační masky pro dospělé</t>
  </si>
  <si>
    <t>S-211/75030926/23</t>
  </si>
  <si>
    <t>Kyslíková terapie - Část D - Kyslíkové nebulizační masky pro děti</t>
  </si>
  <si>
    <t>Nájemní smlouva_zasedací místnost_jednorázová školení</t>
  </si>
  <si>
    <t>S-233/75030926/23</t>
  </si>
  <si>
    <t>S-235/75030926/23</t>
  </si>
  <si>
    <t>Smlouva o poskytování pracovnělékařsk služeb_MUDr. J. Dalecký_MUDr. V. Hulínský</t>
  </si>
  <si>
    <t>S-243/75030926/23</t>
  </si>
  <si>
    <t>S-245/75030926/23</t>
  </si>
  <si>
    <t>S-247/75030926/23</t>
  </si>
  <si>
    <t>Smlouva o likvidaci odpadů - Mladá Boleslav</t>
  </si>
  <si>
    <t>zajištění stáže</t>
  </si>
  <si>
    <t>S-276/75030926/23</t>
  </si>
  <si>
    <t>Servisní smlouva_programového vybavení CODEXISR GREEN</t>
  </si>
  <si>
    <t>S-280/75030926/23</t>
  </si>
  <si>
    <t>svoz odpadu, Jesenice, Plzeňská 20</t>
  </si>
  <si>
    <t>S-304/75030926/23</t>
  </si>
  <si>
    <t>Rámcová kupní smlouva "Léky II"</t>
  </si>
  <si>
    <t>S-309/75030926/23</t>
  </si>
  <si>
    <t>Smlouva o výpůjčce_dočasné užívání prostor_Brandýs nad Labem</t>
  </si>
  <si>
    <t>S-312/75030926/23</t>
  </si>
  <si>
    <t>Rámcová kupní smlouva - Adaptéry ke kapnografu EMMA</t>
  </si>
  <si>
    <t>S-319/75030926/23</t>
  </si>
  <si>
    <t>S-320/75030926/23</t>
  </si>
  <si>
    <t>Smlouva o nájmu nebytových prostor_Jesenice u Rakovníka</t>
  </si>
  <si>
    <t>S-321/75030926/23</t>
  </si>
  <si>
    <t>Rámcová kupní smlouva_Intravenózní kanyly</t>
  </si>
  <si>
    <t>S-323/75030926/23</t>
  </si>
  <si>
    <t>Kupní smlouva_Helmy pro mimořádné události ZZS SK</t>
  </si>
  <si>
    <t>S-328/75030926/23</t>
  </si>
  <si>
    <t>S-329/75030926/23</t>
  </si>
  <si>
    <t>Smlouva o spolupráci při provozování web aplik Bezpečný SK se ZZS SK</t>
  </si>
  <si>
    <t>S-330/75030926/23</t>
  </si>
  <si>
    <t>Smlouva na poskytování telekomunikačních služeb sítě Internet</t>
  </si>
  <si>
    <t>S-337/75030926/23</t>
  </si>
  <si>
    <t>Zajištění praxe, zdravotnický záchranář, 12/23-9/24</t>
  </si>
  <si>
    <t>S-338/75030926/23</t>
  </si>
  <si>
    <t>S-343/75030926/23</t>
  </si>
  <si>
    <t>S-347/75030926/23</t>
  </si>
  <si>
    <t>Sml o výpůjčce doprav prostř a transp techniky_Volkswagen Transporter_2SD 2576</t>
  </si>
  <si>
    <t>S-356/75030926/23</t>
  </si>
  <si>
    <t>Smlouva o pronájmu zařízení 20231204/001_tiskové zřízení</t>
  </si>
  <si>
    <t>S-357/75030926/23</t>
  </si>
  <si>
    <t>Smlouva o servisním a materiálovém zabezpečení_tiskárna</t>
  </si>
  <si>
    <t>S-358/75030926/23</t>
  </si>
  <si>
    <t>Smlouva o poskytování právních služeb_náhrada škody proti spol. TresTech s.r.o.</t>
  </si>
  <si>
    <t>S-359/75030926/23</t>
  </si>
  <si>
    <t>Sml o poskytování právních služeb_zamítnutí žádosti o poskytnutí dotace</t>
  </si>
  <si>
    <t>Smlouva o poskytování konzultačních a dalších souvisejících služeb</t>
  </si>
  <si>
    <t>S-003/75030926/24</t>
  </si>
  <si>
    <t>Přefakturace el.energie Sedlčany 159</t>
  </si>
  <si>
    <t>Reklamní předměty</t>
  </si>
  <si>
    <t>S-008/75030926/24</t>
  </si>
  <si>
    <t>S-015/75030926/24</t>
  </si>
  <si>
    <t>Smlouva o nájmu nebytových prostor Zdiby nahrazující sml.8/09/158</t>
  </si>
  <si>
    <t>S-016/75030926/24</t>
  </si>
  <si>
    <t>S-020/75030926/24</t>
  </si>
  <si>
    <t>Sml.o poskytování pracovnělékařských služeb MUDr.Ďurčovič</t>
  </si>
  <si>
    <t>S-026/75030926/24</t>
  </si>
  <si>
    <t>Smlouva o výpůjčce 2ks palubních jednotek C-ITS OBU pro sanitní vozidla</t>
  </si>
  <si>
    <t>S-029/75030926/24</t>
  </si>
  <si>
    <t>Spolupráce v oblasti spec. vzdělávání lékařů v oboru Urgentní medicína</t>
  </si>
  <si>
    <t>S-030/75030926/24</t>
  </si>
  <si>
    <t>Smlouva o nájmu prostor občanského vybavení č. 2024-011/SEK Benátky nad Jizerou</t>
  </si>
  <si>
    <t>00/01/001</t>
  </si>
  <si>
    <t>nájem VZ Vlašim + tep. energie, teplá voda, vodné a stočné, elektřina, odpad</t>
  </si>
  <si>
    <t>00/10/008</t>
  </si>
  <si>
    <t>smlouva o zřízení věcného břemene - prostory VZ Městec Králové</t>
  </si>
  <si>
    <t>01/04/003</t>
  </si>
  <si>
    <t>ZZS hl. m. Prahy pomoc na vyžádání</t>
  </si>
  <si>
    <t>03/03/017</t>
  </si>
  <si>
    <t>lékařské pohotovostní služby MUDr. Zikmunda</t>
  </si>
  <si>
    <t>03/04/039</t>
  </si>
  <si>
    <t>služby VZ Benešov (el.energie,voda,tel.ústředna,převozy pacientů)</t>
  </si>
  <si>
    <t>03/05/066</t>
  </si>
  <si>
    <t>servis pohonu vrat VZ Nymburk</t>
  </si>
  <si>
    <t>03/07/081</t>
  </si>
  <si>
    <t>nájem VZ Nymburk + vytápění, el. energie, vodné, stočné, úklid, ostraha, odpad</t>
  </si>
  <si>
    <t>03/09/082</t>
  </si>
  <si>
    <t>smlouva o spolupráci při pokytování ZZS</t>
  </si>
  <si>
    <t>03/12/086</t>
  </si>
  <si>
    <t>telekomunikační služby T-Mobile (velká smlouva)</t>
  </si>
  <si>
    <t>04/01/001</t>
  </si>
  <si>
    <t>programové vybavení - účetnictví VEMA</t>
  </si>
  <si>
    <t>04/01/002</t>
  </si>
  <si>
    <t>tepelná energie VZ Kostelec nad Černými lesy</t>
  </si>
  <si>
    <t>04/02/007</t>
  </si>
  <si>
    <t>programové vybavení - Profia</t>
  </si>
  <si>
    <t>04/07/017</t>
  </si>
  <si>
    <t>smlouva o spolupráci při poskytování ZZS</t>
  </si>
  <si>
    <t>04/09/024</t>
  </si>
  <si>
    <t>směsný komunální odpad z VZ Říčany</t>
  </si>
  <si>
    <t>04/11/029</t>
  </si>
  <si>
    <t>nájem převaděče Záhrabská</t>
  </si>
  <si>
    <t>04/11/030</t>
  </si>
  <si>
    <t>nájem VZ Jesenice</t>
  </si>
  <si>
    <t>04/12/040</t>
  </si>
  <si>
    <t>nájem věžového vodojemu Slaný Háje pro umístění převaděče</t>
  </si>
  <si>
    <t>04/12/050</t>
  </si>
  <si>
    <t>nájem převaděče Cukrák</t>
  </si>
  <si>
    <t>05/01/001</t>
  </si>
  <si>
    <t>směsný komunální odpad z VZ Kostelec nad Černými lesy</t>
  </si>
  <si>
    <t>05/03/003</t>
  </si>
  <si>
    <t>nájem převaděče Mělník</t>
  </si>
  <si>
    <t>05/03/004</t>
  </si>
  <si>
    <t>nájem převaděče Doubek</t>
  </si>
  <si>
    <t>05/03/006</t>
  </si>
  <si>
    <t>servis radiokomunikačních technologií</t>
  </si>
  <si>
    <t>05/04/013</t>
  </si>
  <si>
    <t>služba ADSL Contact VZ Lysá nad Labem</t>
  </si>
  <si>
    <t>05/05/016</t>
  </si>
  <si>
    <t>nájem převaděče Džbány</t>
  </si>
  <si>
    <t>05/11/022</t>
  </si>
  <si>
    <t>služby VZ Ml. Boleslav - drobné údrž. práce, obsluha kotle, energie, odpad</t>
  </si>
  <si>
    <t>06/01/001</t>
  </si>
  <si>
    <t>dodávky pitné vody a odvod odpadních vod VZ Beroun</t>
  </si>
  <si>
    <t>06/03/004</t>
  </si>
  <si>
    <t>Nemocnice Čáslav pomoc na vyžádání</t>
  </si>
  <si>
    <t>06/08/013</t>
  </si>
  <si>
    <t>nájem VZ Krásná Hora</t>
  </si>
  <si>
    <t>06/11/015</t>
  </si>
  <si>
    <t>smlouva o poskytování a úhradě zdravotní péče č.j. UT-55-34/2006 - Bělá</t>
  </si>
  <si>
    <t>06/12/018</t>
  </si>
  <si>
    <t>smlouva o poskytování a úhradě zdravotní péče Pojišťovny VZP 22108000</t>
  </si>
  <si>
    <t>06/12/019</t>
  </si>
  <si>
    <t>smlouva o poskytování a úhradě zdravotní péče Pojišťovny VZP 22107000</t>
  </si>
  <si>
    <t>07/02/002</t>
  </si>
  <si>
    <t>spolupráce při realizaci Rallye Rejvíz</t>
  </si>
  <si>
    <t>07/03/003</t>
  </si>
  <si>
    <t>spolupráce - přístupové komunikace v areálu kladenské nemocnice</t>
  </si>
  <si>
    <t>07/04/005</t>
  </si>
  <si>
    <t>pronájem a provoz tepelného zařízení Kladno - ITES</t>
  </si>
  <si>
    <t>07/04/006</t>
  </si>
  <si>
    <t>tepelná energie VZ Kladno a ředitelství</t>
  </si>
  <si>
    <t>07/04/007</t>
  </si>
  <si>
    <t>dodávka vody + odvod odpadních vod VZ Kladno a ředitelství</t>
  </si>
  <si>
    <t>07/07/013</t>
  </si>
  <si>
    <t>nájem VZ Český Brod + el. energie, studená voda + ostaní služby</t>
  </si>
  <si>
    <t>07/12/024</t>
  </si>
  <si>
    <t>spolupráce s MP Kladno</t>
  </si>
  <si>
    <t>07/12/025</t>
  </si>
  <si>
    <t>pitná voda + odvod odpadních vod VZ Krásná Hora</t>
  </si>
  <si>
    <t>08/02/033</t>
  </si>
  <si>
    <t>nájem nádob na směsný komunální odpad na VZ Zbraslavice</t>
  </si>
  <si>
    <t>08/03/048</t>
  </si>
  <si>
    <t>nájem VZ Rakovník + odpad, vodné a stočné, el. energie, teplo</t>
  </si>
  <si>
    <t>08/03/209</t>
  </si>
  <si>
    <t>nebezpečný odpad (léčiva) ze všech výjezdových stanovišť</t>
  </si>
  <si>
    <t>08/04/055</t>
  </si>
  <si>
    <t>poskytování informací o poloze volajícího</t>
  </si>
  <si>
    <t>08/04/059</t>
  </si>
  <si>
    <t>dodávka tepelné energie VZ Benešov</t>
  </si>
  <si>
    <t>08/09/145</t>
  </si>
  <si>
    <t>směsný komunální odpad z VZ Roztoky u Křivoklátu</t>
  </si>
  <si>
    <t>08/09/161</t>
  </si>
  <si>
    <t>nájem VZ Březnice + teplo</t>
  </si>
  <si>
    <t>09/01/001</t>
  </si>
  <si>
    <t>směsný komunální odpad z VZ Městec Králové</t>
  </si>
  <si>
    <t>09/02/027</t>
  </si>
  <si>
    <t>Ambulance Meditrans pomoc na vyžádání</t>
  </si>
  <si>
    <t>09/04/055</t>
  </si>
  <si>
    <t>výpůjčka vozidlová a ruční radiostanice (D02041809, D09080303)</t>
  </si>
  <si>
    <t>09/08/148</t>
  </si>
  <si>
    <t>zdravotnický materiál</t>
  </si>
  <si>
    <t>09/09/156</t>
  </si>
  <si>
    <t>callcentrum 800 888 155</t>
  </si>
  <si>
    <t>09/09/160</t>
  </si>
  <si>
    <t>služby spojené s nájmem VZ Březnice (el.energie + voda)</t>
  </si>
  <si>
    <t>10/01/006</t>
  </si>
  <si>
    <t>nebezpečný odpad z VZ Kutná Hora</t>
  </si>
  <si>
    <t>10/01/010</t>
  </si>
  <si>
    <t>ZZS ASČR Kralupy pomoc na vyžádání</t>
  </si>
  <si>
    <t>10/05/069</t>
  </si>
  <si>
    <t>Nemocnice Kladno pomoc na vyžádání</t>
  </si>
  <si>
    <t>10/05/070</t>
  </si>
  <si>
    <t>specializační vzdělávání lékařů v oboru UM</t>
  </si>
  <si>
    <t>10/05/075</t>
  </si>
  <si>
    <t>výpůjčka 1x nosítka Galileo (UH1040063)</t>
  </si>
  <si>
    <t>10/07/096</t>
  </si>
  <si>
    <t>zajištění přednemocniční péče VZ Mníšek pod Brdy, Davle, Zbraslav</t>
  </si>
  <si>
    <t>10/07/097</t>
  </si>
  <si>
    <t>zajištění přednemocniční péče VZ Kralupy nad Vltavou, Slaný</t>
  </si>
  <si>
    <t>10/07/101</t>
  </si>
  <si>
    <t>výpůjčka nafukovací člun T35 (D09060321) lodní motor BF 5A4 SU (D09060320)</t>
  </si>
  <si>
    <t>10/08/108</t>
  </si>
  <si>
    <t>nájem převaděče Háje</t>
  </si>
  <si>
    <t>10/08/111</t>
  </si>
  <si>
    <t>10/08/113</t>
  </si>
  <si>
    <t>údržba výtahu ZZS Kladno č. 31392093</t>
  </si>
  <si>
    <t>10/08/114</t>
  </si>
  <si>
    <t>údržba výtahu ZZS Kladno č. 31392057</t>
  </si>
  <si>
    <t>10/12/178</t>
  </si>
  <si>
    <t>nebezpečný odpad z VZ Benešov, Votice, Vlašim, Vranov, Sedlčany, Nymburk</t>
  </si>
  <si>
    <t>11/01/006</t>
  </si>
  <si>
    <t>součinnost při poukazování finančních prostředků penzijního připojištění</t>
  </si>
  <si>
    <t>11/02/030</t>
  </si>
  <si>
    <t>mytí služebních vozidel Hostivice</t>
  </si>
  <si>
    <t>11/04/052</t>
  </si>
  <si>
    <t>nájem převaděče Velké Přílepy</t>
  </si>
  <si>
    <t>11/04/053</t>
  </si>
  <si>
    <t>nájem převaděče Roztoky u Křivoklátu</t>
  </si>
  <si>
    <t>11/04/054</t>
  </si>
  <si>
    <t>nájem převaděče Modletice</t>
  </si>
  <si>
    <t>11/04/057</t>
  </si>
  <si>
    <t>služby spojené s nájmem VZ Kolín - el.energie, vodné, stočné</t>
  </si>
  <si>
    <t>11/05/069</t>
  </si>
  <si>
    <t>TRANS HOSPITAL pomoc na vyžádání</t>
  </si>
  <si>
    <t>11/05/070</t>
  </si>
  <si>
    <t>pitná voda + odvod odpadních vod VZ Mělník</t>
  </si>
  <si>
    <t>11/06/091</t>
  </si>
  <si>
    <t>údržba kominikačního zařízení SIEMENS HiPath 3800</t>
  </si>
  <si>
    <t>11/09/129</t>
  </si>
  <si>
    <t>věcného břemeno - pozemek okolo budovy ZZS SčK</t>
  </si>
  <si>
    <t>11/09/134</t>
  </si>
  <si>
    <t>výpůjčka plovoucího mola (UH1040054)</t>
  </si>
  <si>
    <t>11/10/154</t>
  </si>
  <si>
    <t>nájem převaděče Miskovice</t>
  </si>
  <si>
    <t>11/11/178</t>
  </si>
  <si>
    <t>mytí služebních vozidel Rakovník</t>
  </si>
  <si>
    <t>11/11/182</t>
  </si>
  <si>
    <t>výpůjčka movitých věcí a zdrav. prostředků v prostorách bývalé LPS Ml. Boleslav</t>
  </si>
  <si>
    <t>11/11/184</t>
  </si>
  <si>
    <t>dodávka mobilních jednotek LUPUS a poskytování služby WEB dispečink</t>
  </si>
  <si>
    <t>11/12/207</t>
  </si>
  <si>
    <t>poukázky Ticket Multi Beroun</t>
  </si>
  <si>
    <t>12/02/005</t>
  </si>
  <si>
    <t>tepelná energie VZ Český Brod, Energie AG Kolín</t>
  </si>
  <si>
    <t>12/04/025</t>
  </si>
  <si>
    <t>transportní křeslo - stair pro model 6252 - výrobní číslo SN 101040679</t>
  </si>
  <si>
    <t>12/07/051</t>
  </si>
  <si>
    <t>nájem VZ Nové Strašecí + teplo, el. energie, vodné a stočné</t>
  </si>
  <si>
    <t>12/09/070</t>
  </si>
  <si>
    <t>pitná voda VZ Mnichovo Hradiště</t>
  </si>
  <si>
    <t>12/10/078</t>
  </si>
  <si>
    <t>odvod odpadních vod VZ Mnichovo Hradiště</t>
  </si>
  <si>
    <t>12/10/079</t>
  </si>
  <si>
    <t>pitná voda + odvod odpadních vod VZ Mladá Boleslav</t>
  </si>
  <si>
    <t>12/12/097</t>
  </si>
  <si>
    <t>voda VZ Kutná Hora</t>
  </si>
  <si>
    <t>13/01/002</t>
  </si>
  <si>
    <t>nebezpečný odpad + lapoly, plast, papír VZ Kutná Hora, Zruč, Uhl. Janovice</t>
  </si>
  <si>
    <t>13/01/015</t>
  </si>
  <si>
    <t>pracovnělékařské služby ZZS Příbram atd. (MUDr. Stanislav Urban)</t>
  </si>
  <si>
    <t>13/02/023</t>
  </si>
  <si>
    <t>poskytování elektronických online zdrojů umístěných na doméně www.zachranka.cz</t>
  </si>
  <si>
    <t>13/04/199</t>
  </si>
  <si>
    <t>13/06/109</t>
  </si>
  <si>
    <t>13/06/197</t>
  </si>
  <si>
    <t>nájem VZ Čáslav + el.energie,teplo,vodné,kom. odpad</t>
  </si>
  <si>
    <t>13/07/086</t>
  </si>
  <si>
    <t>licenční smlouva k užívání digitálních map Shapefile č._600_LS_JJe_13_010</t>
  </si>
  <si>
    <t>13/07/087</t>
  </si>
  <si>
    <t>licenční smlouva k užívání digitálních map Shapefile č._600_LS_JJe_13_009</t>
  </si>
  <si>
    <t>13/07/088</t>
  </si>
  <si>
    <t>licenční smlouva k užívání digitálních map TiF, TFW č._600_LS_JJe_13_008</t>
  </si>
  <si>
    <t>13/08/193</t>
  </si>
  <si>
    <t>13/08/194</t>
  </si>
  <si>
    <t>13/08/195</t>
  </si>
  <si>
    <t>13/08/196</t>
  </si>
  <si>
    <t>smlouva o spolupráci při poskytování ZZS + LZS</t>
  </si>
  <si>
    <t>13/09/183</t>
  </si>
  <si>
    <t>směsný komunální odpad z VZ Lysá nad Labem</t>
  </si>
  <si>
    <t>13/10/170</t>
  </si>
  <si>
    <t>13/10/206</t>
  </si>
  <si>
    <t>licenční smlouva k užívání digitálních map TiF, TFW č._600_LS_JJe_13_011</t>
  </si>
  <si>
    <t>13/12/208</t>
  </si>
  <si>
    <t>babyboxy</t>
  </si>
  <si>
    <t>14/04/062</t>
  </si>
  <si>
    <t>zasílatelská smlouva - přeprava zásilek PPL</t>
  </si>
  <si>
    <t>14/05/076</t>
  </si>
  <si>
    <t>mytí služebních vozidel Sedlčany</t>
  </si>
  <si>
    <t>14/05/095</t>
  </si>
  <si>
    <t>pitná voda + odvod odpadních vod  VZ Neratovice</t>
  </si>
  <si>
    <t>14/05/097</t>
  </si>
  <si>
    <t>výpůjčka 3x AED (UH1140005, UH1140006, UH1140007)</t>
  </si>
  <si>
    <t>14/05/098</t>
  </si>
  <si>
    <t>výpůjčka 1x AED (UH1140008)</t>
  </si>
  <si>
    <t>14/05/099</t>
  </si>
  <si>
    <t>výpůjčka 1x AED (UH1140004)</t>
  </si>
  <si>
    <t>14/05/100</t>
  </si>
  <si>
    <t>výpůjčka 1x AED (UH1140040)</t>
  </si>
  <si>
    <t>14/05/101</t>
  </si>
  <si>
    <t>výpůjčka 1x AED (UH1140041)</t>
  </si>
  <si>
    <t>14/05/102</t>
  </si>
  <si>
    <t>výpůjčka 1x AED (UH1140033)</t>
  </si>
  <si>
    <t>14/05/103</t>
  </si>
  <si>
    <t>výpůjčka 1x AED (UH1140003)</t>
  </si>
  <si>
    <t>14/05/104</t>
  </si>
  <si>
    <t>výpůjčka 1x AED (UH1140042)</t>
  </si>
  <si>
    <t>14/05/105</t>
  </si>
  <si>
    <t>výpůjčka 1x AED (UH1140047)</t>
  </si>
  <si>
    <t>14/05/106</t>
  </si>
  <si>
    <t>výpůjčka 1x AED (UH1140001)</t>
  </si>
  <si>
    <t>14/05/107</t>
  </si>
  <si>
    <t>výpůjčka 1x AED (UH1140002)</t>
  </si>
  <si>
    <t>14/06/118</t>
  </si>
  <si>
    <t>výpůjčka 1x AED (UH1140038)</t>
  </si>
  <si>
    <t>14/06/119</t>
  </si>
  <si>
    <t>výpůjčka 3x AED (UH1140043,UH1140044,UH1140045)</t>
  </si>
  <si>
    <t>14/06/120</t>
  </si>
  <si>
    <t>výpůjčka 1x AED (UH1140010)</t>
  </si>
  <si>
    <t>14/06/121</t>
  </si>
  <si>
    <t>výpůjčka 1x AED (UH1140050)</t>
  </si>
  <si>
    <t>14/06/122</t>
  </si>
  <si>
    <t>výpůjčka 1x AED (UH1140009)</t>
  </si>
  <si>
    <t>14/06/123</t>
  </si>
  <si>
    <t>výpůjčka 1x AED (UH1140032)</t>
  </si>
  <si>
    <t>14/06/124</t>
  </si>
  <si>
    <t>výpůjčka 1x AED (UH1140046)</t>
  </si>
  <si>
    <t>14/06/125</t>
  </si>
  <si>
    <t>výpůjčka 1x AED (UH1140054)</t>
  </si>
  <si>
    <t>14/06/126</t>
  </si>
  <si>
    <t>výpůjčka 1x AED (UH1140039)</t>
  </si>
  <si>
    <t>14/07/015</t>
  </si>
  <si>
    <t>výpůjčka 1x AED (UH1140055)</t>
  </si>
  <si>
    <t>14/09/109</t>
  </si>
  <si>
    <t>tepelná energie VZ Sedlčany</t>
  </si>
  <si>
    <t>15/02/001</t>
  </si>
  <si>
    <t>nájem garáže VZ Sedlčany</t>
  </si>
  <si>
    <t>15/02/009</t>
  </si>
  <si>
    <t>výpůjčka 1x AED (UH1150019)</t>
  </si>
  <si>
    <t>15/02/010</t>
  </si>
  <si>
    <t>výpůjčka 1x AED (UH1150012)</t>
  </si>
  <si>
    <t>15/02/013</t>
  </si>
  <si>
    <t>výpůjčka 1x AED (UH1150011)</t>
  </si>
  <si>
    <t>15/02/015</t>
  </si>
  <si>
    <t>výpůjčka 1x AED (UH1150028)</t>
  </si>
  <si>
    <t>15/02/016</t>
  </si>
  <si>
    <t>výpůjčka 1x AED (UH1150025)</t>
  </si>
  <si>
    <t>15/02/018</t>
  </si>
  <si>
    <t>výpůjčka 2x AED (UH1150026, UH1150027)</t>
  </si>
  <si>
    <t>15/02/019</t>
  </si>
  <si>
    <t>výpůjčka 3x AED (UH1150015, UH1150016, UH1150017)</t>
  </si>
  <si>
    <t>15/02/020</t>
  </si>
  <si>
    <t>rámcová smlouva 39 BES 2015 / BN - měřáky tepla Benešov</t>
  </si>
  <si>
    <t>15/02/039</t>
  </si>
  <si>
    <t>nebezpečný odpad (léčiva) z VZ Kladno</t>
  </si>
  <si>
    <t>15/03/001</t>
  </si>
  <si>
    <t>výpůjčka 1x AED (UH1150018)</t>
  </si>
  <si>
    <t>15/03/013</t>
  </si>
  <si>
    <t>tepelná energie VZ Mělník</t>
  </si>
  <si>
    <t>15/04/001</t>
  </si>
  <si>
    <t>směsný komunální odpad z VZ Český Brod</t>
  </si>
  <si>
    <t>15/04/005</t>
  </si>
  <si>
    <t>výpůjčka 1x AED (UH1150032)</t>
  </si>
  <si>
    <t>15/04/011</t>
  </si>
  <si>
    <t>výpůjčka 1x AED (UH1150029)</t>
  </si>
  <si>
    <t>15/04/012</t>
  </si>
  <si>
    <t>výpůjčka 1x AED (UH1150030)</t>
  </si>
  <si>
    <t>15/04/014</t>
  </si>
  <si>
    <t>výpůjčka 5x AED(UH1150020,UH1150021,UH1150022,UH1150023,UH1150024)</t>
  </si>
  <si>
    <t>15/05/006</t>
  </si>
  <si>
    <t>výpůjčka 1x tréninkového AED s přísl. (D09130327)</t>
  </si>
  <si>
    <t>15/05/008</t>
  </si>
  <si>
    <t>internet UVTairmax B - Benešov</t>
  </si>
  <si>
    <t>15/06/026</t>
  </si>
  <si>
    <t>smlouva o spolupráci "Karta mého srdce"</t>
  </si>
  <si>
    <t>15/07/002</t>
  </si>
  <si>
    <t>smlouva o spolupráci VITAKARTA portál online</t>
  </si>
  <si>
    <t>15/07/003</t>
  </si>
  <si>
    <t>smlouva o sdílení a poskytování dopravních informací v rámci "JSDI"</t>
  </si>
  <si>
    <t>15/07/004</t>
  </si>
  <si>
    <t>výpůjčka 1x AED (UH1150033)</t>
  </si>
  <si>
    <t>15/07/008</t>
  </si>
  <si>
    <t>spolupráce při realizaci programu specializačního vzdělávání v oboru UM</t>
  </si>
  <si>
    <t>15/07/009</t>
  </si>
  <si>
    <t>15/10/007</t>
  </si>
  <si>
    <t>výpůjčka 2x tréninkového AED (D09150081, D09150082)</t>
  </si>
  <si>
    <t>15/10/012</t>
  </si>
  <si>
    <t>smlouva o přístupu ke komunikační infrastruktuře eMeDocS</t>
  </si>
  <si>
    <t>15/11/011</t>
  </si>
  <si>
    <t>smlouva o přístupu ke komunikační infrastruktuře a k projektu eHealth (IOP23)</t>
  </si>
  <si>
    <t>15/11/013</t>
  </si>
  <si>
    <t>umístění telekomunikačních zařízení TS NGN (Vančurova, Kladno)</t>
  </si>
  <si>
    <t>15/11/016</t>
  </si>
  <si>
    <t>připojení k distribuční soustavě VZ Uhlířské Janovice</t>
  </si>
  <si>
    <t>15/12/012</t>
  </si>
  <si>
    <t>nebezpečný, směsný kom. a tříděný odpad + lapoly VZ Benešov, Kladno, Mělník</t>
  </si>
  <si>
    <t>16/01/011</t>
  </si>
  <si>
    <t>smlouva o úhradě technického zhodnocení a jeho odepisování - VZ Sedlčany</t>
  </si>
  <si>
    <t>16/01/022</t>
  </si>
  <si>
    <t>výpůjčka 1x AED (UH1160021)</t>
  </si>
  <si>
    <t>16/01/023</t>
  </si>
  <si>
    <t>16/01/024</t>
  </si>
  <si>
    <t>výpůjčka 1x AED (UH1160018)</t>
  </si>
  <si>
    <t>16/01/025</t>
  </si>
  <si>
    <t>výpůjčka 1x AED (UH1160025)</t>
  </si>
  <si>
    <t>16/01/026</t>
  </si>
  <si>
    <t>výpůjčka 1x AED (UH1160027)</t>
  </si>
  <si>
    <t>16/01/027</t>
  </si>
  <si>
    <t>výpůjčka 3x AED (UH1160022, UH1160023, UH1160024)</t>
  </si>
  <si>
    <t>16/01/028</t>
  </si>
  <si>
    <t>výpůjčka 1x AED (UH1160033)</t>
  </si>
  <si>
    <t>16/01/029</t>
  </si>
  <si>
    <t>výpůjčka 1x AED (UH1160019)</t>
  </si>
  <si>
    <t>16/01/030</t>
  </si>
  <si>
    <t>výpůjčka 1x AED (UH1160026)</t>
  </si>
  <si>
    <t>16/02/045</t>
  </si>
  <si>
    <t>výpůjčka 7x AED (UH1160034,UH1160035,UH1160036,UH1160037,UH1160038,UH1160039,40)</t>
  </si>
  <si>
    <t>16/03/048</t>
  </si>
  <si>
    <t>výpůjčka pozemku pro přístřešek na VS Sedlčany</t>
  </si>
  <si>
    <t>16/03/050</t>
  </si>
  <si>
    <t>výpůjčka 1x vakuové matrace Vakuform (D09160034)</t>
  </si>
  <si>
    <t>16/03/062</t>
  </si>
  <si>
    <t>smlouva o spolupráci při provozování mobilní aplikace</t>
  </si>
  <si>
    <t>16/05/099</t>
  </si>
  <si>
    <t>smlouva o úhradě technického zhodnocení a jeho odepisování - Uhl.Janovice</t>
  </si>
  <si>
    <t>16/05/117</t>
  </si>
  <si>
    <t>výpůjčka zdravotnického vybavení</t>
  </si>
  <si>
    <t>16/05/143</t>
  </si>
  <si>
    <t>rámcová smlouva - služeby elektronických komunikací UPC</t>
  </si>
  <si>
    <t>16/06/114</t>
  </si>
  <si>
    <t>odvoz použitých pneumatik - dílny Benešov</t>
  </si>
  <si>
    <t>16/06/127</t>
  </si>
  <si>
    <t>výpůjčka 1x plicní ventilátor Medumat (UH1040082) 1x držák Life Base (D05040713)</t>
  </si>
  <si>
    <t>168/75030926/16</t>
  </si>
  <si>
    <t>výpůjčka 3x vakuová matrace EM, 3x vakuová dlaha na HK, 3x vakuová dlaha na DK</t>
  </si>
  <si>
    <t>171/75030926/16</t>
  </si>
  <si>
    <t>směsný komunální odpad + plast VZ Březnice</t>
  </si>
  <si>
    <t>205/75030926/16</t>
  </si>
  <si>
    <t>plná moc zřizovatele ke zveřejňování smluv v Registru smluv</t>
  </si>
  <si>
    <t>288/75030926/16</t>
  </si>
  <si>
    <t>směsný komunální odpad VZ Roztoky</t>
  </si>
  <si>
    <t>95/09/001</t>
  </si>
  <si>
    <t>směsný komunální odpad + plasty z VZ Mělník, směsný kom. odpad z VZ Neratovice</t>
  </si>
  <si>
    <t>97/11/003</t>
  </si>
  <si>
    <t>nájem VZ Uhlířské Janovice</t>
  </si>
  <si>
    <t>98/10/003</t>
  </si>
  <si>
    <t>nájem (bezplatný) garáže VZ Uhlířské Janovice</t>
  </si>
  <si>
    <t>98/11/001</t>
  </si>
  <si>
    <t>servisní činnost - ČOV VZ Mělník</t>
  </si>
  <si>
    <t>99/09/007</t>
  </si>
  <si>
    <t>nájem VZ Kolín</t>
  </si>
  <si>
    <t>IČO</t>
  </si>
  <si>
    <t>ÚNLZP</t>
  </si>
  <si>
    <t>Krajské ředitelství policie Středočeského kraje</t>
  </si>
  <si>
    <t>75151481</t>
  </si>
  <si>
    <t>ÚLé</t>
  </si>
  <si>
    <t>MUDr. Helena Veselá</t>
  </si>
  <si>
    <t>ÚPT</t>
  </si>
  <si>
    <t>OIT</t>
  </si>
  <si>
    <t>Olejníček Jan, JUDr., advokát</t>
  </si>
  <si>
    <t>MKSH, příspěvková organizace , Hostivice</t>
  </si>
  <si>
    <t>ZOS</t>
  </si>
  <si>
    <t xml:space="preserve">Generální ředitelství cel </t>
  </si>
  <si>
    <t>Záchranný sbor Česká republika - jednotka Náchod</t>
  </si>
  <si>
    <t>Pardubický kraj</t>
  </si>
  <si>
    <t>Ústecký kraj</t>
  </si>
  <si>
    <t>Liberecký kraj</t>
  </si>
  <si>
    <t>ÚEko</t>
  </si>
  <si>
    <t>Středočeský kraj</t>
  </si>
  <si>
    <t>Kraj Vysočina</t>
  </si>
  <si>
    <t>Jihočeský kraj</t>
  </si>
  <si>
    <t>Plzeňský kraj</t>
  </si>
  <si>
    <t>Královéhradecký kraj</t>
  </si>
  <si>
    <t xml:space="preserve">Hasičský záchranný sbor Středočeského kraje </t>
  </si>
  <si>
    <t>Dětský domov a Školní jídelna, Zruč nad Sázavou, Poštovní 593</t>
  </si>
  <si>
    <t xml:space="preserve">RALLYE REJVÍZ z.s. </t>
  </si>
  <si>
    <t xml:space="preserve">Český telekomunikační úřad </t>
  </si>
  <si>
    <t>ÚŘe</t>
  </si>
  <si>
    <t>Česká kancelář pojistitelů</t>
  </si>
  <si>
    <t>70099618</t>
  </si>
  <si>
    <t>České vysoké učení technické v Praze</t>
  </si>
  <si>
    <t>MUDr. Petr SIROTEK</t>
  </si>
  <si>
    <t>Ředitelství silnic a dálnic s. p.</t>
  </si>
  <si>
    <t xml:space="preserve">T-Mobile Czech Republic a.s. </t>
  </si>
  <si>
    <t>ANALYSIS s.r.o.</t>
  </si>
  <si>
    <t>FOSAN s.r.o.</t>
  </si>
  <si>
    <t>MEDIROL s.r.o.</t>
  </si>
  <si>
    <t xml:space="preserve">Generali penzijní fond, a.s. </t>
  </si>
  <si>
    <t>DOWELL spol. s r.o.</t>
  </si>
  <si>
    <t>RCS Kladno, s.r.o.</t>
  </si>
  <si>
    <t>1322314 bez DPH</t>
  </si>
  <si>
    <t>Městské tepelné hospodářství Kolín, spol. s r.o.</t>
  </si>
  <si>
    <t>Bohumil Boura</t>
  </si>
  <si>
    <t>RUMPOLD-P s.r.o.</t>
  </si>
  <si>
    <t xml:space="preserve">Střední zemědělská škola, Brandýs nad Labem - Stará Boleslav, Zápská 302 </t>
  </si>
  <si>
    <t>Ústřední vojenská nemocnice - Vojenská fakultní nemocnice Praha</t>
  </si>
  <si>
    <t xml:space="preserve">ista Česká republika s.r.o. </t>
  </si>
  <si>
    <t xml:space="preserve">Pražská plynárenská, a.s. </t>
  </si>
  <si>
    <t>O2 Czech Republic a.s.</t>
  </si>
  <si>
    <t>Ministerstvo obrany</t>
  </si>
  <si>
    <t>synlab czech s.r.o.</t>
  </si>
  <si>
    <t>FCC HP, s.r.o.</t>
  </si>
  <si>
    <t>Záchranná služba Asociace samaritánů ČR Kralupy nad Vltavou z.s.</t>
  </si>
  <si>
    <t>31.12.9999??</t>
  </si>
  <si>
    <t>Správa Pražského hradu</t>
  </si>
  <si>
    <t>AVE CZ odpadové hospodářství s.r.o.</t>
  </si>
  <si>
    <t>Lacera, s.r.o.</t>
  </si>
  <si>
    <t>Vodohospodářské sdružení obcí Slánské oblasti</t>
  </si>
  <si>
    <t>B. Braun Medical s.r.o.</t>
  </si>
  <si>
    <t>Záchranná služba Asociace samaritánů České republiky Praha-západ z.s.</t>
  </si>
  <si>
    <t>Auto - Poly spol. s r.o.</t>
  </si>
  <si>
    <t>Perfect Distribution a.s.</t>
  </si>
  <si>
    <t>SH ČMS - Sbor dobrovolných hasičů Zdice</t>
  </si>
  <si>
    <t>COMPAG MLADÁ BOLESLAV s.r.o.</t>
  </si>
  <si>
    <t>Technické služby Benešov, s.r.o.</t>
  </si>
  <si>
    <t>ITES spol. s r.o.</t>
  </si>
  <si>
    <t>Energie AG Kolín a.s.</t>
  </si>
  <si>
    <t>Vodohospodářská společnost Benešov a.s.</t>
  </si>
  <si>
    <t xml:space="preserve">FCC Neratovice, s.r.o. </t>
  </si>
  <si>
    <t>MUDr. Aleš Zikmunda, praktický lékař</t>
  </si>
  <si>
    <t>Česká pošta, s.p.</t>
  </si>
  <si>
    <t>Martin Macík</t>
  </si>
  <si>
    <t>MUDr. Jana Císařová</t>
  </si>
  <si>
    <t>Zdravotnická záchranná služba Libereckého kraje, příspěvková organizace</t>
  </si>
  <si>
    <t>ATLAS consulting spol. s r.o.</t>
  </si>
  <si>
    <t>Vodovody a kanalizace Mladá Boleslav, a.s.</t>
  </si>
  <si>
    <t>Vodovody a kanalizace Beroun, a.s.</t>
  </si>
  <si>
    <t xml:space="preserve">FCC Česká republika, s.r.o. </t>
  </si>
  <si>
    <t>ČEZ, a. s.</t>
  </si>
  <si>
    <t>PTÚ_Nájemní smlouva vysílač Rakovník</t>
  </si>
  <si>
    <t>Generali Česká pojišťovna a.s.</t>
  </si>
  <si>
    <t>Česká spořitelna, a.s.</t>
  </si>
  <si>
    <t>ANEXIA s.r.o.</t>
  </si>
  <si>
    <t xml:space="preserve">Energie - stavební a báňská a.s. </t>
  </si>
  <si>
    <t>AMBULANCE MEDITRANS s.r.o.</t>
  </si>
  <si>
    <t>Šebesta, spol. s r.o.</t>
  </si>
  <si>
    <t>Městské zdravotnické zařízení Březnice</t>
  </si>
  <si>
    <t>TJ Auto Škoda Mladá Boleslav, z.s.</t>
  </si>
  <si>
    <t>Marius Pedersen a.s.</t>
  </si>
  <si>
    <t>Princip a.s.</t>
  </si>
  <si>
    <t>DiBO EAST s.r.o.</t>
  </si>
  <si>
    <t>Teleflex Medical s.r.o.</t>
  </si>
  <si>
    <t xml:space="preserve">JABLOTRON SECURITY a.s. </t>
  </si>
  <si>
    <t>ProfiOdpady s.r.o.</t>
  </si>
  <si>
    <t xml:space="preserve">TRANS HOSPITAL, s.r.o. </t>
  </si>
  <si>
    <t>TELCONNECT s.r.o.</t>
  </si>
  <si>
    <t>Městská společnost sportovní a rekreační areály, s.r.o.</t>
  </si>
  <si>
    <t>KS montáže, s.r.o.</t>
  </si>
  <si>
    <t>?</t>
  </si>
  <si>
    <t>POLYMED medical CZ, a.s.</t>
  </si>
  <si>
    <t>C.E.B., a.s.</t>
  </si>
  <si>
    <t>Letiště Příbram s.r.o.</t>
  </si>
  <si>
    <t>ČEZ Teplárenská, a.s.</t>
  </si>
  <si>
    <t>150 000,00 Kč</t>
  </si>
  <si>
    <t>LHL s.r.o.</t>
  </si>
  <si>
    <t>GasNet, s.r.o.</t>
  </si>
  <si>
    <t>Oblastní nemocnice Kladno, a.s., nemocnice Středočeského kraje</t>
  </si>
  <si>
    <t>Oblastní nemocnice Mladá Boleslav, a.s., nemocnice Středočeského kraje</t>
  </si>
  <si>
    <t>24 000,00 Kč</t>
  </si>
  <si>
    <t>Oblastní nemocnice Kolín, a.s., nemocnice Středočeského kraje</t>
  </si>
  <si>
    <t>380 000,00 Kč</t>
  </si>
  <si>
    <t>Nemocnice Rudolfa a Stefanie Benešov, a.s., nemocnice Středočeského kraje</t>
  </si>
  <si>
    <t xml:space="preserve">Dragon Internet a.s. </t>
  </si>
  <si>
    <t>Vysoká škola zdravotnická, o.p.s.</t>
  </si>
  <si>
    <t>ČEZ Prodej, a.s.</t>
  </si>
  <si>
    <t>Arei reklamní předměty s.r.o.</t>
  </si>
  <si>
    <t>Tlapnet s.r.o.</t>
  </si>
  <si>
    <t>Sedlčanské technické služby,s.r.o.</t>
  </si>
  <si>
    <t xml:space="preserve">Nemocnice Český Brod s.r.o. </t>
  </si>
  <si>
    <t>Schindler CZ, a.s.</t>
  </si>
  <si>
    <t>CHEIRÓN a.s.</t>
  </si>
  <si>
    <t>Oblastní nemocnice Příbram, a.s.</t>
  </si>
  <si>
    <t>SK Kladno a.s.</t>
  </si>
  <si>
    <t>BABYBOX - Ludvík Hess a Jakub Hess pomáhají odloženým dětem, z.s.</t>
  </si>
  <si>
    <t>Petr Hollay</t>
  </si>
  <si>
    <t>BK Mladá Boleslav a.s.</t>
  </si>
  <si>
    <t>ECOBAT s.r.o.</t>
  </si>
  <si>
    <t>INTERCARE s.r.o.</t>
  </si>
  <si>
    <t>Městská nemocnice Městec Králové a.s.</t>
  </si>
  <si>
    <t>387 216,00 Kč</t>
  </si>
  <si>
    <t>Družstvo EUROSIGNAL</t>
  </si>
  <si>
    <t>První certifikační autorita, a.s.</t>
  </si>
  <si>
    <t>MEDITERRA - Sedlčany, s.r.o.</t>
  </si>
  <si>
    <t>CEDA Maps a.s.</t>
  </si>
  <si>
    <t>Vema, a.s.</t>
  </si>
  <si>
    <t>Městská teplárenská Sedlčany s.r.o.</t>
  </si>
  <si>
    <t>82 334,00 Kč</t>
  </si>
  <si>
    <t>Středočeské vodárny, a.s.</t>
  </si>
  <si>
    <t>MEDILAB ČR s.r.o.</t>
  </si>
  <si>
    <t>MEDICA JIH s.r.o.</t>
  </si>
  <si>
    <t>TERPES s.r.o.</t>
  </si>
  <si>
    <t>Vodafone Czech Republic a.s.</t>
  </si>
  <si>
    <t>Contactel s.r.o.</t>
  </si>
  <si>
    <t>F D servis Praha, s.r.o.</t>
  </si>
  <si>
    <t>FOR JOB PROTECT, s.r.o.</t>
  </si>
  <si>
    <t>VÝTAHY VANĚRKA s.r.o.</t>
  </si>
  <si>
    <t>CENTROPOL ENERGY, a.s.</t>
  </si>
  <si>
    <t>PROFIA s.r.o.</t>
  </si>
  <si>
    <t>Interpharmac, s.r.o.</t>
  </si>
  <si>
    <t>PPL CZ s.r.o.</t>
  </si>
  <si>
    <t>GARDON INT s.r.o.</t>
  </si>
  <si>
    <t>AVE Kolín s.r.o.</t>
  </si>
  <si>
    <t>SANITAR s.r.o.</t>
  </si>
  <si>
    <t xml:space="preserve">PROMEDICA PRAHA GROUP, a.s. </t>
  </si>
  <si>
    <t>AVE Kladno s.r.o.</t>
  </si>
  <si>
    <t>NYKOS a.s.</t>
  </si>
  <si>
    <t xml:space="preserve">PRAGOMEDIKA PLUS, a.s. </t>
  </si>
  <si>
    <t>Toner4u s.r.o.</t>
  </si>
  <si>
    <t>BEXAMED s.r.o.</t>
  </si>
  <si>
    <t>Edenred CZ s.r.o.</t>
  </si>
  <si>
    <t>Sairoong s.r.o.</t>
  </si>
  <si>
    <t>České Radiokomunikace a.s.</t>
  </si>
  <si>
    <t xml:space="preserve">ČEZ Distribuce, a. s. </t>
  </si>
  <si>
    <t>MultiSport Benefit, s.r.o.</t>
  </si>
  <si>
    <t>Praktik-Lysá s.r.o.</t>
  </si>
  <si>
    <t>NONSTOPMEDIC, s.r.o.</t>
  </si>
  <si>
    <t>ÚVT Internet s.r.o.</t>
  </si>
  <si>
    <t>DaLuNET s.r.o.</t>
  </si>
  <si>
    <t>Medsol s.r.o.</t>
  </si>
  <si>
    <t>AERO Vodochody AEROSPACE a.s.</t>
  </si>
  <si>
    <t>Kačengovi ordinace s.r.o.</t>
  </si>
  <si>
    <t>Mgr. Josef Trubáček</t>
  </si>
  <si>
    <t>FCC Dačice, s.r.o.</t>
  </si>
  <si>
    <t>Autoklub v AČR Slaný</t>
  </si>
  <si>
    <t>SEWO, spol. s r.o.</t>
  </si>
  <si>
    <t>STAPRO s. r. o.</t>
  </si>
  <si>
    <t>Skula Stanislav, MVDr.TERPES</t>
  </si>
  <si>
    <t>Jindřich Kuchta</t>
  </si>
  <si>
    <t>Ladislav Makeš</t>
  </si>
  <si>
    <t>Josef Tvrzník</t>
  </si>
  <si>
    <t>Moore Advisory CZ s.r.o.</t>
  </si>
  <si>
    <t>Moore Accounting CZ s.r.o.</t>
  </si>
  <si>
    <t>AVE Pražské komunální služby a.s.</t>
  </si>
  <si>
    <t>WASTECH a.s.</t>
  </si>
  <si>
    <t>MODRÁ LODĚNICE s.r.o.</t>
  </si>
  <si>
    <t>LORMED s.r.o.</t>
  </si>
  <si>
    <t>MUDr. Ďurčovič s. r. o.</t>
  </si>
  <si>
    <t>KAROLAS Legal s.r.o., advokátní kancelář</t>
  </si>
  <si>
    <t>Masarykova nemocnice Rakovník s.r.o.</t>
  </si>
  <si>
    <t>AUTO HOUSER s.r.o.</t>
  </si>
  <si>
    <t>MUDr. Nina Trojánková s.r.o.</t>
  </si>
  <si>
    <t>ELT Management Company Czech Republic s.r.o.</t>
  </si>
  <si>
    <t>KLM SECURITY GROUP s.r.o.</t>
  </si>
  <si>
    <t>VEBLO a.s.</t>
  </si>
  <si>
    <t>CETIN a.s.</t>
  </si>
  <si>
    <t>MUDr. Veronika Drábová</t>
  </si>
  <si>
    <t>GROUWE, s.r.o.</t>
  </si>
  <si>
    <t>získání podpory IROP k eHaelth</t>
  </si>
  <si>
    <t>Nadační fond Kryštůfek</t>
  </si>
  <si>
    <t xml:space="preserve">O2 IT Services s.r.o. </t>
  </si>
  <si>
    <t>Město Kutná Hora</t>
  </si>
  <si>
    <t>TRANS HOSPITAL PLUS, s.r.o.</t>
  </si>
  <si>
    <t>MUDr. Vladimíra Fleischmannová, s.r.o.</t>
  </si>
  <si>
    <t>MUDr. Jiří Machů</t>
  </si>
  <si>
    <t>Nemocnice Slaný</t>
  </si>
  <si>
    <t>Městská nemocnice Čáslav</t>
  </si>
  <si>
    <t>ZZS Ústeckého kraje, p.o.</t>
  </si>
  <si>
    <t>Obec Roztoky</t>
  </si>
  <si>
    <t>Obec Kolešov</t>
  </si>
  <si>
    <t>ZZS hl.města Prahy</t>
  </si>
  <si>
    <t>UPC Česká republika, s.r.o.</t>
  </si>
  <si>
    <t>Město Kosmonosy</t>
  </si>
  <si>
    <t>Oblastní spolek ČČK Příbram</t>
  </si>
  <si>
    <t>Spolupráce_Zdravotnický dozor</t>
  </si>
  <si>
    <t>ZZS Jihomoravského kraje</t>
  </si>
  <si>
    <t>Město Nové Strašecí</t>
  </si>
  <si>
    <t>Obec Lužná - zřizovatel JSDH L</t>
  </si>
  <si>
    <t>Město Jesenice u Rakovníka</t>
  </si>
  <si>
    <t>6007349,3; 261614,84</t>
  </si>
  <si>
    <t>Město Sedlčany</t>
  </si>
  <si>
    <t>datum ukončení dle odepisování - paní Broučková</t>
  </si>
  <si>
    <t>Město Rožmitál pod Tremšínem</t>
  </si>
  <si>
    <t>Město Krásná Hora nad Vltavou</t>
  </si>
  <si>
    <t>Město Dobříš</t>
  </si>
  <si>
    <t>Město Březnice</t>
  </si>
  <si>
    <t>Město Jesenice</t>
  </si>
  <si>
    <t>Město Hostivice</t>
  </si>
  <si>
    <t>MĚSTO ČERNOŠICE</t>
  </si>
  <si>
    <t>Město Říčany</t>
  </si>
  <si>
    <t>Město Odolena Voda</t>
  </si>
  <si>
    <t>Obec Líbeznice</t>
  </si>
  <si>
    <t>Město Brandýs nad L- Stará Bol</t>
  </si>
  <si>
    <t>Město Sadská</t>
  </si>
  <si>
    <t>Město Nymburk</t>
  </si>
  <si>
    <t>Město Milovice</t>
  </si>
  <si>
    <t>Město Městec Králové</t>
  </si>
  <si>
    <t>Město Lysá nad Labem</t>
  </si>
  <si>
    <t>Město Mnichovo Hradiště</t>
  </si>
  <si>
    <t>Statutární město Ml. Boleslav</t>
  </si>
  <si>
    <t>Město Dobrovice</t>
  </si>
  <si>
    <t>Město Benátky nad Jizerou</t>
  </si>
  <si>
    <t>Město Bakov nad Jizerou</t>
  </si>
  <si>
    <t>Město Veltrusy</t>
  </si>
  <si>
    <t>Město Mšeno</t>
  </si>
  <si>
    <t>Město Mělník</t>
  </si>
  <si>
    <t>Město Kralupy nad Vltavou</t>
  </si>
  <si>
    <t>Město Zruč nad Sázavou</t>
  </si>
  <si>
    <t>Obec Zbraslavice</t>
  </si>
  <si>
    <t>Město Uhlířské Janovice</t>
  </si>
  <si>
    <t>Obecní úřad Velký Osek - zřizo</t>
  </si>
  <si>
    <t>Město Kolín</t>
  </si>
  <si>
    <t>Město Český Brod</t>
  </si>
  <si>
    <t>Město Slaný</t>
  </si>
  <si>
    <t>Statutární město Kladno</t>
  </si>
  <si>
    <t>Městský úřad Žebrák - zřizovat</t>
  </si>
  <si>
    <t>Městys Karlštejn - zřizovatel</t>
  </si>
  <si>
    <t>Obec Chyňava- zřizovatel JSDH</t>
  </si>
  <si>
    <t>Město Hořovice</t>
  </si>
  <si>
    <t>Město Beroun</t>
  </si>
  <si>
    <t>Obec Vranov</t>
  </si>
  <si>
    <t>Město Votice</t>
  </si>
  <si>
    <t>Město Vlašim</t>
  </si>
  <si>
    <t>Město Sedlec-Prčice</t>
  </si>
  <si>
    <t>Město Neveklov</t>
  </si>
  <si>
    <t>Smlouva o výpůjčce_defibrilátor_ UH 1160020</t>
  </si>
  <si>
    <t>Obec Čerčany</t>
  </si>
  <si>
    <t>Městys Čechtice - zřizovatel J</t>
  </si>
  <si>
    <t>Město Bystřice</t>
  </si>
  <si>
    <t>Město Benešov</t>
  </si>
  <si>
    <t>Univerzita Karlova v Praze</t>
  </si>
  <si>
    <t>Fakultní nemocnice Hr.Králové</t>
  </si>
  <si>
    <t>ŠKODA AUTO a.s.</t>
  </si>
  <si>
    <t>YOUR SYSTEM, spol.s r.o.</t>
  </si>
  <si>
    <t>Technické služby města Roztoky</t>
  </si>
  <si>
    <t>Technické služby města Nymburka</t>
  </si>
  <si>
    <t>Krajská správa a údržba silnic Středočeského kraje, příspěvková organizace</t>
  </si>
  <si>
    <t>29200 Kč, 611582,40 Kč</t>
  </si>
  <si>
    <t>HLAVNÍ MĚSTO PRAHA</t>
  </si>
  <si>
    <t>Fakultní nemocnice v Motole</t>
  </si>
  <si>
    <t>Všeobecná fakultní nemocnice v Praze</t>
  </si>
  <si>
    <t>Výzkumný ústav geodetický, topografický a kartografický, v. v. i.</t>
  </si>
  <si>
    <t>Institut postgraduálního vzdělávání ve zdravotnictví</t>
  </si>
  <si>
    <t>Národní knihovna České republiky</t>
  </si>
  <si>
    <t>Linde Gas a.s.</t>
  </si>
  <si>
    <t>fyzická osoba</t>
  </si>
  <si>
    <t>Ministerstvo vnitra</t>
  </si>
  <si>
    <t>Zaměstnanecká pojišťovna Škoda</t>
  </si>
  <si>
    <t>Oborová zdravotní pojišťovna zaměstnanců bank, pojišťoven a stavebnictví</t>
  </si>
  <si>
    <t>MedText s.r.o.</t>
  </si>
  <si>
    <t>Zajištění služeb certifikované komunikační platformy mezi posádkami ZZS, p. o.</t>
  </si>
  <si>
    <t>AB Auto Brejla s.r.o.</t>
  </si>
  <si>
    <t>Úprava výše poplatků za skladování a dopad ekonomické situace</t>
  </si>
  <si>
    <t>S-057/75030926/24</t>
  </si>
  <si>
    <t>Operátor ICT, a.s.</t>
  </si>
  <si>
    <t>Dohoda o ochraně důvěrných informací_Operátor ICT</t>
  </si>
  <si>
    <t>S-060/75030926/24</t>
  </si>
  <si>
    <t>IT_Dohoda o ochraně informací</t>
  </si>
  <si>
    <t>S-062/75030926/24</t>
  </si>
  <si>
    <t>S-066/75030926/24</t>
  </si>
  <si>
    <t>Smlouva o plánované pomoci_ON Mladá Boleslav</t>
  </si>
  <si>
    <t>S-077/75030926/24</t>
  </si>
  <si>
    <t>S-078/75030926/24</t>
  </si>
  <si>
    <t>Smlouva o poskytnutí finančních prostředků z FZŠ 2024</t>
  </si>
  <si>
    <t>S-079/75030926/24</t>
  </si>
  <si>
    <t>Nájem nemovité věci - 173,55 m2 prostor</t>
  </si>
  <si>
    <t>S-083/75030926/24</t>
  </si>
  <si>
    <t>Moore Technology CZ s.r.o.</t>
  </si>
  <si>
    <t>S-086/75030926/24</t>
  </si>
  <si>
    <t>Najemní smlouva_Město Říčany</t>
  </si>
  <si>
    <t>S-087/75030926/24</t>
  </si>
  <si>
    <t>S-088/75030926/24</t>
  </si>
  <si>
    <t>Smlouva o výpůjčce_Město Jesenice_AED_49646048</t>
  </si>
  <si>
    <t>S-095/75030926/24</t>
  </si>
  <si>
    <t>VENCL, s.r.o.</t>
  </si>
  <si>
    <t>Smlouva o spolupráci_Všeobecná fakultní nemocnice v Praze</t>
  </si>
  <si>
    <t>S-097/75030926/24</t>
  </si>
  <si>
    <t>Ústav pro péči o matku a dítě</t>
  </si>
  <si>
    <t>NLZP_Smlouva o spolupráci při zajištění urgentních transportů_ÚPMD</t>
  </si>
  <si>
    <t>S-104/75030926/24</t>
  </si>
  <si>
    <t>NLZP_Smlouva o spolupráci při zajištění urgentních transportů_FN Motol</t>
  </si>
  <si>
    <t>S-105/75030926/24</t>
  </si>
  <si>
    <t>PTÚ_Abonentní smlouva_čištění rohoží_CWS Česká republika, s.r.o.</t>
  </si>
  <si>
    <t>S-106/75030926/24</t>
  </si>
  <si>
    <t>ZD Krásná Hora nad Vltavou a.s.</t>
  </si>
  <si>
    <t>Smlouva o mytí služebních vozidel</t>
  </si>
  <si>
    <t>Obec Hradištko</t>
  </si>
  <si>
    <t>S-108/75030926/24</t>
  </si>
  <si>
    <t>LN_Smlouva o poskytování pracovnělékařských služeb_MUDr. Aleš Zikmund</t>
  </si>
  <si>
    <t>S-110/75030926/24</t>
  </si>
  <si>
    <t>PTÚ_Pojištění majetku_hasiči_SK_Maxima</t>
  </si>
  <si>
    <t>S-111/75030926/24</t>
  </si>
  <si>
    <t>LN_Smlouva o poskytování pracovnělékařských služeb_MUDr. Jana Císařová</t>
  </si>
  <si>
    <t>S-047/75030926/24</t>
  </si>
  <si>
    <t>DOVITAL, s.r.o.</t>
  </si>
  <si>
    <t>Poskytování pracovnělékařských služeb 2024-2028</t>
  </si>
  <si>
    <t>S-123/75030926/24</t>
  </si>
  <si>
    <t>Pojistná smlouva o pojištění vozidel – FLOTILA</t>
  </si>
  <si>
    <t>Adéla Vitásková</t>
  </si>
  <si>
    <t>Smlouva o vypořádání závazků</t>
  </si>
  <si>
    <t>S-130/75030926/24</t>
  </si>
  <si>
    <t>Powertica Energie a.s.</t>
  </si>
  <si>
    <t>PTÚ_Závěrkový list_Smlouva na elektřinu EL-20240613-4504-33</t>
  </si>
  <si>
    <t>S-131/75030926/24</t>
  </si>
  <si>
    <t>Smlouva o úklidových službách - Kolín_KLM SECURITY GROUP s.r.o.</t>
  </si>
  <si>
    <t>S-133/75030926/24</t>
  </si>
  <si>
    <t>Zajištění stáže, MUDr. Kristýna Čechalová, 4/24-7/25, emergency ÚVN</t>
  </si>
  <si>
    <t>S-144/75030926/24</t>
  </si>
  <si>
    <t>Rámcová dohoda o podmínkách poskytování mobilních služeb_O2</t>
  </si>
  <si>
    <t>S-154/75030926/24</t>
  </si>
  <si>
    <t>LN_Smlouva o poskytování pracovnělékařských služeb_Kačengovi</t>
  </si>
  <si>
    <t>S-155/75030926/24</t>
  </si>
  <si>
    <t>LN_Smlouva o poskytování pracovnělékařských služeb_ON Kolín</t>
  </si>
  <si>
    <t>S-163/75030926/24</t>
  </si>
  <si>
    <t>Nesterilní tampony</t>
  </si>
  <si>
    <t>S-173/75030926/24</t>
  </si>
  <si>
    <t>Servodata a.s.</t>
  </si>
  <si>
    <t>IT_Smlouva na služby_pronájem vypočetních nodů</t>
  </si>
  <si>
    <t>Smlouva o nakládání s odpadem č. SP20200081/01.06.2024</t>
  </si>
  <si>
    <t>Ministerstvo vnitra ČR</t>
  </si>
  <si>
    <t>S-174/75030926/24</t>
  </si>
  <si>
    <t>S-177/75030926/24</t>
  </si>
  <si>
    <t>IT_Smlouva o centralizovaném zadávání_MV ČR_Centrální nákup produktů Microsoft</t>
  </si>
  <si>
    <t>S-180/75030926/24</t>
  </si>
  <si>
    <t>MUDr. Jana Bačovská</t>
  </si>
  <si>
    <t>LN_Smlouva o poskytování pracovnělékařských služeb_MUDr. Jana Bačovská</t>
  </si>
  <si>
    <t>S-181/75030926/24</t>
  </si>
  <si>
    <t>Jakub Motejzík</t>
  </si>
  <si>
    <t>NLZP_Smlouva o výrobě audiovizuálního díla_Putovní 155</t>
  </si>
  <si>
    <t>S-201/75030926/24</t>
  </si>
  <si>
    <t>RE_Dohoda o podmínkách podávání balíkových zásilek_Česká pošta</t>
  </si>
  <si>
    <t>S-202/75030926/24</t>
  </si>
  <si>
    <t>PTÚ_Smlouva o dílo_Svoz a ukládání odpadu_Sedlčany</t>
  </si>
  <si>
    <t>S-203/75030926/24</t>
  </si>
  <si>
    <t>PTÚ_Smlouva o nakládání s odpadem č. S/C338/05060933/228/2024</t>
  </si>
  <si>
    <t>S-204/75030926/24</t>
  </si>
  <si>
    <t>PTÚ_Závěrkový list_Smlouva na elektřinu EL-20240613-4503-227</t>
  </si>
  <si>
    <t>S-205/75030926/24</t>
  </si>
  <si>
    <t>PTÚ_Závěrkový list_Smlouva na plyn PL-20240613-3919-168</t>
  </si>
  <si>
    <t>S-212/75030926/24</t>
  </si>
  <si>
    <t>Ministerstvo financí ČR</t>
  </si>
  <si>
    <t>IT_Smlouva o centralizovaném zadávání_pořízení komodit_ntb</t>
  </si>
  <si>
    <t>S-213/75030926/24</t>
  </si>
  <si>
    <t>LN_Pracovnělékařská smlouva_ON Příbram</t>
  </si>
  <si>
    <t>S-214/75030926/24</t>
  </si>
  <si>
    <t>LN_Pracovnělékařská smlouva_MUDr. Drábová</t>
  </si>
  <si>
    <t>S-215/75030926/24</t>
  </si>
  <si>
    <t>VZP - 111</t>
  </si>
  <si>
    <t>VZP - 111_Zdravotní pojištění_Smlouvu o poskytování a úhradě hrazených služeb</t>
  </si>
  <si>
    <t>S-216/75030926/24</t>
  </si>
  <si>
    <t>Vojenská zdravotní pojišťovna ČR</t>
  </si>
  <si>
    <t>201 VoZP_Zdravotní péče_Smlouvu o poskytování a úhradě hrazených služeb</t>
  </si>
  <si>
    <t>S-218/75030926/24</t>
  </si>
  <si>
    <t>207 OZP_Zdravotní pojištění_- Smlouva o poskytování  úhradě zdravotních služeb</t>
  </si>
  <si>
    <t>S-219/75030926/24</t>
  </si>
  <si>
    <t>209 ZP Škoda_Zdravotní pojištění_Smlouva o poskytování a úhradě hrazených služeb</t>
  </si>
  <si>
    <t>S-224/75030926/24</t>
  </si>
  <si>
    <t>Benefitní program pro zaměstnance_Multisport</t>
  </si>
  <si>
    <t>S-225/75030926/24</t>
  </si>
  <si>
    <t>Zdravotní pojišťovna ministerstva vnitra ČR</t>
  </si>
  <si>
    <t>211 ZPMV_Smlouva o poskytování  úhradě zdravotních služeb</t>
  </si>
  <si>
    <t>S-226/75030926/24</t>
  </si>
  <si>
    <t>RBP, zdravotní pojišťovna</t>
  </si>
  <si>
    <t>213 RBP ZP_Sml o poskytování a úhradě zdr. péče hrazené z veř. zdrav. pojištění</t>
  </si>
  <si>
    <t>S-227/75030926/24</t>
  </si>
  <si>
    <t>NLZP_Smlouva o spolupráci při poskytování ZZS</t>
  </si>
  <si>
    <t>S-228/75030926/24</t>
  </si>
  <si>
    <t>Zajištění služeb vyhledávání zaměstnanců</t>
  </si>
  <si>
    <t>S-236/75030926/24</t>
  </si>
  <si>
    <t>IT_Smlouva o spolupráci_Zajištění kybernetické bezpečnosti</t>
  </si>
  <si>
    <t>S-240/75030926/24</t>
  </si>
  <si>
    <t>NLZP_Rámcová smlouva o zajištění praxe studentů AKK Řidič vozidla ZZS</t>
  </si>
  <si>
    <t>S-241/75030926/24</t>
  </si>
  <si>
    <t>S-244/75030926/24</t>
  </si>
  <si>
    <t>PTÚ_Smlouva o vypořádání závazků</t>
  </si>
  <si>
    <t>Lada Mrštíková</t>
  </si>
  <si>
    <t>S-246/75030926/24</t>
  </si>
  <si>
    <t>Pánevní pásy</t>
  </si>
  <si>
    <t>S-248/75030926/24</t>
  </si>
  <si>
    <t>S-249/75030926/24</t>
  </si>
  <si>
    <t>BEPPO Kutná Hora s.r.o.</t>
  </si>
  <si>
    <t>Smlouva o zajištění likvidace odpadu</t>
  </si>
  <si>
    <t>S-250/75030926/24</t>
  </si>
  <si>
    <t>S-252/75030926/24</t>
  </si>
  <si>
    <t>Interpharmac s.r.o.</t>
  </si>
  <si>
    <t>Úsek</t>
  </si>
  <si>
    <t>S-253/75030926/24</t>
  </si>
  <si>
    <t>Všeobecná fakultní nemocnice</t>
  </si>
  <si>
    <t>Smlouva o spolupráci_ECMO_ECPR do terénu</t>
  </si>
  <si>
    <t>S-255/75030926/24</t>
  </si>
  <si>
    <t>ZZS hl. města Prahy</t>
  </si>
  <si>
    <t>Smlouva o spolupráci při zajištění přepravy patologického novorozence</t>
  </si>
  <si>
    <t>MUC. Vanessa Jeníková</t>
  </si>
  <si>
    <t>S-262/75030926/24</t>
  </si>
  <si>
    <t>Smlouva o dílo - servis přístrojů_BTK</t>
  </si>
  <si>
    <t>PKP</t>
  </si>
  <si>
    <t>S-264/75030926/24</t>
  </si>
  <si>
    <t>Dohoda o nastavení přenosu neprověřeného čísla volajícího</t>
  </si>
  <si>
    <t>RS o spolupráci v rámci IZS na úrovni SK</t>
  </si>
  <si>
    <t>S-268/75030926/24</t>
  </si>
  <si>
    <t>S-269/75030926/24</t>
  </si>
  <si>
    <t>Všeobecné lékařství s.r.o.- MUDr. Darebná</t>
  </si>
  <si>
    <t>JASUPREN s.r.o.- MUDr. Sůvová</t>
  </si>
  <si>
    <t>S-272/75030926/24</t>
  </si>
  <si>
    <t>Středočeský kraj, ŘSD s.p.,Hasičský záchranný sbor Středočeského kraje</t>
  </si>
  <si>
    <t>S-265/75030926/24</t>
  </si>
  <si>
    <t xml:space="preserve">B. Braun Medical s.r.o. </t>
  </si>
  <si>
    <t xml:space="preserve">Memorandum o spolupráci při výstavbě </t>
  </si>
  <si>
    <t>IT</t>
  </si>
  <si>
    <t>S-283/75030926/24</t>
  </si>
  <si>
    <t>S-287/75030926/24</t>
  </si>
  <si>
    <t xml:space="preserve">Smlouva o nájmu nebytových prostor </t>
  </si>
  <si>
    <t>S-289/75030926/24</t>
  </si>
  <si>
    <t>Vendula Snížková</t>
  </si>
  <si>
    <t>Zajištění praxe_Vendula Snížková_10 směn</t>
  </si>
  <si>
    <t>S-296/75030926/24</t>
  </si>
  <si>
    <t>Smlouva o výpůjčce_krizový materiál pro PČR</t>
  </si>
  <si>
    <t xml:space="preserve">Státní ústav jaderné ochrany </t>
  </si>
  <si>
    <t>S-301/75030926/24</t>
  </si>
  <si>
    <t>Pražská energetika, a.s.</t>
  </si>
  <si>
    <t>S-305/75030926/24</t>
  </si>
  <si>
    <t>Smlouva o vypořádání závazků ke smlouvě S-029/75030926/22_výpůjčka AED</t>
  </si>
  <si>
    <t>Číslo smlouvy</t>
  </si>
  <si>
    <t>Název</t>
  </si>
  <si>
    <t>Partner</t>
  </si>
  <si>
    <t>Předpokládaná hodnota bez DPH</t>
  </si>
  <si>
    <t xml:space="preserve">Předpokládaná hodnota s DPH </t>
  </si>
  <si>
    <t>Platné do</t>
  </si>
  <si>
    <t>Jednorázové přikrývky</t>
  </si>
  <si>
    <t>Vivamed, s.r.o.</t>
  </si>
  <si>
    <t>Ušní kloboučky k teploměrům</t>
  </si>
  <si>
    <t>Lamipromed, s.r.o.</t>
  </si>
  <si>
    <t>Hadička spojovací</t>
  </si>
  <si>
    <t>BTK, Servis a náhradní díly pro defibrilátory Corpuls 3</t>
  </si>
  <si>
    <t>Cheirón, a.s.</t>
  </si>
  <si>
    <t>Fixační límce</t>
  </si>
  <si>
    <t>Jednorázová prostěradla</t>
  </si>
  <si>
    <t>Testovací proužky do glukometru</t>
  </si>
  <si>
    <t>Papírové ručníky II.</t>
  </si>
  <si>
    <t>Gravitační infuzní sety</t>
  </si>
  <si>
    <t>Dezinfekce II.</t>
  </si>
  <si>
    <t>Léky III.</t>
  </si>
  <si>
    <t>Easy CPM, s.r.o.</t>
  </si>
  <si>
    <t>Pneu, autodíly, autodoplňky, servisní služby</t>
  </si>
  <si>
    <t>BestDrive Czech Republic, s.r.o.</t>
  </si>
  <si>
    <t>Papír do termotiskáren</t>
  </si>
  <si>
    <t>VTR Computers, s.r.o.</t>
  </si>
  <si>
    <t>Zajištění admin. a real. projektu Zajištění kyber. bezp. ZZS SK</t>
  </si>
  <si>
    <t>TresTech, s.r.o.</t>
  </si>
  <si>
    <t xml:space="preserve">Zajištění konzultačních a poradenských služeb </t>
  </si>
  <si>
    <t>S-307/75030926/2024</t>
  </si>
  <si>
    <t>Fakultní nemocnice Na Bulovce</t>
  </si>
  <si>
    <t>Smlouva o spolupráci_patologické semináře, praktický nácvik</t>
  </si>
  <si>
    <t>Smlouva na dodávku elektřiny_ZZS Roztoky</t>
  </si>
  <si>
    <t>S-311/75030926/2024</t>
  </si>
  <si>
    <t>Záchranná služba ASČR Kralupy</t>
  </si>
  <si>
    <t>S-317/75030926/2024</t>
  </si>
  <si>
    <t>Dohoda o vypořádání bez. obohacení ke smlouvě č. 14/09/109</t>
  </si>
  <si>
    <t>Smlouva o výpůjčce_detektory CO</t>
  </si>
  <si>
    <t>S-318/75030926/2024</t>
  </si>
  <si>
    <t>Rámcová smlouva o spolupráci při realizaci praktické části akredit. kurzu</t>
  </si>
  <si>
    <t>ALFIN servis, s.r.o.</t>
  </si>
  <si>
    <t>S-320/75030926/2024</t>
  </si>
  <si>
    <t>Smlouva na dodávku elektřiny_ZZS Dobříš</t>
  </si>
  <si>
    <t>zveřejněno protistranou pod ID 18950091</t>
  </si>
  <si>
    <t>B&amp;P Research, s.r.o.</t>
  </si>
  <si>
    <t>Alter Audit, s.r.o.</t>
  </si>
  <si>
    <t>KTTP, s.r.o.</t>
  </si>
  <si>
    <t>Moore Accounting CZ, s.r.o.</t>
  </si>
  <si>
    <t>S-321/75030926/2024</t>
  </si>
  <si>
    <t>zdravotnízajištění, z.s.</t>
  </si>
  <si>
    <t>Smlouva o bezúplatném převodu majetku - sanita Volkswagen, RZ: 2SD 2580</t>
  </si>
  <si>
    <t>S-322/75030926/2024</t>
  </si>
  <si>
    <t>Smlouva o bezúplatném převodu majetku – sanity Volkswagen 3 ks</t>
  </si>
  <si>
    <t>S-323/75030926/2024</t>
  </si>
  <si>
    <t>Střední odborná škola a Střední odborné učiliště řemesel, Kutná Hora, Čáslavská 202</t>
  </si>
  <si>
    <t>Smlouva o bezúplatném převodu majetku–sanita Volkswagen, RZ: 2SD 2581</t>
  </si>
  <si>
    <t>S-324/75030926/2024</t>
  </si>
  <si>
    <t>Team 4 Ukraine, z.s.</t>
  </si>
  <si>
    <t>Smlouva o bezúplatném převodu majetku – sanity 8 ks</t>
  </si>
  <si>
    <t>Smlouva o smlouvě budoucí - připojení Nymburk</t>
  </si>
  <si>
    <t>ČEZ Distribuce a.s.</t>
  </si>
  <si>
    <t>S-326/75030926/2024</t>
  </si>
  <si>
    <t>Smlouva o výpujčce_detektor plynu CO</t>
  </si>
  <si>
    <t>Krajské ředitelství policie SK</t>
  </si>
  <si>
    <t>Smlouva o připojení do distribušní sítě odb. místo Nymburk</t>
  </si>
  <si>
    <t>S-325/75030926/2024</t>
  </si>
  <si>
    <t>S-327/75030926/2024</t>
  </si>
  <si>
    <t>S-332/75030926/2024</t>
  </si>
  <si>
    <t>Záchranná služba ASČR Praha-západ</t>
  </si>
  <si>
    <t>Smlouva o výpujčce_detektory plynu CO</t>
  </si>
  <si>
    <t xml:space="preserve">Sbor dobrovolných hasičů </t>
  </si>
  <si>
    <t>PTÚ_Podnájemní smlouva nebytových prostor a část pozemku_Dobříš</t>
  </si>
  <si>
    <t>S-340/75030926/2024</t>
  </si>
  <si>
    <t>Dohoda o narovnání o nájmu Říčany ke sml. S-086/75030926/24</t>
  </si>
  <si>
    <t>S-349/75030926/2024</t>
  </si>
  <si>
    <t>S-350/75030926/2024</t>
  </si>
  <si>
    <t>S-351/75030926/2024</t>
  </si>
  <si>
    <t>Svoz směsného komunálního odpadu + plast + sklo VZ Kladno</t>
  </si>
  <si>
    <t>Smlouva o úklidových službách_ZZS Uhlířské Janovice</t>
  </si>
  <si>
    <t>Jaroslava Čežíková</t>
  </si>
  <si>
    <t>Servisní smlouva_servis klimatizací Kladno a Benešov</t>
  </si>
  <si>
    <t>JOMA spol. s r.o.</t>
  </si>
  <si>
    <t>S-352/75030926/2024</t>
  </si>
  <si>
    <t>Münnich s.r.o.</t>
  </si>
  <si>
    <t>Smlouva o dílo - Oprava střechy č. 1 ZZS SK Mnichovo Hradiště</t>
  </si>
  <si>
    <t>S-353/75030926/2024</t>
  </si>
  <si>
    <t>DATASENSE s.r.o.</t>
  </si>
  <si>
    <t>S-365/75030926/2024</t>
  </si>
  <si>
    <t>JUDr. Jan Olejníček</t>
  </si>
  <si>
    <t>S-366/75030926/2024</t>
  </si>
  <si>
    <t>S-367/75030926/2024</t>
  </si>
  <si>
    <t>S-369/75030926/2024</t>
  </si>
  <si>
    <t>BEXAMED, s.r.o.</t>
  </si>
  <si>
    <t>Rámcová dohoda na pořizování produktů Microsoft</t>
  </si>
  <si>
    <t>S-371/75030926/2024</t>
  </si>
  <si>
    <t>Dohoda o vypořádání bez. oboha. ke sml 148/75030926/18</t>
  </si>
  <si>
    <t>S-374/75030926/2024</t>
  </si>
  <si>
    <t>MĚLNICKÁ ZELEŇ spol. s r.o.</t>
  </si>
  <si>
    <t>Rámcová smlouva o dílo na údržbu zeleně</t>
  </si>
  <si>
    <t>S-375/75030926/2024</t>
  </si>
  <si>
    <t>Interpharmac, s.r.o.  - provozovatel Lékárny ipc Modřany</t>
  </si>
  <si>
    <t>S-376/75030926/2024</t>
  </si>
  <si>
    <t>Smlouva o vypořádání závazků ke smlouvě č. S-349/75030926/2024</t>
  </si>
  <si>
    <t>S-387/75030926/2024</t>
  </si>
  <si>
    <t>Smlouva o odběru  pitné vody (vodné a stočné)</t>
  </si>
  <si>
    <t>S-388/75030926/2024</t>
  </si>
  <si>
    <t>Kupní smlouva_Vakuové matrace</t>
  </si>
  <si>
    <t>S-389/75030926/2024</t>
  </si>
  <si>
    <t>Zajištění přednemocniční neodkladné péče na výjezdové základně Řevnice</t>
  </si>
  <si>
    <t>S-391/75030926/2024</t>
  </si>
  <si>
    <t>Mediprax Beroun, s.r.o.</t>
  </si>
  <si>
    <t>Zajištění praxe_MUDr. Lucie Hrádková_7 směn</t>
  </si>
  <si>
    <t>S-394/75030926/2024</t>
  </si>
  <si>
    <t>ČSOB pojišťovna, a.s.</t>
  </si>
  <si>
    <t>S-396/75030926/2024</t>
  </si>
  <si>
    <t>S-397/75030926/2024</t>
  </si>
  <si>
    <t>S-398/75030926/2024</t>
  </si>
  <si>
    <t>Zajištění praxe_AČR_Jiří Kálal</t>
  </si>
  <si>
    <t>Zajištění praxe_AČR_Antonín Lukeš</t>
  </si>
  <si>
    <t>Zdravotnický dozor_5. ročník otužileckých závodů</t>
  </si>
  <si>
    <t>SoftwareONE Czech Republic s.r.o.</t>
  </si>
  <si>
    <t>Top-Instal-Real, s.r.o.</t>
  </si>
  <si>
    <t>S-401/75030926/2024</t>
  </si>
  <si>
    <t>S-402/75030926/2024</t>
  </si>
  <si>
    <t>Rámcová smlouva na služby_Služby odtahování vozidel</t>
  </si>
  <si>
    <t>Kupní smlouva_Příslušenství k defibrilátoru Corpuls 3</t>
  </si>
  <si>
    <t>PIXACOM TECHNOLOGY s.r.o.</t>
  </si>
  <si>
    <t>Dodávka 10 ks setů komunikačního vybavení pro redundantní operační platformu ZOS</t>
  </si>
  <si>
    <t>S-407/75030926/2024</t>
  </si>
  <si>
    <t>Smlouva o nájmu nebytových prostor - Hořovice</t>
  </si>
  <si>
    <t>S-408/75030926/2024</t>
  </si>
  <si>
    <t>TTJ, s.r.o.</t>
  </si>
  <si>
    <t xml:space="preserve">
28415213</t>
  </si>
  <si>
    <t>Smlouva o poskytování pracovnělékařských služeb- Kutná Hora, Kolín. V Fleischmannová</t>
  </si>
  <si>
    <t>S-003/75030926/2025</t>
  </si>
  <si>
    <t>S-004/75030926/2025</t>
  </si>
  <si>
    <t>EMOT-Medico, s.r.o.</t>
  </si>
  <si>
    <t>Zajištění praxe_MUDr. Nurlan Kanatbayev_10 směn</t>
  </si>
  <si>
    <t>MUDr. Tomáš Doležel, s.r.o.</t>
  </si>
  <si>
    <t>Zajištění praxe_MUDr. Rastislav Mendel_10 směn</t>
  </si>
  <si>
    <t>S-173/75030926/24/01</t>
  </si>
  <si>
    <t>Dohoda o ukončení ke smlouvě č. S-173/75030926/24</t>
  </si>
  <si>
    <t>S-006/75030926/2025</t>
  </si>
  <si>
    <t>S-406/75030926/2024</t>
  </si>
  <si>
    <t>Zajištění praxe_Lada Mrštíková_6 dnů</t>
  </si>
  <si>
    <t>S-007/75030926/2025</t>
  </si>
  <si>
    <t>Smlouva o výpůjčce části nebytových prostor</t>
  </si>
  <si>
    <t>S-009/75030926/2025</t>
  </si>
  <si>
    <t>Florbal MB, z.s.</t>
  </si>
  <si>
    <t>Zdravotnický dozor_25.1.2025_ŠkoEnergo Arena_Mladá Boleslav</t>
  </si>
  <si>
    <t>S-014/75030926/2025</t>
  </si>
  <si>
    <t>Smlouva o poskytování pracovnělékařských služeb_MUDr. Nina Trojánková</t>
  </si>
  <si>
    <t>S-015/75030926/2025</t>
  </si>
  <si>
    <t>S-016/75030926/2025</t>
  </si>
  <si>
    <t>Smlouva o výpůjčce_Nosítka_Medirol</t>
  </si>
  <si>
    <t>S-020/75030926/2025</t>
  </si>
  <si>
    <t>Auto Prážák Assistance s r.o.</t>
  </si>
  <si>
    <t>S-022/75030926/2025</t>
  </si>
  <si>
    <t>K-net Team Praha, s.r.o.</t>
  </si>
  <si>
    <t>Smlouva o nájmu_tiskárny_ZZS SK_Kladno</t>
  </si>
  <si>
    <t>Rámcová smlouva_Poskytování advokátních služeb III.</t>
  </si>
  <si>
    <t>Smlouva o připojení odběrného a výrobního zařízení</t>
  </si>
  <si>
    <t>S-029/75030926/2025</t>
  </si>
  <si>
    <t>Smlouva o zabezpečení prohloubení kvalifikace_vojákům z povolání</t>
  </si>
  <si>
    <t>Smlouva skupinového úrazového pojištění</t>
  </si>
  <si>
    <t>Pojistná smlouva_Pojištění profesní odpovědnosti</t>
  </si>
  <si>
    <t>S-031/75030926/2025</t>
  </si>
  <si>
    <t>SCHWARZ s.r.o.</t>
  </si>
  <si>
    <t>Smlouva na služby_o poskytování ochranných bezpečnostních služeb</t>
  </si>
  <si>
    <t>Prováděcí smlouva k Rámcové dohodě na pořizování produktů Microsoft</t>
  </si>
  <si>
    <t>S-032/75030926/2025</t>
  </si>
  <si>
    <t>město Zdice</t>
  </si>
  <si>
    <t>Nájemní smlouva VZ Zdice</t>
  </si>
  <si>
    <t>S-033/75030926/2025</t>
  </si>
  <si>
    <t>SK Kladno, z.s.</t>
  </si>
  <si>
    <t>Memorandum o spolupráci_tvorba edukačního videoprojektu_první pomoc</t>
  </si>
  <si>
    <t>S-035/75030926/2025</t>
  </si>
  <si>
    <t>Smlouva o přístupu ke komunikační infrastruktuře k projektu E-Health</t>
  </si>
  <si>
    <t>S-041/75030926/2025</t>
  </si>
  <si>
    <t>František Šmída</t>
  </si>
  <si>
    <t>Zajištění praxe_František Šmída_kurz řidiče</t>
  </si>
  <si>
    <t>S-044/75030926/2025</t>
  </si>
  <si>
    <t>S-045/75030926/2025</t>
  </si>
  <si>
    <t>GPS Praha, spol. s r.o.</t>
  </si>
  <si>
    <t>ČVUT v Praze</t>
  </si>
  <si>
    <t>Smlouva o zajištění praktické výuky_FBMI ČVUT</t>
  </si>
  <si>
    <t>S-047/75030926/2025</t>
  </si>
  <si>
    <t>S-048/75030926/2025</t>
  </si>
  <si>
    <t>Odpad_Svoz a likvidace odpadu_Krásná Hora nad Vltavou</t>
  </si>
  <si>
    <t xml:space="preserve">Krajské ředitelství policie SK </t>
  </si>
  <si>
    <t>S-050/75030926/2025</t>
  </si>
  <si>
    <t>S-051/75030926/2025</t>
  </si>
  <si>
    <t>Nájemní smlouva Benešov</t>
  </si>
  <si>
    <t>Zdravotnický dozor_zajištění jízd se členy představenstva Škoda Auto,a.s._Mladá Boleslav</t>
  </si>
  <si>
    <t>S-062/75030926/2025</t>
  </si>
  <si>
    <t>innogy Energie, s.r.o.</t>
  </si>
  <si>
    <t>Smlouva o sdružených službách dodávky plynu_Roztoky u Prahy</t>
  </si>
  <si>
    <t>Bianka Dušková</t>
  </si>
  <si>
    <t xml:space="preserve"> </t>
  </si>
  <si>
    <t>S-076/75030926/2025</t>
  </si>
  <si>
    <t>Oblastní spolek ČČK Kolín</t>
  </si>
  <si>
    <t>Rámcová smlouva o poskytování služeb_maskování figurantů</t>
  </si>
  <si>
    <t>S-369/75030926/2024/01</t>
  </si>
  <si>
    <t>S-078/75030926/2025</t>
  </si>
  <si>
    <t>Žádost o připojení odběrového místa_ke smlouvě č. S-062/75030926/2025</t>
  </si>
  <si>
    <t>S-086/75030926/2025</t>
  </si>
  <si>
    <t>Deloitte Legal s.r.o.</t>
  </si>
  <si>
    <t>Smlouva na právní služby_rovné odměňování zaměstnanců</t>
  </si>
  <si>
    <t>Petr Oppitz</t>
  </si>
  <si>
    <t>Lucie Hrubá</t>
  </si>
  <si>
    <t>S-105/75030926/2025</t>
  </si>
  <si>
    <t>awin IT, s.r.o.</t>
  </si>
  <si>
    <t>Smlouva o nájmu_HW a licence Sophos</t>
  </si>
  <si>
    <t>S-107/75030926/2025</t>
  </si>
  <si>
    <t>Servisní smlouva_pravidelný servis_6x sekční pr.vrata</t>
  </si>
  <si>
    <t>S-110/75030926/2025</t>
  </si>
  <si>
    <t>S-112/75030926/2025</t>
  </si>
  <si>
    <t>telekomunikační služby,číslo oprávnění</t>
  </si>
  <si>
    <t>S-116/75030926/2025</t>
  </si>
  <si>
    <t>Smlouva o spolupráci_zajištění neodkladné neonatologické péče_novorozenci</t>
  </si>
  <si>
    <t>S-123/75030926/2025</t>
  </si>
  <si>
    <t>Smlouva o poskytnutí fin. prostředků z FZŠ 2025</t>
  </si>
  <si>
    <t>S-125/75030926/2025</t>
  </si>
  <si>
    <t>Smlouva o nájmu prostor nesloužících k podnikání_Hradištko</t>
  </si>
  <si>
    <t>S-134/75030926/2025</t>
  </si>
  <si>
    <t>S-137/75030926/2025</t>
  </si>
  <si>
    <t>S-143/75030926/2025</t>
  </si>
  <si>
    <t>TEDOM energie s.r.o.</t>
  </si>
  <si>
    <t>Smlouva o dodávce elektřiny s převzetím závazku dodat elektřinu do el.soust.</t>
  </si>
  <si>
    <t>S-144/75030926/2025</t>
  </si>
  <si>
    <t>Smlouva o podnájmu nemovité věci_Modrá Loděnice</t>
  </si>
  <si>
    <t>Dohoda o bezdůvod. obohacení ke sml.S-089/-/24</t>
  </si>
  <si>
    <t>S-146/75030926/2025</t>
  </si>
  <si>
    <t>Petra Stejskalová</t>
  </si>
  <si>
    <t>Smlouva o nájmu nemovité věci Černošice</t>
  </si>
  <si>
    <t>S-148/75030926/2025</t>
  </si>
  <si>
    <t>S-096/75030926/24</t>
  </si>
  <si>
    <t>Smlouva na služby_Podpora při nastavení a vedení účetních procesů</t>
  </si>
  <si>
    <t>Vyšetřovací jednorázové rukavice</t>
  </si>
  <si>
    <t>VULKAN – Medical, a.s.</t>
  </si>
  <si>
    <t>Jednorázové elektrody - EKG</t>
  </si>
  <si>
    <t>Smlouva na služby_poskytování právních služeb_Soudní jednání _Marcela Uličná</t>
  </si>
  <si>
    <t>S-168/75030926/2025</t>
  </si>
  <si>
    <t>S-177/75030926/2025</t>
  </si>
  <si>
    <t>Smlouva o bezúplatném převodu majetku _sanity Volkswagen RZ: 2SK 4979</t>
  </si>
  <si>
    <t>S-178/75030926/2025</t>
  </si>
  <si>
    <t>Pojistná smlouva o hav. pojištění plavidel a o pojištění odpovědnosti</t>
  </si>
  <si>
    <t>S-180/75030926/2025</t>
  </si>
  <si>
    <t>S-181/75030926/2025</t>
  </si>
  <si>
    <t>S-182/75030926/2025</t>
  </si>
  <si>
    <t>S-183/75030926/2025</t>
  </si>
  <si>
    <t>S-184/75030926/2025</t>
  </si>
  <si>
    <t>Smlouva o účtu_hlavní účet_č. 6522192/0800</t>
  </si>
  <si>
    <t>Smlouva o účtu_Fond investic_č. 6522272/0800</t>
  </si>
  <si>
    <t>Smlouva o účtu_FKSP_č. 6522352/0800</t>
  </si>
  <si>
    <t>Smlouva o účtu_PKP_č. 6522432/0800</t>
  </si>
  <si>
    <t>Smlouva o účtu_FZŠ_č. 14231862/0800</t>
  </si>
  <si>
    <t>zveřejněno protistranou pod ID 7598243</t>
  </si>
  <si>
    <t>zveřejněno protistranou pod ID 7598255</t>
  </si>
  <si>
    <t>zveřejněno protistranou pod ID 7598275</t>
  </si>
  <si>
    <t>zveřejněno protistranou pod ID 7598283</t>
  </si>
  <si>
    <t>zveřejněno protistranou pod ID 31392672</t>
  </si>
  <si>
    <t>S-185/75030926/2025</t>
  </si>
  <si>
    <t>Marina Orlík s.r.o.</t>
  </si>
  <si>
    <t>Nájemní smlouva_nájem Orlík</t>
  </si>
  <si>
    <t>S-198/75030926/2025</t>
  </si>
  <si>
    <t>Smlouva o dílo_výměra ležatých rozvodů vodovodu a baterií_ZZS Kolín</t>
  </si>
  <si>
    <t>S-199/75030926/2025</t>
  </si>
  <si>
    <t>150000, 200000 Kč</t>
  </si>
  <si>
    <t>S-200/75030926/2025</t>
  </si>
  <si>
    <t>Zdravotnická záchranná služba Jihočeského kraje</t>
  </si>
  <si>
    <t>KLM Security Group</t>
  </si>
  <si>
    <t>Dohoda o spolupráci_zajišťování a poskytování služeb na stanovišti VZS_Orlík</t>
  </si>
  <si>
    <t>S-205/75030926/2025</t>
  </si>
  <si>
    <t>METLA s.r.o.</t>
  </si>
  <si>
    <t>Smlouva na služby_Svoz odpadu_Hostivice_Kladno</t>
  </si>
  <si>
    <t>Smlouva o poskytování pracovnělékařských služeb_MUDr.Darebná</t>
  </si>
  <si>
    <t>S-211/75030926/2025</t>
  </si>
  <si>
    <t>Smlouva na služby_Audit účetních závěrek ZZS SK 2025 a 2026</t>
  </si>
  <si>
    <t>S-083/75030926/24/02</t>
  </si>
  <si>
    <t>Dílčí smlouva č. 2 k Rámcové dohodě S-083/75030926/24</t>
  </si>
  <si>
    <t>S-220/75030926/2025</t>
  </si>
  <si>
    <t>S-221/75030926/2025</t>
  </si>
  <si>
    <t>Zajištění praktické výuky určených studentů 2025/2026</t>
  </si>
  <si>
    <t>S-223/75030926/2025</t>
  </si>
  <si>
    <t>Mělnická zdravotní a.s.</t>
  </si>
  <si>
    <t>Nájemní smlouva_Heliport Mělník</t>
  </si>
  <si>
    <t>HZConsult s.r.o.</t>
  </si>
  <si>
    <t>Smlouva na služby_zpracování přiznání k dani z příjmů PO a daň. porad. 2025/2026</t>
  </si>
  <si>
    <t>S-226/75030926/2025</t>
  </si>
  <si>
    <t>Zajištění praxe_určeným studentům v roce 2025/2026</t>
  </si>
  <si>
    <t>Smlouva o úklidových službách_Mladá Boleslav</t>
  </si>
  <si>
    <t>S-228/75030926/2025</t>
  </si>
  <si>
    <t>Prozachranu.cz s.r.o.</t>
  </si>
  <si>
    <t>Kupní smlouva_Dodávka taktických škrtidel typu tourniquet</t>
  </si>
  <si>
    <t>S-229/75030926/2025</t>
  </si>
  <si>
    <t>S-230/75030926/2025</t>
  </si>
  <si>
    <t>MetCom s.r.o.</t>
  </si>
  <si>
    <t>S-232/75030926/2025</t>
  </si>
  <si>
    <t>Smlouva o dílo_ČÁST B - Dodávka a instalace CCTV kamer</t>
  </si>
  <si>
    <t>S-233/75030926/2025</t>
  </si>
  <si>
    <t>S-234/75030926/2025</t>
  </si>
  <si>
    <t>S-235/75030926/2025</t>
  </si>
  <si>
    <t>S-240/75030926/2025</t>
  </si>
  <si>
    <t>S-244/75030926/2025</t>
  </si>
  <si>
    <t>Zajištění praxe_MUC. Vanessa Jeníková_Nymburk</t>
  </si>
  <si>
    <t>Zajištění praxe_Magdaléna Dorazilová_15 dnů_Brandýs nad Labem</t>
  </si>
  <si>
    <t>Magdaléna Dorazilová</t>
  </si>
  <si>
    <t>Laryngeální masky_ČÁST A_Laryngeální masky pro dospělé</t>
  </si>
  <si>
    <t>Laryngeální masky_ČÁST B_Laryngeální masky pro děti</t>
  </si>
  <si>
    <t>Cheirón a.s.</t>
  </si>
  <si>
    <t>S-245/75030926/2025</t>
  </si>
  <si>
    <t>Závěrkový list_Smlouva na elektřinu EL-20250728-5704-220</t>
  </si>
  <si>
    <t>S-246/75030926/2025</t>
  </si>
  <si>
    <t>Závěrkový list_Smlouva na elektřinu EL-20250728-5705-33</t>
  </si>
  <si>
    <t>S-249/75030926/2025</t>
  </si>
  <si>
    <t>Rámcová dohoda_Infuzní roztoky IV_část B</t>
  </si>
  <si>
    <t>S-250/75030926/2025</t>
  </si>
  <si>
    <t>Rámcová dohoda_Infuzní roztoky IV_část A</t>
  </si>
  <si>
    <t>S-251/75030926/2025</t>
  </si>
  <si>
    <t>Smlouva na služby_obsluha plynové kotelny_Mnichovo Hradiště</t>
  </si>
  <si>
    <t>Mgr. arch. Jaroslav Trávníček</t>
  </si>
  <si>
    <t>PD_Vybudování nového stanov. ZZS SK_Říčany</t>
  </si>
  <si>
    <t>PD_Výstavba nového stanoviště ZZS SK, Vlašim</t>
  </si>
  <si>
    <t>PD_Výstavba nového stanoviště ZZS SK, Český Brod</t>
  </si>
  <si>
    <t>Baxter Czech spol. s r.o.</t>
  </si>
  <si>
    <t>PD_Vybudování nového stanov. ZZS SK_Brandýs</t>
  </si>
  <si>
    <t>PD_Výstavba nového stanoviště ZZS SK_Benešov</t>
  </si>
  <si>
    <t>S-253/75030926/2025</t>
  </si>
  <si>
    <t>bika - velkoobchod papírem, sp</t>
  </si>
  <si>
    <t>Rámcová kup. smlouva_Čistící prostředky a drogistické zboží pro ZZS SK</t>
  </si>
  <si>
    <t>S-254/75030926/2025</t>
  </si>
  <si>
    <t>14.2.02026</t>
  </si>
  <si>
    <t>S-259/75030926/2025</t>
  </si>
  <si>
    <t>MUDr. Dan Kysilka</t>
  </si>
  <si>
    <t>Zajištění praxe_MUDr. Dan Kysilka_Benešov</t>
  </si>
  <si>
    <t>S-261/75030926/2025</t>
  </si>
  <si>
    <t>S-262/75030926/2025</t>
  </si>
  <si>
    <t>Zetun a.s.</t>
  </si>
  <si>
    <t>Smlouva o budoucí nájemní smlouvě Hořovice</t>
  </si>
  <si>
    <t>S-263/75030926/2025</t>
  </si>
  <si>
    <t>Smlouva o nájmu nemovité věci_Hořovice</t>
  </si>
  <si>
    <t>S-264/75030926/2025</t>
  </si>
  <si>
    <t>S-266/75030926/2025</t>
  </si>
  <si>
    <t xml:space="preserve">Zámek Loučeň a.s. </t>
  </si>
  <si>
    <t>Kupní smlouva_Vozidlo rychlé lékařské pomoci v setkávacím systému 2023</t>
  </si>
  <si>
    <t>Smlouva o poskytování služeb_Zajištění prostor pro dvoudenní vzdělávací a výcvikovou akci</t>
  </si>
  <si>
    <t>S-269/75030926/2025</t>
  </si>
  <si>
    <t>S-270/75030926/2025</t>
  </si>
  <si>
    <t>S-271/75030926/2025</t>
  </si>
  <si>
    <t>Kupní smlouva_Batohy pro výjezdové skupiny ZZS SK – část G</t>
  </si>
  <si>
    <t>Vakuform, s.r.o.</t>
  </si>
  <si>
    <t>S-278/75030926/2025</t>
  </si>
  <si>
    <t>ARCHITEKTURA, s.r.o.</t>
  </si>
  <si>
    <t>Smlouva o dílo_Studie rekonstrukce výjezdové základny Mělník ZZS SK</t>
  </si>
  <si>
    <t>S-279/75030926/2025</t>
  </si>
  <si>
    <t>S-280/75030926/2025</t>
  </si>
  <si>
    <t>Smlouva o spolupráci v oblasti specializačního vzdělávání_urgetní medicína</t>
  </si>
  <si>
    <t>S-281/75030926/2025</t>
  </si>
  <si>
    <t>Smlouva o spolupráci v oblasti specializačního vzdělávání_anesteziologie</t>
  </si>
  <si>
    <t>S-282/75030926/2025</t>
  </si>
  <si>
    <t>S-283/75030926/2025</t>
  </si>
  <si>
    <t>S-284/75030926/2025</t>
  </si>
  <si>
    <t>Zdravotnický dozor_hokejová utkání_ŠKO-ENERGO ARÉNA_Mladá Boleslav</t>
  </si>
  <si>
    <t>O-0915/75030926/2024/EN</t>
  </si>
  <si>
    <t>Právní služby - ve věci MUDr. Marcela Uličná</t>
  </si>
  <si>
    <t>S-290/75030926/2025</t>
  </si>
  <si>
    <t>Smlouva na služby_ Svoz odpadu_Hostivice</t>
  </si>
  <si>
    <t>O-0523/75030926/2025/EN</t>
  </si>
  <si>
    <t>Právní zastoupení ve věci poškozování dobrého jména ZZS SK</t>
  </si>
  <si>
    <t>S-291/75030926/2025</t>
  </si>
  <si>
    <t>Dohoda o vypořádání bezdůvodného obohacení ke sml č. S-052/75030926/23</t>
  </si>
  <si>
    <t>S-292/75030926/2025</t>
  </si>
  <si>
    <t>S-293/75030926/2025</t>
  </si>
  <si>
    <t>Rámcová dohoda o podmínkách poskytování mobilních služeb elek.komunikací</t>
  </si>
  <si>
    <t>NPO_Rámcová smlouva na služby_technický dozor projektu Zajištění kyber. bezp.</t>
  </si>
  <si>
    <t>NPO_Sml o posk služeb_Komplex zajiš žád o dotaci v rámci výzvy 43 Kyber bez NPO MV</t>
  </si>
  <si>
    <t>NPO_Rámcová smlouva_Právní podpora</t>
  </si>
  <si>
    <t>NPO_Smlouva na služby_Zajištění kyb.bezpečnosti ZZS SK_realizace opatření ID008</t>
  </si>
  <si>
    <t>Cybrify, s.r.o.</t>
  </si>
  <si>
    <t>O-0145/75030926/2024/EN</t>
  </si>
  <si>
    <t>S-294/75030926/2025</t>
  </si>
  <si>
    <t>Kupní smlouva_Záchranářské nůžky</t>
  </si>
  <si>
    <t>S-295/75030926/2025</t>
  </si>
  <si>
    <t>S-296/75030926/2025</t>
  </si>
  <si>
    <t>Smlouva o spolupráci_specializační vzdělávání_Urgentní medicina</t>
  </si>
  <si>
    <t>Kupní smlouva_Elektronické chrániče sluchu pro tým speciálních činností</t>
  </si>
  <si>
    <t>Safety Agency, s.r.o.</t>
  </si>
  <si>
    <t>Memorandum_Dohoda o zapojení příslušníků KŘP v oblasti plánované první pomoci</t>
  </si>
  <si>
    <t>Právní služby - ve věci MUDr. Zdenka Půžová</t>
  </si>
  <si>
    <t>S-303/75030926/2025</t>
  </si>
  <si>
    <t>Zajištění praxe_Denisa Dudková_10 dnů_Mělník</t>
  </si>
  <si>
    <t>Denisa Dudková</t>
  </si>
  <si>
    <t>S-305/75030926/2025</t>
  </si>
  <si>
    <t>Kupní smlouva_Sanitní vozy 2025_část A_10ks</t>
  </si>
  <si>
    <t>S-306/75030926/2025</t>
  </si>
  <si>
    <t>Kupní smlouva_Sanitní vozy 2026_část B_15ks</t>
  </si>
  <si>
    <t>CWS Hygiene Czech Republic s.r.o.</t>
  </si>
  <si>
    <t>S-307/75030926/2025</t>
  </si>
  <si>
    <t>Smlouva o výpůjčce_Mercedes Sprinter_RZ1BI 4903_Mercedes Sprinter_RZ1BV 1903</t>
  </si>
  <si>
    <t>S-308/75030926/2025</t>
  </si>
  <si>
    <t>Rámcová dohoda_Komplexní mobilní telefonní a datové služby_část A_primární</t>
  </si>
  <si>
    <t>S-309/75030926/2025</t>
  </si>
  <si>
    <t>Přístroje pro monitoraci SpO2, SpCO, karboxyhemoglobinu a methemoglobinu</t>
  </si>
  <si>
    <t>S-310/75030926/2025</t>
  </si>
  <si>
    <t>Smlouva o dílo_oprava vozidla 5SE 8606</t>
  </si>
  <si>
    <t>S-311/75030926/2025</t>
  </si>
  <si>
    <t>Výzkumný ústav geodetický Zdiby</t>
  </si>
  <si>
    <t>Intraoseální jehly II</t>
  </si>
  <si>
    <t>S-312/75030926/2025</t>
  </si>
  <si>
    <t>AMI Communications, spol. s.r.</t>
  </si>
  <si>
    <t>Smlouva o poskytnutí služeb služby_PR sanity</t>
  </si>
  <si>
    <t>S-315/75030926/2025</t>
  </si>
  <si>
    <t>Kupní smlouva_Motor (3 ks) VW Transporter – Sanitní vůz</t>
  </si>
  <si>
    <t>S-316/75030926/2025</t>
  </si>
  <si>
    <t>SEMBY, s.r.o.</t>
  </si>
  <si>
    <t>Nájemní smlouva_Bystřice</t>
  </si>
  <si>
    <t>S-319/75030926/2025</t>
  </si>
  <si>
    <t>KELTIA-MED s.r.o.</t>
  </si>
  <si>
    <t>Smlouva o budoucí podnájemní smlouvě_ZZS Zbraslav</t>
  </si>
  <si>
    <t>S-320/75030926/2025</t>
  </si>
  <si>
    <t>Smlouva o výpůjčce_Zajištění kybernetické bezp._pořízení HW a SW vybavení</t>
  </si>
  <si>
    <t>S-321/75030926/2025</t>
  </si>
  <si>
    <t>Smlouva o zajištění zdravotnické asistence</t>
  </si>
  <si>
    <t>Altair Solutions, s.r.o.</t>
  </si>
  <si>
    <t>S-322/75030926/2025</t>
  </si>
  <si>
    <t>Smlouva na služby_o zabezpečení odborné stáže_MUDr. Barbora Kapičková</t>
  </si>
  <si>
    <t>S-323/75030926/2025</t>
  </si>
  <si>
    <t>S-324/75030926/2025</t>
  </si>
  <si>
    <t xml:space="preserve">Ambulans Polska </t>
  </si>
  <si>
    <t>Kupní smlouva_Sanitní vozidla ZZS – typ C – ČSN EN 1789+A1 (5 + 5 ks)_část A</t>
  </si>
  <si>
    <t>Kupní smlouva_Sanitní vozidla ZZS – typ C – ČSN EN 1789+A1 (5 + 5 ks)_část B</t>
  </si>
  <si>
    <t>S-325/75030926/2025</t>
  </si>
  <si>
    <t>S-326/75030926/2025</t>
  </si>
  <si>
    <t>ZZ SEDMIKRÁSKA s.r.o.</t>
  </si>
  <si>
    <t>Smlouva o poskytování pracovnělékařských služeb_MUDr.  Jiří Jenšovský</t>
  </si>
  <si>
    <t>Stavebně-technická činnost ZZS SK 2025-2027_TDI</t>
  </si>
  <si>
    <t>S-327/75030926/2025</t>
  </si>
  <si>
    <t>OHLA ŽS, a.s.</t>
  </si>
  <si>
    <t>Smlouva o dílo_Nové stanoviště ZZS SK Benešov</t>
  </si>
  <si>
    <t>Activa spol. s r.o.</t>
  </si>
  <si>
    <t>Rámcová kupní smlouva_Kancelářské potřeby a papírenské zboží pro ZZS SK</t>
  </si>
  <si>
    <t>S-328/75030926/2025</t>
  </si>
  <si>
    <t>S-329/75030926/2025</t>
  </si>
  <si>
    <t>S-330/75030926/2025</t>
  </si>
  <si>
    <t>Smlouva o spolupráci při produkci podcastu_Ve stínu majáku</t>
  </si>
  <si>
    <t>Smlouva o poskytování pracovnělékařských služeb_MUDr. Jan Růžička</t>
  </si>
  <si>
    <t>Alba Albis s.r.o.</t>
  </si>
  <si>
    <t>Ordinace praktického lékaře Štěchovice s.r.o.</t>
  </si>
  <si>
    <t>S-331/75030926/2025</t>
  </si>
  <si>
    <t>S-332/75030926/2025</t>
  </si>
  <si>
    <t>S-333/75030926/2025</t>
  </si>
  <si>
    <t>S-334/75030926/2025</t>
  </si>
  <si>
    <t>S-335/75030926/2025</t>
  </si>
  <si>
    <t>S-336/75030926/2025</t>
  </si>
  <si>
    <t>S-337/75030926/2025</t>
  </si>
  <si>
    <t>S-338/75030926/2025</t>
  </si>
  <si>
    <t>S-339/75030926/2025</t>
  </si>
  <si>
    <t>S-340/75030926/2025</t>
  </si>
  <si>
    <t>Zdravotnický dozor_hokejová utkání žen - turnaj WEHT U18_Příbram</t>
  </si>
  <si>
    <t>Zajištění praxe_Bianka Dušková_ZZ na ČJU_3 dny_Vlašim</t>
  </si>
  <si>
    <t>Zajištění praxe_Blanka Dušková_ZZ na JČU_7 dnů_Vlašim</t>
  </si>
  <si>
    <t>Zajištění praxe_David Mysliveček_TUL_9 dnů_Beroun</t>
  </si>
  <si>
    <t>Zajištění praxe_Kateřina Apjárová, DiS._VŠZ_7 dnů_Dobříš</t>
  </si>
  <si>
    <t>Zajištění praxe_Jiří Drnovec_kurz řidiče_10 dnů_Vlašim</t>
  </si>
  <si>
    <t>Zdravotnický dozor_Výcvik s reálnými chemickými látkami_Příbram</t>
  </si>
  <si>
    <t>Smlouva o dílo_Oprava sanitního vozidla_SPZ: 3SJ 3899_PU</t>
  </si>
  <si>
    <t>Smlouva na dodávku virtualizačních a zálohovacích serverů a datového úložiště</t>
  </si>
  <si>
    <t>M Computers s.r.o.</t>
  </si>
  <si>
    <t>Jiří Drnovec</t>
  </si>
  <si>
    <t>Kateřina Apjárová, DiS.</t>
  </si>
  <si>
    <t>David Mysliveček</t>
  </si>
  <si>
    <t>Blanka Dušková</t>
  </si>
  <si>
    <t>Hokejový klub HC Příbram, z.s.</t>
  </si>
  <si>
    <t>Smlouva o nájmu prostor sloužících k podnikání_VFN</t>
  </si>
  <si>
    <t>S-341/75030926/2025</t>
  </si>
  <si>
    <t>Aesculap Ambulance s.r.o.</t>
  </si>
  <si>
    <t>Zajištění praxe_MUDr. RNDr. Barbara Kunt Vonková, Ph.D._7 směn_Benešov</t>
  </si>
  <si>
    <t>S-342/75030926/2025</t>
  </si>
  <si>
    <t>Trade Wings, spol. s.r.o.</t>
  </si>
  <si>
    <t>Kupní smlouva_Taktické vesty ZZS SK_část _A</t>
  </si>
  <si>
    <t>S-343/75030926/2025</t>
  </si>
  <si>
    <t>Kupní smlouva_Taktické vesty ZZS SK_část B</t>
  </si>
  <si>
    <t>S-344/75030926/2025</t>
  </si>
  <si>
    <t>S-345/75030926/2025</t>
  </si>
  <si>
    <t>Bc. Petra Hofmanová</t>
  </si>
  <si>
    <t>Róbert Lorencovič</t>
  </si>
  <si>
    <t>Zajištění praxe_Bc. Petra Hofmanová_5 dní_Říčany</t>
  </si>
  <si>
    <t>Zajištění praxe_Róbert Lorencovič_IP na LF_4 dny_Zruč nad Sázavou</t>
  </si>
  <si>
    <t>Intravenózní kanyly II.</t>
  </si>
  <si>
    <t>PROMEDICA PRAHA GROUP, a.s.</t>
  </si>
  <si>
    <t>S-346/75030926/2025</t>
  </si>
  <si>
    <t>S-347/75030926/2025</t>
  </si>
  <si>
    <t>Lenka Vávrová, BBA</t>
  </si>
  <si>
    <t>PTÚ_Smlouva o zajištění mytí vozidel</t>
  </si>
  <si>
    <t>S-348/75030926/2025</t>
  </si>
  <si>
    <t>Pramacom Prague spol s.r.o.</t>
  </si>
  <si>
    <t>Kupní smlouva_Výměna a doplnění ruční radiostanice Matra s kitem</t>
  </si>
  <si>
    <t>S-349/75030926/2025</t>
  </si>
  <si>
    <t>J + M autodíly, s.r.o.</t>
  </si>
  <si>
    <t>Kupní smlouva_Nákup 68 ks zimních pneumatik</t>
  </si>
  <si>
    <t xml:space="preserve"> - </t>
  </si>
  <si>
    <t>Dohoda o uznání dluhu a způsobu jeho placení</t>
  </si>
  <si>
    <t>ZS ASČR Kralupy</t>
  </si>
  <si>
    <t>S-350/75030926/2025</t>
  </si>
  <si>
    <t>Connect plus s.r.o.</t>
  </si>
  <si>
    <t>Smlouva na služby_internetové připojení</t>
  </si>
  <si>
    <t>S-351/75030926/2025</t>
  </si>
  <si>
    <t>Smlouva o výpůjčce_Volkswagen R5,RZ 6U6259,Volkswagen T5 RZ 7U02917</t>
  </si>
  <si>
    <t>S-352/75030926/2025</t>
  </si>
  <si>
    <t>MUDr. Martin Feder</t>
  </si>
  <si>
    <t>Zajištění praxe_MUDr. Martin Feder_lékař_5 směn_Příbram a Beroun</t>
  </si>
  <si>
    <t>S-353/75030926/2025</t>
  </si>
  <si>
    <t>Západočeská univerzita v Plzni</t>
  </si>
  <si>
    <t>Zajištění praxe_Tomáš Janota_7 dnů_Příbram</t>
  </si>
  <si>
    <t>S-354/75030926/2025</t>
  </si>
  <si>
    <t>Zajištění praxe_MUDr. Anna Blažková_7 směn_Benešov</t>
  </si>
  <si>
    <t>S-355/75030926/2025</t>
  </si>
  <si>
    <t>S-356/75030926/2025</t>
  </si>
  <si>
    <t>RCS Brno-radiostanice.cz, a.s.</t>
  </si>
  <si>
    <t>Kupní smlouva_Technické vybavení výjezdových stanovišť_část B</t>
  </si>
  <si>
    <t>S-357/75030926/2025</t>
  </si>
  <si>
    <t>Zajištění praxe_MUDr. Ekaterina Gladkikh_7 směn_Beroun</t>
  </si>
  <si>
    <t>S-358/75030926/2025</t>
  </si>
  <si>
    <t>PragMed s.r.o.</t>
  </si>
  <si>
    <t>Zajištění praxe_MUDr. Pavel Šimon_7 směn_Mělník</t>
  </si>
  <si>
    <t>S-359/75030926/2025</t>
  </si>
  <si>
    <t>Zajištění praxe_Lucie Hrubá_ZZ na JČU_10 dnů_Příbram</t>
  </si>
  <si>
    <t>S-360/75030926/2025</t>
  </si>
  <si>
    <t>Monika Holečková</t>
  </si>
  <si>
    <t>Zajištění praxe_Monika Holečková_kurz řidiče_7 dnů_Vranov</t>
  </si>
  <si>
    <t>S-361/75030926/2025</t>
  </si>
  <si>
    <t>Zajištění praxe_Denisa Dudková_ZZ na UJEP_27 dní_Mělník</t>
  </si>
  <si>
    <t>NNLZP</t>
  </si>
  <si>
    <t>EN</t>
  </si>
  <si>
    <t>LN</t>
  </si>
  <si>
    <t>PTN</t>
  </si>
  <si>
    <t>S-362/75030926/2025</t>
  </si>
  <si>
    <t>Nakládání s odpadem_Smlouva o nakládání s odpadem_provozovna Čáslav</t>
  </si>
  <si>
    <t>Batohy pro výjezdové skupiny ZZS SK – část B</t>
  </si>
  <si>
    <t>Batohy pro výjezdové skupiny ZZS SK – část A</t>
  </si>
  <si>
    <t>Popáleninové roušky část A_rozměr 10x10 cm</t>
  </si>
  <si>
    <t>Popáleninové roušky_část B</t>
  </si>
  <si>
    <t>Popáleninové roušky část C_20-30x40-45 cm na obličej</t>
  </si>
  <si>
    <t>S-363/75030926/2025</t>
  </si>
  <si>
    <t>Podnájemní smlouva_nebytové prostory_Zbraslav</t>
  </si>
  <si>
    <t>S-364/75030926/2025</t>
  </si>
  <si>
    <t>Iatri Cauti, s.r.o.</t>
  </si>
  <si>
    <t>Smlouva o poskytování pracovnělékařských služeb_MUDr. Martin Šimša</t>
  </si>
  <si>
    <t>S-365/75030926/2025</t>
  </si>
  <si>
    <t>DrVoštěp s.r.o.</t>
  </si>
  <si>
    <t>Smlouva na služby v rámci správy budovy k podnájemní smlouvě_Zbraslav</t>
  </si>
  <si>
    <t>S-366/75030926/2025</t>
  </si>
  <si>
    <t>JP - KONTAKT s.r.o.</t>
  </si>
  <si>
    <t>Kupní smlouva_dodávka dřevěných skříní_část A</t>
  </si>
  <si>
    <t>S-367/75030926/2025</t>
  </si>
  <si>
    <t>Kupní smlouva_dodávka kovových skříní_část B</t>
  </si>
  <si>
    <t>S-368/75030926/2025</t>
  </si>
  <si>
    <t>Podnájemní smlouva parkovacích míst k podnájemní smlouvě Zbraslav</t>
  </si>
  <si>
    <t>DrVoštěp druhý s.r.o.</t>
  </si>
  <si>
    <t>S-369/75030926/2025</t>
  </si>
  <si>
    <t>Zdenka Zikešová</t>
  </si>
  <si>
    <t>Kupní smlouva_nábytek_kuchyňka a umyvadlo se skříní_Zbraslav</t>
  </si>
  <si>
    <t>S-370/75030926/2025</t>
  </si>
  <si>
    <t>BB kovo s.r.o.</t>
  </si>
  <si>
    <t>Smlouva o dílo_dodávka a montáž bezpečnostních dveří KZOS</t>
  </si>
  <si>
    <t>GML Health Care s.r.o.</t>
  </si>
  <si>
    <t>Smlouva o výpůjčce_zápůjčka ultrazvuku</t>
  </si>
  <si>
    <t>S-371/75030926/2025</t>
  </si>
  <si>
    <t>S-372/75030926/2025</t>
  </si>
  <si>
    <t>S-373/75030926/2025</t>
  </si>
  <si>
    <t>Zajištění praxe_Petr Oppitz_kurz řidiče_2 dny_Mělník</t>
  </si>
  <si>
    <t>S-374/75030926/2025</t>
  </si>
  <si>
    <t>Bc. Jan Švejda, DiS</t>
  </si>
  <si>
    <t>Zajištění praxe_Bc. Jan Švejda, DiS._6 dnů_Mělník</t>
  </si>
  <si>
    <t>S-375/75030926/2025</t>
  </si>
  <si>
    <t>S-376/75030926/2025</t>
  </si>
  <si>
    <t>Zajištění praxe_Antonín Lukeš_voják</t>
  </si>
  <si>
    <t>Zajištění praxe_Jiří Kálal_voják</t>
  </si>
  <si>
    <t>S-377/75030926/2025</t>
  </si>
  <si>
    <t>Přefakturace elektrické energie_Sedlčany 159</t>
  </si>
  <si>
    <t>S-378/75030926/2025</t>
  </si>
  <si>
    <t>Zajištění praxe_Bc. Brunclík Filip Richard_voják_Rakovník</t>
  </si>
  <si>
    <t>Smlouva o operativním leasingu a dalších službách ''ComfortPlan''</t>
  </si>
  <si>
    <t>S-383/75030926/2025</t>
  </si>
  <si>
    <t>S-382/75030926/2025</t>
  </si>
  <si>
    <t>S-381/75030926/2025</t>
  </si>
  <si>
    <t>S-380/75030926/2025</t>
  </si>
  <si>
    <t>S-379/75030926/2025</t>
  </si>
  <si>
    <t>Marianna Savlyaková</t>
  </si>
  <si>
    <t>Zajištění praxe_Marianna Savlyaková_4 dny_Brandýs nad Labem</t>
  </si>
  <si>
    <t>Zajištění praxe_Karolína Walterová_9 dnů_Kolín</t>
  </si>
  <si>
    <t>MUDr. Vendula Talácková</t>
  </si>
  <si>
    <t>Zajištění praxe_MUDr. Vendula Talácková_5 směn_Benešov</t>
  </si>
  <si>
    <t>Zajištění praxe_Adéla Vitásková_9 dnů_Příbram</t>
  </si>
  <si>
    <t>Veronika Štychová</t>
  </si>
  <si>
    <t>Zajištění praxe_Veronika Štychová_12 dnů_Beroun</t>
  </si>
  <si>
    <t>Martin Šebesta</t>
  </si>
  <si>
    <t>Zajištění praxe_Martin Šebesta_5 dnů_Kolín</t>
  </si>
  <si>
    <t>Drivalia Lease Czech Republic</t>
  </si>
  <si>
    <t>S-384/75030926/2025</t>
  </si>
  <si>
    <t>S-385/75030926/2025</t>
  </si>
  <si>
    <t>Daniel Brindžák</t>
  </si>
  <si>
    <t>Zajištění praxe_Daniel Brindžák_LF_5 dnů_Kladno</t>
  </si>
  <si>
    <t>Smlouva na právní služby_poradenství v oblasti pracovního práva</t>
  </si>
  <si>
    <t>S-386/75030926/2025</t>
  </si>
  <si>
    <t>Kupní smlouva_Část A_Oprava motoru vozidla 4SY 7701</t>
  </si>
  <si>
    <t>S-387/75030926/2025</t>
  </si>
  <si>
    <t>Kupní smlouva_Část B_Oprava převodovky vozidla 5SE 8607</t>
  </si>
  <si>
    <t>S-388/75030926/2025</t>
  </si>
  <si>
    <t>Smlouva o zřízení věc. břemene-služebnosti_Benešov u Prahy</t>
  </si>
  <si>
    <t>PN</t>
  </si>
  <si>
    <t>ZBÝVÁ bez DPH</t>
  </si>
  <si>
    <t>ZBÝVÁ s DPH</t>
  </si>
  <si>
    <t>06288740</t>
  </si>
  <si>
    <t>RE</t>
  </si>
  <si>
    <t>05732069</t>
  </si>
  <si>
    <t>09275525</t>
  </si>
  <si>
    <t>09692142</t>
  </si>
  <si>
    <t>03742857</t>
  </si>
  <si>
    <t>04260431</t>
  </si>
  <si>
    <t>00011754</t>
  </si>
  <si>
    <t>04262719</t>
  </si>
  <si>
    <t>04896661</t>
  </si>
  <si>
    <t>07524145</t>
  </si>
  <si>
    <t>02891506</t>
  </si>
  <si>
    <t>07725680</t>
  </si>
  <si>
    <t>07476728</t>
  </si>
  <si>
    <t>05985081</t>
  </si>
  <si>
    <t>05212146</t>
  </si>
  <si>
    <t>04987730</t>
  </si>
  <si>
    <t>04684010</t>
  </si>
  <si>
    <t>00011699</t>
  </si>
  <si>
    <t>00011690</t>
  </si>
  <si>
    <t>00011689</t>
  </si>
  <si>
    <t>00010089</t>
  </si>
  <si>
    <t>00011688</t>
  </si>
  <si>
    <t>00010984</t>
  </si>
  <si>
    <t>00011687</t>
  </si>
  <si>
    <t>00011675</t>
  </si>
  <si>
    <t>00011674</t>
  </si>
  <si>
    <t>07118821</t>
  </si>
  <si>
    <t>00011448</t>
  </si>
  <si>
    <t>00011641</t>
  </si>
  <si>
    <t>00011005</t>
  </si>
  <si>
    <t>01689410</t>
  </si>
  <si>
    <t>00011611</t>
  </si>
  <si>
    <t>00829013</t>
  </si>
  <si>
    <t>00011525</t>
  </si>
  <si>
    <t>00011524</t>
  </si>
  <si>
    <t>00064165</t>
  </si>
  <si>
    <t>00010960</t>
  </si>
  <si>
    <t>00010622</t>
  </si>
  <si>
    <t>00011081</t>
  </si>
  <si>
    <t>00011510</t>
  </si>
  <si>
    <t>00011468</t>
  </si>
  <si>
    <t>00025615</t>
  </si>
  <si>
    <t>00346292</t>
  </si>
  <si>
    <t>00960209</t>
  </si>
  <si>
    <t>00010331</t>
  </si>
  <si>
    <t>00011296</t>
  </si>
  <si>
    <t>05902746</t>
  </si>
  <si>
    <t>05429269</t>
  </si>
  <si>
    <t>04492013</t>
  </si>
  <si>
    <t>00011085</t>
  </si>
  <si>
    <t>01472496</t>
  </si>
  <si>
    <t>06647561</t>
  </si>
  <si>
    <t>03328325</t>
  </si>
  <si>
    <t>00241245</t>
  </si>
  <si>
    <t>03173631</t>
  </si>
  <si>
    <t>00177041</t>
  </si>
  <si>
    <t>00242535</t>
  </si>
  <si>
    <t>00010849</t>
  </si>
  <si>
    <t>00234061</t>
  </si>
  <si>
    <t>04797604</t>
  </si>
  <si>
    <t>02480913</t>
  </si>
  <si>
    <t>00007064</t>
  </si>
  <si>
    <t>00008284</t>
  </si>
  <si>
    <t>06864244</t>
  </si>
  <si>
    <t>04553853</t>
  </si>
  <si>
    <t>01571010</t>
  </si>
  <si>
    <t>00066001</t>
  </si>
  <si>
    <t>01549855</t>
  </si>
  <si>
    <t>01661833</t>
  </si>
  <si>
    <t>05759544</t>
  </si>
  <si>
    <t>00509965</t>
  </si>
  <si>
    <t>00064203</t>
  </si>
  <si>
    <t>00064211</t>
  </si>
  <si>
    <t>00010461</t>
  </si>
  <si>
    <t>00638927</t>
  </si>
  <si>
    <t>00064581</t>
  </si>
  <si>
    <t>03508081</t>
  </si>
  <si>
    <t>00006947</t>
  </si>
  <si>
    <t>02183714</t>
  </si>
  <si>
    <t>00107999</t>
  </si>
  <si>
    <t>07980027</t>
  </si>
  <si>
    <t>00023698</t>
  </si>
  <si>
    <t>00243825</t>
  </si>
  <si>
    <t>00240702</t>
  </si>
  <si>
    <t>00232963</t>
  </si>
  <si>
    <t>00242098</t>
  </si>
  <si>
    <t>02795281</t>
  </si>
  <si>
    <t>067733</t>
  </si>
  <si>
    <t>067041</t>
  </si>
  <si>
    <t>066001</t>
  </si>
  <si>
    <t>064581</t>
  </si>
  <si>
    <t>064203</t>
  </si>
  <si>
    <t>025615</t>
  </si>
  <si>
    <t>023841</t>
  </si>
  <si>
    <t>023221</t>
  </si>
  <si>
    <t>008590</t>
  </si>
  <si>
    <t>007064</t>
  </si>
  <si>
    <t>007040</t>
  </si>
  <si>
    <t>003435</t>
  </si>
  <si>
    <t>003283</t>
  </si>
  <si>
    <t>000209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</si>
</sst>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Kč&quot;_-;\-* #,##0.00\ &quot;Kč&quot;_-;_-* &quot;-&quot;??\ &quot;Kč&quot;_-;_-@_-"/>
    <numFmt numFmtId="165" formatCode="_-* #,##0.00\ [$Kč-405]_-;\-* #,##0.00\ [$Kč-405]_-;_-* &quot;-&quot;??\ [$Kč-405]_-;_-@"/>
    <numFmt numFmtId="167" formatCode="#,##0.00\ &quot;Kč&quot;"/>
    <numFmt numFmtId="169" formatCode="#,##0\ &quot;Kč&quot;;[Red]\-#,##0\ &quot;Kč&quot;"/>
    <numFmt numFmtId="170" formatCode="#,##0.00\ &quot;Kč&quot;;[Red]\-#,##0.00\ &quot;Kč&quot;"/>
    <numFmt numFmtId="173" formatCode="_-* #,##0.00\ &quot;Kč&quot;_-;\-* #,##0.00\ &quot;Kč&quot;_-;_-* &quot;-&quot;??\ &quot;Kč&quot;_-;_-@_-"/>
  </numFmts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  <scheme val="minor"/>
    </font>
    <font>
      <sz val="10"/>
      <color rgb="FFFF0000"/>
      <name val="Arial"/>
      <family val="2"/>
      <charset val="238"/>
      <scheme val="minor"/>
    </font>
    <font>
      <b/>
      <sz val="10"/>
      <color rgb="FFFF0000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  <font>
      <sz val="11"/>
      <color rgb="FF006100"/>
      <name val="Arial"/>
      <family val="2"/>
      <charset val="238"/>
      <scheme val="minor"/>
    </font>
    <font>
      <u/>
      <sz val="11"/>
      <color theme="10"/>
      <name val="Arial"/>
      <family val="2"/>
      <charset val="238"/>
      <scheme val="minor"/>
    </font>
    <font>
      <sz val="11"/>
      <name val="Calibri"/>
      <family val="2"/>
      <charset val="238"/>
    </font>
    <font>
      <sz val="10"/>
      <color rgb="FF000000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ajor"/>
    </font>
    <font>
      <sz val="10"/>
      <color theme="1"/>
      <name val="Arial"/>
      <family val="2"/>
      <charset val="238"/>
      <scheme val="major"/>
    </font>
    <font>
      <b/>
      <sz val="10"/>
      <color rgb="FF000000"/>
      <name val="Arial"/>
      <family val="2"/>
      <charset val="238"/>
      <scheme val="major"/>
    </font>
    <font>
      <b/>
      <sz val="10"/>
      <color theme="1"/>
      <name val="Arial"/>
      <family val="2"/>
      <charset val="238"/>
      <scheme val="minor"/>
    </font>
    <font>
      <b/>
      <sz val="10"/>
      <color rgb="FF000000"/>
      <name val="Arial"/>
      <family val="2"/>
      <charset val="238"/>
      <scheme val="minor"/>
    </font>
    <font>
      <sz val="10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b/>
      <sz val="10"/>
      <color rgb="FF00B050"/>
      <name val="Arial"/>
      <family val="2"/>
      <charset val="238"/>
      <scheme val="minor"/>
    </font>
    <font>
      <b/>
      <sz val="10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auto="1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5" fillId="0" borderId="1"/>
    <xf numFmtId="0" fontId="12" fillId="0" borderId="1" applyNumberFormat="0" applyFill="0" applyBorder="0" applyAlignment="0" applyProtection="0"/>
    <xf numFmtId="0" fontId="11" fillId="2" borderId="1" applyNumberFormat="0" applyBorder="0" applyAlignment="0" applyProtection="0"/>
    <xf numFmtId="0" fontId="13" fillId="0" borderId="1"/>
    <xf numFmtId="0" fontId="4" fillId="0" borderId="1"/>
    <xf numFmtId="0" fontId="3" fillId="0" borderId="1"/>
    <xf numFmtId="0" fontId="2" fillId="0" borderId="1"/>
    <xf numFmtId="0" fontId="10" fillId="0" borderId="1"/>
    <xf numFmtId="173" fontId="10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</cellStyleXfs>
  <cellXfs count="185">
    <xf numFmtId="0" fontId="0" fillId="0" borderId="0" xfId="0"/>
    <xf numFmtId="0" fontId="10" fillId="0" borderId="0" xfId="0" applyFont="1"/>
    <xf numFmtId="167" fontId="0" fillId="0" borderId="0" xfId="0" applyNumberFormat="1"/>
    <xf numFmtId="0" fontId="14" fillId="0" borderId="0" xfId="0" applyFont="1"/>
    <xf numFmtId="0" fontId="15" fillId="0" borderId="2" xfId="1" applyFont="1" applyBorder="1" applyAlignment="1">
      <alignment horizontal="center" vertical="center"/>
    </xf>
    <xf numFmtId="4" fontId="15" fillId="0" borderId="2" xfId="1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/>
    </xf>
    <xf numFmtId="49" fontId="14" fillId="0" borderId="5" xfId="0" applyNumberFormat="1" applyFont="1" applyBorder="1" applyAlignment="1">
      <alignment horizontal="left" vertical="center"/>
    </xf>
    <xf numFmtId="49" fontId="14" fillId="0" borderId="1" xfId="0" applyNumberFormat="1" applyFont="1" applyBorder="1"/>
    <xf numFmtId="4" fontId="14" fillId="0" borderId="1" xfId="0" applyNumberFormat="1" applyFont="1" applyBorder="1" applyAlignment="1">
      <alignment horizontal="right" vertical="center" wrapText="1"/>
    </xf>
    <xf numFmtId="14" fontId="14" fillId="0" borderId="1" xfId="0" applyNumberFormat="1" applyFont="1" applyBorder="1" applyAlignment="1">
      <alignment horizontal="righ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44" fontId="17" fillId="0" borderId="3" xfId="0" applyNumberFormat="1" applyFont="1" applyBorder="1" applyAlignment="1">
      <alignment horizontal="right" vertical="center"/>
    </xf>
    <xf numFmtId="49" fontId="14" fillId="0" borderId="1" xfId="0" applyNumberFormat="1" applyFont="1" applyBorder="1" applyAlignment="1">
      <alignment horizontal="righ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0" fillId="0" borderId="1" xfId="0" applyFont="1" applyBorder="1"/>
    <xf numFmtId="49" fontId="16" fillId="0" borderId="9" xfId="1" applyNumberFormat="1" applyFont="1" applyBorder="1" applyAlignment="1">
      <alignment horizontal="left" vertical="center"/>
    </xf>
    <xf numFmtId="49" fontId="16" fillId="0" borderId="18" xfId="1" applyNumberFormat="1" applyFont="1" applyBorder="1" applyAlignment="1">
      <alignment horizontal="left"/>
    </xf>
    <xf numFmtId="4" fontId="16" fillId="0" borderId="18" xfId="1" applyNumberFormat="1" applyFont="1" applyBorder="1" applyAlignment="1">
      <alignment horizontal="right" vertical="center" wrapText="1"/>
    </xf>
    <xf numFmtId="49" fontId="16" fillId="0" borderId="9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/>
    </xf>
    <xf numFmtId="49" fontId="7" fillId="0" borderId="9" xfId="5" applyNumberFormat="1" applyFont="1" applyBorder="1" applyAlignment="1">
      <alignment horizontal="left" vertical="center"/>
    </xf>
    <xf numFmtId="49" fontId="7" fillId="0" borderId="18" xfId="5" applyNumberFormat="1" applyFont="1" applyBorder="1"/>
    <xf numFmtId="49" fontId="7" fillId="0" borderId="18" xfId="5" applyNumberFormat="1" applyFont="1" applyBorder="1" applyAlignment="1">
      <alignment horizontal="right"/>
    </xf>
    <xf numFmtId="4" fontId="7" fillId="0" borderId="18" xfId="5" applyNumberFormat="1" applyFont="1" applyBorder="1" applyAlignment="1">
      <alignment horizontal="right" vertical="center" wrapText="1"/>
    </xf>
    <xf numFmtId="49" fontId="7" fillId="0" borderId="18" xfId="5" applyNumberFormat="1" applyFont="1" applyBorder="1" applyAlignment="1">
      <alignment horizontal="right" vertical="center"/>
    </xf>
    <xf numFmtId="49" fontId="14" fillId="0" borderId="18" xfId="0" applyNumberFormat="1" applyFont="1" applyBorder="1"/>
    <xf numFmtId="49" fontId="14" fillId="0" borderId="18" xfId="0" applyNumberFormat="1" applyFont="1" applyBorder="1" applyAlignment="1">
      <alignment horizontal="right" vertical="center"/>
    </xf>
    <xf numFmtId="4" fontId="14" fillId="0" borderId="18" xfId="0" applyNumberFormat="1" applyFont="1" applyBorder="1" applyAlignment="1">
      <alignment horizontal="right" vertical="center" wrapText="1"/>
    </xf>
    <xf numFmtId="44" fontId="14" fillId="0" borderId="18" xfId="0" applyNumberFormat="1" applyFont="1" applyBorder="1" applyAlignment="1">
      <alignment horizontal="right" vertical="center" wrapText="1"/>
    </xf>
    <xf numFmtId="49" fontId="14" fillId="0" borderId="18" xfId="0" applyNumberFormat="1" applyFont="1" applyBorder="1" applyAlignment="1">
      <alignment horizontal="right"/>
    </xf>
    <xf numFmtId="49" fontId="6" fillId="0" borderId="9" xfId="0" applyNumberFormat="1" applyFont="1" applyBorder="1" applyAlignment="1">
      <alignment horizontal="left" vertical="center"/>
    </xf>
    <xf numFmtId="49" fontId="6" fillId="0" borderId="18" xfId="0" applyNumberFormat="1" applyFont="1" applyBorder="1"/>
    <xf numFmtId="49" fontId="14" fillId="0" borderId="11" xfId="0" applyNumberFormat="1" applyFont="1" applyBorder="1" applyAlignment="1">
      <alignment horizontal="left" vertical="center"/>
    </xf>
    <xf numFmtId="49" fontId="14" fillId="0" borderId="19" xfId="0" applyNumberFormat="1" applyFont="1" applyBorder="1"/>
    <xf numFmtId="49" fontId="14" fillId="0" borderId="19" xfId="0" applyNumberFormat="1" applyFont="1" applyBorder="1" applyAlignment="1">
      <alignment horizontal="right" vertical="center"/>
    </xf>
    <xf numFmtId="4" fontId="14" fillId="0" borderId="19" xfId="0" applyNumberFormat="1" applyFont="1" applyBorder="1" applyAlignment="1">
      <alignment horizontal="right" vertical="center" wrapText="1"/>
    </xf>
    <xf numFmtId="0" fontId="15" fillId="0" borderId="6" xfId="1" applyFont="1" applyBorder="1" applyAlignment="1">
      <alignment horizontal="center" vertical="center"/>
    </xf>
    <xf numFmtId="49" fontId="16" fillId="0" borderId="18" xfId="1" applyNumberFormat="1" applyFont="1" applyBorder="1" applyAlignment="1">
      <alignment horizontal="right"/>
    </xf>
    <xf numFmtId="49" fontId="16" fillId="0" borderId="18" xfId="1" applyNumberFormat="1" applyFont="1" applyBorder="1" applyAlignment="1">
      <alignment horizontal="right" vertical="center"/>
    </xf>
    <xf numFmtId="44" fontId="15" fillId="0" borderId="10" xfId="1" applyNumberFormat="1" applyFont="1" applyBorder="1" applyAlignment="1">
      <alignment horizontal="right" vertical="center"/>
    </xf>
    <xf numFmtId="44" fontId="15" fillId="0" borderId="9" xfId="1" applyNumberFormat="1" applyFont="1" applyBorder="1" applyAlignment="1">
      <alignment horizontal="right" vertical="center"/>
    </xf>
    <xf numFmtId="44" fontId="18" fillId="0" borderId="9" xfId="5" applyNumberFormat="1" applyFont="1" applyBorder="1" applyAlignment="1">
      <alignment horizontal="right" vertical="center"/>
    </xf>
    <xf numFmtId="44" fontId="18" fillId="0" borderId="10" xfId="5" applyNumberFormat="1" applyFont="1" applyBorder="1" applyAlignment="1">
      <alignment horizontal="right" vertical="center"/>
    </xf>
    <xf numFmtId="44" fontId="17" fillId="0" borderId="9" xfId="0" applyNumberFormat="1" applyFont="1" applyBorder="1" applyAlignment="1">
      <alignment horizontal="right" vertical="center"/>
    </xf>
    <xf numFmtId="44" fontId="17" fillId="0" borderId="10" xfId="0" applyNumberFormat="1" applyFont="1" applyBorder="1" applyAlignment="1">
      <alignment horizontal="right" vertical="center"/>
    </xf>
    <xf numFmtId="44" fontId="17" fillId="0" borderId="11" xfId="0" applyNumberFormat="1" applyFont="1" applyBorder="1" applyAlignment="1">
      <alignment horizontal="right" vertical="center"/>
    </xf>
    <xf numFmtId="44" fontId="17" fillId="0" borderId="12" xfId="0" applyNumberFormat="1" applyFont="1" applyBorder="1" applyAlignment="1">
      <alignment horizontal="right" vertical="center"/>
    </xf>
    <xf numFmtId="44" fontId="17" fillId="0" borderId="9" xfId="0" applyNumberFormat="1" applyFont="1" applyBorder="1" applyAlignment="1">
      <alignment horizontal="right"/>
    </xf>
    <xf numFmtId="49" fontId="7" fillId="0" borderId="7" xfId="5" applyNumberFormat="1" applyFont="1" applyBorder="1" applyAlignment="1">
      <alignment horizontal="left" vertical="center"/>
    </xf>
    <xf numFmtId="49" fontId="7" fillId="0" borderId="17" xfId="5" applyNumberFormat="1" applyFont="1" applyBorder="1"/>
    <xf numFmtId="49" fontId="7" fillId="0" borderId="17" xfId="5" applyNumberFormat="1" applyFont="1" applyBorder="1" applyAlignment="1">
      <alignment horizontal="right"/>
    </xf>
    <xf numFmtId="4" fontId="7" fillId="0" borderId="17" xfId="5" applyNumberFormat="1" applyFont="1" applyBorder="1" applyAlignment="1">
      <alignment horizontal="right" vertical="center" wrapText="1"/>
    </xf>
    <xf numFmtId="49" fontId="6" fillId="0" borderId="9" xfId="5" applyNumberFormat="1" applyFont="1" applyBorder="1" applyAlignment="1">
      <alignment horizontal="left" vertical="center"/>
    </xf>
    <xf numFmtId="49" fontId="6" fillId="0" borderId="18" xfId="5" applyNumberFormat="1" applyFont="1" applyBorder="1"/>
    <xf numFmtId="49" fontId="6" fillId="0" borderId="18" xfId="5" applyNumberFormat="1" applyFont="1" applyBorder="1" applyAlignment="1">
      <alignment horizontal="right"/>
    </xf>
    <xf numFmtId="4" fontId="6" fillId="0" borderId="18" xfId="5" applyNumberFormat="1" applyFont="1" applyBorder="1" applyAlignment="1">
      <alignment horizontal="right" vertical="center" wrapText="1"/>
    </xf>
    <xf numFmtId="44" fontId="18" fillId="0" borderId="7" xfId="5" applyNumberFormat="1" applyFont="1" applyBorder="1" applyAlignment="1">
      <alignment horizontal="right" vertical="center"/>
    </xf>
    <xf numFmtId="44" fontId="18" fillId="0" borderId="8" xfId="5" applyNumberFormat="1" applyFont="1" applyBorder="1" applyAlignment="1">
      <alignment horizontal="right" vertical="center"/>
    </xf>
    <xf numFmtId="49" fontId="14" fillId="0" borderId="19" xfId="0" applyNumberFormat="1" applyFont="1" applyBorder="1" applyAlignment="1">
      <alignment horizontal="right"/>
    </xf>
    <xf numFmtId="49" fontId="16" fillId="0" borderId="7" xfId="1" applyNumberFormat="1" applyFont="1" applyBorder="1" applyAlignment="1">
      <alignment horizontal="left" vertical="center"/>
    </xf>
    <xf numFmtId="49" fontId="16" fillId="0" borderId="17" xfId="1" applyNumberFormat="1" applyFont="1" applyBorder="1" applyAlignment="1">
      <alignment horizontal="center" vertical="center"/>
    </xf>
    <xf numFmtId="49" fontId="16" fillId="0" borderId="17" xfId="1" applyNumberFormat="1" applyFont="1" applyBorder="1" applyAlignment="1">
      <alignment horizontal="left"/>
    </xf>
    <xf numFmtId="49" fontId="16" fillId="0" borderId="17" xfId="1" applyNumberFormat="1" applyFont="1" applyBorder="1" applyAlignment="1">
      <alignment horizontal="right"/>
    </xf>
    <xf numFmtId="4" fontId="16" fillId="0" borderId="17" xfId="1" applyNumberFormat="1" applyFont="1" applyBorder="1" applyAlignment="1">
      <alignment horizontal="right" vertical="center" wrapText="1"/>
    </xf>
    <xf numFmtId="49" fontId="16" fillId="0" borderId="18" xfId="1" applyNumberFormat="1" applyFont="1" applyBorder="1" applyAlignment="1">
      <alignment horizontal="center" vertical="center"/>
    </xf>
    <xf numFmtId="44" fontId="15" fillId="0" borderId="8" xfId="1" applyNumberFormat="1" applyFont="1" applyBorder="1" applyAlignment="1">
      <alignment horizontal="right" vertical="center"/>
    </xf>
    <xf numFmtId="49" fontId="7" fillId="0" borderId="17" xfId="5" applyNumberFormat="1" applyFont="1" applyBorder="1" applyAlignment="1">
      <alignment horizontal="center" vertical="center"/>
    </xf>
    <xf numFmtId="49" fontId="7" fillId="0" borderId="18" xfId="5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left" vertical="center"/>
    </xf>
    <xf numFmtId="49" fontId="14" fillId="0" borderId="17" xfId="0" applyNumberFormat="1" applyFont="1" applyBorder="1" applyAlignment="1">
      <alignment horizontal="center" vertical="center"/>
    </xf>
    <xf numFmtId="49" fontId="14" fillId="0" borderId="17" xfId="0" applyNumberFormat="1" applyFont="1" applyBorder="1"/>
    <xf numFmtId="49" fontId="14" fillId="0" borderId="17" xfId="0" applyNumberFormat="1" applyFont="1" applyBorder="1" applyAlignment="1">
      <alignment horizontal="right" vertical="center"/>
    </xf>
    <xf numFmtId="44" fontId="14" fillId="0" borderId="17" xfId="0" applyNumberFormat="1" applyFont="1" applyBorder="1" applyAlignment="1">
      <alignment horizontal="right" vertical="center" wrapText="1"/>
    </xf>
    <xf numFmtId="44" fontId="17" fillId="0" borderId="8" xfId="0" applyNumberFormat="1" applyFont="1" applyBorder="1" applyAlignment="1">
      <alignment horizontal="right" vertical="center"/>
    </xf>
    <xf numFmtId="49" fontId="14" fillId="0" borderId="18" xfId="0" applyNumberFormat="1" applyFont="1" applyBorder="1" applyAlignment="1">
      <alignment horizontal="center" vertical="center"/>
    </xf>
    <xf numFmtId="49" fontId="14" fillId="0" borderId="19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right"/>
    </xf>
    <xf numFmtId="4" fontId="14" fillId="0" borderId="17" xfId="0" applyNumberFormat="1" applyFont="1" applyBorder="1" applyAlignment="1">
      <alignment horizontal="right" vertical="center" wrapText="1"/>
    </xf>
    <xf numFmtId="49" fontId="14" fillId="4" borderId="9" xfId="0" applyNumberFormat="1" applyFont="1" applyFill="1" applyBorder="1" applyAlignment="1">
      <alignment horizontal="left" vertical="center"/>
    </xf>
    <xf numFmtId="49" fontId="14" fillId="4" borderId="18" xfId="0" applyNumberFormat="1" applyFont="1" applyFill="1" applyBorder="1"/>
    <xf numFmtId="49" fontId="14" fillId="4" borderId="18" xfId="0" applyNumberFormat="1" applyFont="1" applyFill="1" applyBorder="1" applyAlignment="1">
      <alignment horizontal="right"/>
    </xf>
    <xf numFmtId="4" fontId="14" fillId="4" borderId="18" xfId="0" applyNumberFormat="1" applyFont="1" applyFill="1" applyBorder="1" applyAlignment="1">
      <alignment horizontal="right" vertical="center" wrapText="1"/>
    </xf>
    <xf numFmtId="14" fontId="16" fillId="0" borderId="20" xfId="1" applyNumberFormat="1" applyFont="1" applyBorder="1" applyAlignment="1">
      <alignment horizontal="right" vertical="center" wrapText="1"/>
    </xf>
    <xf numFmtId="14" fontId="16" fillId="0" borderId="16" xfId="1" applyNumberFormat="1" applyFont="1" applyBorder="1" applyAlignment="1">
      <alignment horizontal="right" vertical="center" wrapText="1"/>
    </xf>
    <xf numFmtId="14" fontId="16" fillId="3" borderId="16" xfId="1" applyNumberFormat="1" applyFont="1" applyFill="1" applyBorder="1" applyAlignment="1">
      <alignment horizontal="right" vertical="center" wrapText="1"/>
    </xf>
    <xf numFmtId="14" fontId="7" fillId="0" borderId="16" xfId="5" applyNumberFormat="1" applyFont="1" applyBorder="1" applyAlignment="1">
      <alignment horizontal="right" vertical="center" wrapText="1"/>
    </xf>
    <xf numFmtId="14" fontId="6" fillId="0" borderId="16" xfId="5" applyNumberFormat="1" applyFont="1" applyBorder="1" applyAlignment="1">
      <alignment horizontal="right" vertical="center" wrapText="1"/>
    </xf>
    <xf numFmtId="14" fontId="14" fillId="0" borderId="16" xfId="0" applyNumberFormat="1" applyFont="1" applyBorder="1" applyAlignment="1">
      <alignment horizontal="right" vertical="center" wrapText="1"/>
    </xf>
    <xf numFmtId="14" fontId="14" fillId="0" borderId="21" xfId="0" applyNumberFormat="1" applyFont="1" applyBorder="1" applyAlignment="1">
      <alignment horizontal="right" vertical="center" wrapText="1"/>
    </xf>
    <xf numFmtId="14" fontId="14" fillId="0" borderId="20" xfId="0" applyNumberFormat="1" applyFont="1" applyBorder="1" applyAlignment="1">
      <alignment horizontal="right" vertical="center" wrapText="1"/>
    </xf>
    <xf numFmtId="14" fontId="14" fillId="4" borderId="16" xfId="0" applyNumberFormat="1" applyFont="1" applyFill="1" applyBorder="1" applyAlignment="1">
      <alignment horizontal="right" vertical="center" wrapText="1"/>
    </xf>
    <xf numFmtId="14" fontId="14" fillId="3" borderId="16" xfId="0" applyNumberFormat="1" applyFont="1" applyFill="1" applyBorder="1" applyAlignment="1">
      <alignment horizontal="right" vertical="center" wrapText="1"/>
    </xf>
    <xf numFmtId="44" fontId="17" fillId="0" borderId="7" xfId="0" applyNumberFormat="1" applyFont="1" applyBorder="1" applyAlignment="1">
      <alignment horizontal="right" vertical="center"/>
    </xf>
    <xf numFmtId="49" fontId="16" fillId="0" borderId="14" xfId="1" applyNumberFormat="1" applyFont="1" applyBorder="1" applyAlignment="1">
      <alignment horizontal="left" vertical="center"/>
    </xf>
    <xf numFmtId="49" fontId="16" fillId="0" borderId="23" xfId="1" applyNumberFormat="1" applyFont="1" applyBorder="1" applyAlignment="1">
      <alignment horizontal="center" vertical="center"/>
    </xf>
    <xf numFmtId="49" fontId="16" fillId="0" borderId="23" xfId="1" applyNumberFormat="1" applyFont="1" applyBorder="1" applyAlignment="1">
      <alignment horizontal="left"/>
    </xf>
    <xf numFmtId="49" fontId="16" fillId="0" borderId="23" xfId="1" applyNumberFormat="1" applyFont="1" applyBorder="1" applyAlignment="1">
      <alignment horizontal="right"/>
    </xf>
    <xf numFmtId="4" fontId="16" fillId="0" borderId="23" xfId="1" applyNumberFormat="1" applyFont="1" applyBorder="1" applyAlignment="1">
      <alignment horizontal="right" vertical="center" wrapText="1"/>
    </xf>
    <xf numFmtId="14" fontId="16" fillId="0" borderId="24" xfId="1" applyNumberFormat="1" applyFont="1" applyBorder="1" applyAlignment="1">
      <alignment horizontal="right" vertical="center" wrapText="1"/>
    </xf>
    <xf numFmtId="14" fontId="7" fillId="0" borderId="20" xfId="5" applyNumberFormat="1" applyFont="1" applyBorder="1" applyAlignment="1">
      <alignment horizontal="right" vertical="center" wrapText="1"/>
    </xf>
    <xf numFmtId="44" fontId="15" fillId="0" borderId="7" xfId="1" applyNumberFormat="1" applyFont="1" applyBorder="1" applyAlignment="1">
      <alignment horizontal="right" vertical="center"/>
    </xf>
    <xf numFmtId="44" fontId="15" fillId="0" borderId="14" xfId="1" applyNumberFormat="1" applyFont="1" applyBorder="1" applyAlignment="1">
      <alignment horizontal="right" vertical="center"/>
    </xf>
    <xf numFmtId="44" fontId="15" fillId="0" borderId="15" xfId="1" applyNumberFormat="1" applyFont="1" applyBorder="1" applyAlignment="1">
      <alignment horizontal="right" vertical="center"/>
    </xf>
    <xf numFmtId="44" fontId="17" fillId="0" borderId="22" xfId="0" applyNumberFormat="1" applyFont="1" applyBorder="1" applyAlignment="1">
      <alignment horizontal="right" vertical="center"/>
    </xf>
    <xf numFmtId="44" fontId="17" fillId="4" borderId="9" xfId="0" applyNumberFormat="1" applyFont="1" applyFill="1" applyBorder="1" applyAlignment="1">
      <alignment horizontal="right" vertical="center"/>
    </xf>
    <xf numFmtId="44" fontId="17" fillId="4" borderId="10" xfId="0" applyNumberFormat="1" applyFont="1" applyFill="1" applyBorder="1" applyAlignment="1">
      <alignment horizontal="right" vertical="center"/>
    </xf>
    <xf numFmtId="49" fontId="14" fillId="0" borderId="22" xfId="0" applyNumberFormat="1" applyFont="1" applyBorder="1" applyAlignment="1">
      <alignment horizontal="left" vertical="center"/>
    </xf>
    <xf numFmtId="49" fontId="14" fillId="0" borderId="25" xfId="0" applyNumberFormat="1" applyFont="1" applyBorder="1" applyAlignment="1">
      <alignment horizontal="center" vertical="center"/>
    </xf>
    <xf numFmtId="49" fontId="14" fillId="0" borderId="25" xfId="0" applyNumberFormat="1" applyFont="1" applyBorder="1"/>
    <xf numFmtId="49" fontId="14" fillId="0" borderId="25" xfId="0" applyNumberFormat="1" applyFont="1" applyBorder="1" applyAlignment="1">
      <alignment horizontal="right"/>
    </xf>
    <xf numFmtId="4" fontId="14" fillId="0" borderId="25" xfId="0" applyNumberFormat="1" applyFont="1" applyBorder="1" applyAlignment="1">
      <alignment horizontal="right" vertical="center" wrapText="1"/>
    </xf>
    <xf numFmtId="14" fontId="14" fillId="0" borderId="13" xfId="0" applyNumberFormat="1" applyFont="1" applyBorder="1" applyAlignment="1">
      <alignment horizontal="right" vertical="center" wrapText="1"/>
    </xf>
    <xf numFmtId="49" fontId="0" fillId="0" borderId="0" xfId="0" applyNumberFormat="1"/>
    <xf numFmtId="49" fontId="10" fillId="0" borderId="1" xfId="0" applyNumberFormat="1" applyFont="1" applyBorder="1"/>
    <xf numFmtId="1" fontId="15" fillId="0" borderId="4" xfId="1" applyNumberFormat="1" applyFont="1" applyBorder="1" applyAlignment="1">
      <alignment vertical="center"/>
    </xf>
    <xf numFmtId="1" fontId="15" fillId="0" borderId="3" xfId="1" applyNumberFormat="1" applyFont="1" applyBorder="1" applyAlignment="1">
      <alignment vertical="center"/>
    </xf>
    <xf numFmtId="49" fontId="14" fillId="0" borderId="0" xfId="0" applyNumberFormat="1" applyFont="1" applyAlignment="1">
      <alignment horizontal="left"/>
    </xf>
    <xf numFmtId="49" fontId="15" fillId="0" borderId="2" xfId="1" applyNumberFormat="1" applyFont="1" applyBorder="1" applyAlignment="1">
      <alignment horizontal="center" vertical="center"/>
    </xf>
    <xf numFmtId="0" fontId="7" fillId="0" borderId="1" xfId="8" applyFont="1"/>
    <xf numFmtId="0" fontId="8" fillId="0" borderId="1" xfId="8" applyFont="1"/>
    <xf numFmtId="165" fontId="7" fillId="0" borderId="1" xfId="8" applyNumberFormat="1" applyFont="1"/>
    <xf numFmtId="0" fontId="10" fillId="0" borderId="1" xfId="8" applyFont="1"/>
    <xf numFmtId="0" fontId="10" fillId="0" borderId="1" xfId="8" applyFont="1" applyAlignment="1">
      <alignment wrapText="1"/>
    </xf>
    <xf numFmtId="173" fontId="10" fillId="0" borderId="1" xfId="9" applyFont="1"/>
    <xf numFmtId="0" fontId="20" fillId="0" borderId="1" xfId="8" applyFont="1"/>
    <xf numFmtId="14" fontId="10" fillId="0" borderId="1" xfId="8" applyNumberFormat="1" applyFont="1"/>
    <xf numFmtId="0" fontId="10" fillId="0" borderId="1" xfId="8" applyFont="1" applyAlignment="1">
      <alignment horizontal="right"/>
    </xf>
    <xf numFmtId="173" fontId="10" fillId="0" borderId="1" xfId="8" applyNumberFormat="1" applyFont="1" applyAlignment="1">
      <alignment horizontal="right"/>
    </xf>
    <xf numFmtId="170" fontId="10" fillId="0" borderId="1" xfId="8" applyNumberFormat="1" applyFont="1" applyAlignment="1">
      <alignment horizontal="right"/>
    </xf>
    <xf numFmtId="173" fontId="10" fillId="0" borderId="1" xfId="8" applyNumberFormat="1" applyFont="1"/>
    <xf numFmtId="170" fontId="10" fillId="0" borderId="1" xfId="8" applyNumberFormat="1" applyFont="1"/>
    <xf numFmtId="49" fontId="10" fillId="0" borderId="1" xfId="0" applyNumberFormat="1" applyFont="1" applyBorder="1" applyAlignment="1">
      <alignment horizontal="left"/>
    </xf>
    <xf numFmtId="14" fontId="10" fillId="0" borderId="1" xfId="8" applyNumberFormat="1" applyFont="1" applyAlignment="1">
      <alignment horizontal="right"/>
    </xf>
    <xf numFmtId="49" fontId="10" fillId="0" borderId="1" xfId="8" applyNumberFormat="1" applyFont="1" applyAlignment="1">
      <alignment horizontal="left"/>
    </xf>
    <xf numFmtId="49" fontId="7" fillId="0" borderId="1" xfId="1" applyNumberFormat="1" applyFont="1" applyBorder="1" applyAlignment="1">
      <alignment horizontal="center" vertical="center"/>
    </xf>
    <xf numFmtId="167" fontId="10" fillId="0" borderId="1" xfId="0" applyNumberFormat="1" applyFont="1" applyBorder="1"/>
    <xf numFmtId="14" fontId="10" fillId="0" borderId="1" xfId="0" applyNumberFormat="1" applyFont="1" applyBorder="1"/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 wrapText="1"/>
    </xf>
    <xf numFmtId="14" fontId="10" fillId="3" borderId="1" xfId="0" applyNumberFormat="1" applyFont="1" applyFill="1" applyBorder="1" applyAlignment="1">
      <alignment horizontal="right" vertical="center" wrapText="1"/>
    </xf>
    <xf numFmtId="167" fontId="19" fillId="0" borderId="1" xfId="0" applyNumberFormat="1" applyFont="1" applyBorder="1" applyAlignment="1">
      <alignment horizontal="right" vertical="center"/>
    </xf>
    <xf numFmtId="49" fontId="7" fillId="0" borderId="1" xfId="8" applyNumberFormat="1" applyFont="1" applyAlignment="1">
      <alignment horizontal="left" vertical="center"/>
    </xf>
    <xf numFmtId="49" fontId="7" fillId="0" borderId="1" xfId="8" applyNumberFormat="1" applyFont="1" applyAlignment="1">
      <alignment vertical="center"/>
    </xf>
    <xf numFmtId="49" fontId="7" fillId="0" borderId="1" xfId="8" applyNumberFormat="1" applyFont="1"/>
    <xf numFmtId="49" fontId="7" fillId="0" borderId="1" xfId="8" applyNumberFormat="1" applyFont="1" applyAlignment="1">
      <alignment horizontal="left" vertical="top"/>
    </xf>
    <xf numFmtId="167" fontId="10" fillId="0" borderId="0" xfId="0" applyNumberFormat="1" applyFont="1"/>
    <xf numFmtId="14" fontId="7" fillId="0" borderId="1" xfId="8" applyNumberFormat="1" applyFont="1"/>
    <xf numFmtId="0" fontId="7" fillId="0" borderId="1" xfId="8" applyFont="1" applyAlignment="1">
      <alignment vertical="center"/>
    </xf>
    <xf numFmtId="165" fontId="7" fillId="0" borderId="1" xfId="8" applyNumberFormat="1" applyFont="1" applyAlignment="1">
      <alignment horizontal="center"/>
    </xf>
    <xf numFmtId="49" fontId="7" fillId="0" borderId="1" xfId="8" applyNumberFormat="1" applyFont="1" applyBorder="1" applyAlignment="1">
      <alignment horizontal="left" vertical="center"/>
    </xf>
    <xf numFmtId="0" fontId="7" fillId="0" borderId="1" xfId="8" applyFont="1" applyBorder="1"/>
    <xf numFmtId="49" fontId="7" fillId="0" borderId="1" xfId="8" applyNumberFormat="1" applyFont="1" applyBorder="1"/>
    <xf numFmtId="49" fontId="7" fillId="0" borderId="1" xfId="8" applyNumberFormat="1" applyFont="1" applyBorder="1" applyAlignment="1">
      <alignment horizontal="left" vertical="top"/>
    </xf>
    <xf numFmtId="165" fontId="7" fillId="0" borderId="1" xfId="8" applyNumberFormat="1" applyFont="1" applyBorder="1"/>
    <xf numFmtId="14" fontId="7" fillId="0" borderId="1" xfId="8" applyNumberFormat="1" applyFont="1" applyBorder="1"/>
    <xf numFmtId="49" fontId="7" fillId="0" borderId="1" xfId="8" applyNumberFormat="1" applyFont="1" applyBorder="1" applyAlignment="1">
      <alignment vertical="center"/>
    </xf>
    <xf numFmtId="0" fontId="7" fillId="0" borderId="1" xfId="8" applyFont="1" applyBorder="1" applyAlignment="1">
      <alignment vertical="center"/>
    </xf>
    <xf numFmtId="14" fontId="8" fillId="0" borderId="1" xfId="8" applyNumberFormat="1" applyFont="1"/>
    <xf numFmtId="0" fontId="21" fillId="0" borderId="1" xfId="8" applyFont="1"/>
    <xf numFmtId="49" fontId="8" fillId="0" borderId="1" xfId="8" applyNumberFormat="1" applyFont="1"/>
    <xf numFmtId="0" fontId="7" fillId="0" borderId="1" xfId="8" applyFont="1" applyAlignment="1">
      <alignment vertical="center" wrapText="1"/>
    </xf>
    <xf numFmtId="14" fontId="7" fillId="0" borderId="1" xfId="8" applyNumberFormat="1" applyFont="1" applyAlignment="1">
      <alignment horizontal="right"/>
    </xf>
    <xf numFmtId="165" fontId="7" fillId="0" borderId="1" xfId="8" applyNumberFormat="1" applyFont="1" applyAlignment="1">
      <alignment horizontal="right"/>
    </xf>
    <xf numFmtId="165" fontId="22" fillId="0" borderId="1" xfId="8" applyNumberFormat="1" applyFont="1" applyAlignment="1">
      <alignment horizontal="right"/>
    </xf>
    <xf numFmtId="14" fontId="9" fillId="0" borderId="1" xfId="8" applyNumberFormat="1" applyFont="1"/>
    <xf numFmtId="49" fontId="20" fillId="0" borderId="1" xfId="8" applyNumberFormat="1" applyFont="1"/>
    <xf numFmtId="0" fontId="23" fillId="0" borderId="1" xfId="8" applyFont="1"/>
    <xf numFmtId="49" fontId="20" fillId="0" borderId="1" xfId="8" applyNumberFormat="1" applyFont="1" applyBorder="1" applyAlignment="1">
      <alignment horizontal="left" vertical="center"/>
    </xf>
    <xf numFmtId="49" fontId="20" fillId="0" borderId="1" xfId="8" applyNumberFormat="1" applyFont="1" applyBorder="1" applyAlignment="1">
      <alignment vertical="center"/>
    </xf>
    <xf numFmtId="49" fontId="20" fillId="0" borderId="1" xfId="8" applyNumberFormat="1" applyFont="1" applyBorder="1"/>
    <xf numFmtId="49" fontId="20" fillId="0" borderId="1" xfId="8" applyNumberFormat="1" applyFont="1" applyBorder="1" applyAlignment="1">
      <alignment horizontal="left" vertical="top"/>
    </xf>
    <xf numFmtId="0" fontId="20" fillId="0" borderId="1" xfId="8" applyFont="1" applyBorder="1"/>
    <xf numFmtId="0" fontId="20" fillId="0" borderId="1" xfId="8" applyFont="1" applyBorder="1" applyAlignment="1">
      <alignment vertical="center"/>
    </xf>
    <xf numFmtId="49" fontId="8" fillId="0" borderId="1" xfId="8" applyNumberFormat="1" applyFont="1" applyAlignment="1">
      <alignment horizontal="left" vertical="center"/>
    </xf>
    <xf numFmtId="49" fontId="7" fillId="0" borderId="1" xfId="8" applyNumberFormat="1" applyFont="1" applyAlignment="1">
      <alignment horizontal="left"/>
    </xf>
    <xf numFmtId="49" fontId="18" fillId="0" borderId="1" xfId="8" applyNumberFormat="1" applyFont="1"/>
    <xf numFmtId="169" fontId="10" fillId="0" borderId="1" xfId="8" applyNumberFormat="1" applyFont="1"/>
    <xf numFmtId="167" fontId="10" fillId="0" borderId="1" xfId="8" applyNumberFormat="1" applyFont="1"/>
    <xf numFmtId="49" fontId="10" fillId="0" borderId="1" xfId="8" applyNumberFormat="1" applyFont="1" applyAlignment="1">
      <alignment horizontal="left" wrapText="1"/>
    </xf>
  </cellXfs>
  <cellStyles count="14">
    <cellStyle name="Hypertextový odkaz 2" xfId="2" xr:uid="{09A23F74-431B-4C21-9073-E3C5A986F290}"/>
    <cellStyle name="Měna 2" xfId="9" xr:uid="{7F1CB393-828D-49EB-9AA4-318D328DEFBC}"/>
    <cellStyle name="Normální" xfId="0" builtinId="0"/>
    <cellStyle name="Normální 2" xfId="4" xr:uid="{87F88960-0946-4E2E-9DEA-D82FAB24B0C3}"/>
    <cellStyle name="Normální 3" xfId="1" xr:uid="{BCC658C6-FD59-4B4B-AD16-51D0E92BE2FF}"/>
    <cellStyle name="Normální 3 2" xfId="10" xr:uid="{57A2D475-B424-45A2-B96A-3A532FA95D38}"/>
    <cellStyle name="Normální 4" xfId="5" xr:uid="{169F2C3C-0017-4CCD-ACC3-99565234E3B2}"/>
    <cellStyle name="Normální 4 2" xfId="11" xr:uid="{0C3754DA-D83E-4C20-801A-D10409A8D0F6}"/>
    <cellStyle name="Normální 5" xfId="6" xr:uid="{55FFB55C-B210-4760-A97E-E94CFDF29F8C}"/>
    <cellStyle name="Normální 5 2" xfId="12" xr:uid="{335D1182-7E73-46BB-A3D2-73D7B648E16F}"/>
    <cellStyle name="Normální 6" xfId="7" xr:uid="{06D86371-97A5-4392-A043-F3B23D9043A6}"/>
    <cellStyle name="Normální 6 2" xfId="13" xr:uid="{41B26DE8-3B28-41A4-87C4-02344C514718}"/>
    <cellStyle name="Normální 7" xfId="8" xr:uid="{E39E79FD-9810-4796-A3CE-6C740454926D}"/>
    <cellStyle name="Správně 2" xfId="3" xr:uid="{41A1B3D9-DAD6-4DCA-8403-9E9466CC9E90}"/>
  </cellStyles>
  <dxfs count="14"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numFmt numFmtId="167" formatCode="#,##0.00\ &quot;Kč&quot;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numFmt numFmtId="167" formatCode="#,##0.00\ &quot;Kč&quot;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numFmt numFmtId="19" formatCode="dd/mm/yyyy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numFmt numFmtId="167" formatCode="#,##0.00\ &quot;Kč&quot;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numFmt numFmtId="167" formatCode="#,##0.00\ &quot;Kč&quot;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numFmt numFmtId="30" formatCode="@"/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charset val="238"/>
        <scheme val="minor"/>
      </font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colors>
    <mruColors>
      <color rgb="FFD9F0FF"/>
      <color rgb="FFFFFFE5"/>
      <color rgb="FFFF6969"/>
      <color rgb="FFFFFFA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4039B3-146B-4CDF-82A9-1E0668C4F8EB}" name="Tabulka9" displayName="Tabulka9" ref="A1:J679" totalsRowShown="0" dataDxfId="0">
  <autoFilter ref="A1:J679" xr:uid="{D94039B3-146B-4CDF-82A9-1E0668C4F8EB}"/>
  <tableColumns count="10">
    <tableColumn id="1" xr3:uid="{D9616C80-5AC5-42BA-BF0D-CB0DC0CFF0CB}" name="Číslo smlouvy" dataDxfId="10"/>
    <tableColumn id="10" xr3:uid="{B6708330-9324-46AA-9A01-D7ABA10BC194}" name="Úsek" dataDxfId="9"/>
    <tableColumn id="2" xr3:uid="{B0C44812-C547-4F41-B933-5C17FA781ECD}" name="Název" dataDxfId="8"/>
    <tableColumn id="3" xr3:uid="{1183B4A2-A66A-4794-AD01-5AF236072590}" name="IČO" dataDxfId="7"/>
    <tableColumn id="4" xr3:uid="{C4194705-C070-4E42-BC97-1FE2874C555C}" name="Partner" dataDxfId="6"/>
    <tableColumn id="5" xr3:uid="{8A4083C2-638E-4B70-A092-9FBCC47833CD}" name="Předpokládaná hodnota bez DPH" dataDxfId="5"/>
    <tableColumn id="6" xr3:uid="{A90196B4-3294-4F2C-BA0E-2AD45AB3C9D0}" name="Předpokládaná hodnota s DPH " dataDxfId="4"/>
    <tableColumn id="7" xr3:uid="{9B87D993-2CE5-449B-AF39-AE0E9D238443}" name="Platné do" dataDxfId="3"/>
    <tableColumn id="8" xr3:uid="{57659293-8D19-4699-ADA0-7B5297CF84BA}" name="ZBÝVÁ bez DPH" dataDxfId="2"/>
    <tableColumn id="9" xr3:uid="{014FE08B-37B9-4498-B736-31037F30F1A7}" name="ZBÝVÁ s DPH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podnikatel.cz/rejstrik/lacera-s-r-o-4890780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5F99-363D-4ADD-B3ED-AE6EB1AC0ADE}">
  <dimension ref="A1:J679"/>
  <sheetViews>
    <sheetView tabSelected="1" topLeftCell="C1" workbookViewId="0">
      <selection activeCell="C13" sqref="C13"/>
    </sheetView>
  </sheetViews>
  <sheetFormatPr defaultRowHeight="13.2" x14ac:dyDescent="0.25"/>
  <cols>
    <col min="1" max="1" width="19.21875" bestFit="1" customWidth="1"/>
    <col min="2" max="2" width="19.21875" customWidth="1"/>
    <col min="3" max="3" width="75.44140625" bestFit="1" customWidth="1"/>
    <col min="4" max="4" width="46" style="115" bestFit="1" customWidth="1"/>
    <col min="5" max="5" width="30.109375" bestFit="1" customWidth="1"/>
    <col min="6" max="6" width="31.77734375" style="2" customWidth="1"/>
    <col min="7" max="7" width="30.21875" style="2" customWidth="1"/>
    <col min="8" max="8" width="11.88671875" style="2" bestFit="1" customWidth="1"/>
    <col min="9" max="9" width="16.88671875" style="2" customWidth="1"/>
    <col min="10" max="10" width="16.109375" style="2" bestFit="1" customWidth="1"/>
    <col min="11" max="11" width="16" bestFit="1" customWidth="1"/>
  </cols>
  <sheetData>
    <row r="1" spans="1:10" x14ac:dyDescent="0.25">
      <c r="A1" t="s">
        <v>1193</v>
      </c>
      <c r="B1" s="1" t="s">
        <v>1156</v>
      </c>
      <c r="C1" t="s">
        <v>1194</v>
      </c>
      <c r="D1" s="115" t="s">
        <v>733</v>
      </c>
      <c r="E1" t="s">
        <v>1195</v>
      </c>
      <c r="F1" s="2" t="s">
        <v>1196</v>
      </c>
      <c r="G1" s="2" t="s">
        <v>1197</v>
      </c>
      <c r="H1" s="2" t="s">
        <v>1198</v>
      </c>
      <c r="I1" s="2" t="s">
        <v>1804</v>
      </c>
      <c r="J1" s="2" t="s">
        <v>1805</v>
      </c>
    </row>
    <row r="2" spans="1:10" x14ac:dyDescent="0.25">
      <c r="A2" s="17" t="s">
        <v>1374</v>
      </c>
      <c r="B2" s="137" t="s">
        <v>1725</v>
      </c>
      <c r="C2" s="17" t="s">
        <v>1432</v>
      </c>
      <c r="D2" s="134">
        <v>60491256</v>
      </c>
      <c r="E2" s="17" t="s">
        <v>1375</v>
      </c>
      <c r="F2" s="138">
        <v>500000</v>
      </c>
      <c r="G2" s="138">
        <v>560000</v>
      </c>
      <c r="H2" s="139">
        <v>46078</v>
      </c>
      <c r="I2" s="138">
        <v>268160</v>
      </c>
      <c r="J2" s="138">
        <v>300339.20000000001</v>
      </c>
    </row>
    <row r="3" spans="1:10" x14ac:dyDescent="0.25">
      <c r="A3" s="17" t="s">
        <v>273</v>
      </c>
      <c r="B3" s="137" t="s">
        <v>1725</v>
      </c>
      <c r="C3" s="17" t="s">
        <v>1204</v>
      </c>
      <c r="D3" s="134">
        <v>27094987</v>
      </c>
      <c r="E3" s="17" t="s">
        <v>1205</v>
      </c>
      <c r="F3" s="138">
        <v>1000080</v>
      </c>
      <c r="G3" s="138">
        <v>1210096.8</v>
      </c>
      <c r="H3" s="139">
        <v>46455</v>
      </c>
      <c r="I3" s="138">
        <v>420037.40999999992</v>
      </c>
      <c r="J3" s="138">
        <v>508245.25999999995</v>
      </c>
    </row>
    <row r="4" spans="1:10" x14ac:dyDescent="0.25">
      <c r="A4" s="17" t="s">
        <v>1044</v>
      </c>
      <c r="B4" s="137" t="s">
        <v>1725</v>
      </c>
      <c r="C4" s="17" t="s">
        <v>1209</v>
      </c>
      <c r="D4" s="134">
        <v>61509051</v>
      </c>
      <c r="E4" s="17" t="s">
        <v>1045</v>
      </c>
      <c r="F4" s="138">
        <v>1100000</v>
      </c>
      <c r="G4" s="138">
        <v>1331000</v>
      </c>
      <c r="H4" s="139">
        <v>46130</v>
      </c>
      <c r="I4" s="138">
        <v>889916</v>
      </c>
      <c r="J4" s="138">
        <v>1076798.3600000001</v>
      </c>
    </row>
    <row r="5" spans="1:10" x14ac:dyDescent="0.25">
      <c r="A5" s="17" t="s">
        <v>1412</v>
      </c>
      <c r="B5" s="137" t="s">
        <v>1725</v>
      </c>
      <c r="C5" s="17" t="s">
        <v>1430</v>
      </c>
      <c r="D5" s="134">
        <v>27226158</v>
      </c>
      <c r="E5" s="17" t="s">
        <v>1431</v>
      </c>
      <c r="F5" s="138">
        <v>900000</v>
      </c>
      <c r="G5" s="138">
        <v>1089000</v>
      </c>
      <c r="H5" s="139">
        <v>46139</v>
      </c>
      <c r="I5" s="138">
        <v>608800</v>
      </c>
      <c r="J5" s="138">
        <v>762856</v>
      </c>
    </row>
    <row r="6" spans="1:10" x14ac:dyDescent="0.25">
      <c r="A6" s="17" t="s">
        <v>207</v>
      </c>
      <c r="B6" s="137" t="s">
        <v>1725</v>
      </c>
      <c r="C6" s="17" t="s">
        <v>206</v>
      </c>
      <c r="D6" s="134">
        <v>28849809</v>
      </c>
      <c r="E6" s="17" t="s">
        <v>823</v>
      </c>
      <c r="F6" s="138">
        <v>739580</v>
      </c>
      <c r="G6" s="138">
        <v>894891.8</v>
      </c>
      <c r="H6" s="139">
        <v>46185</v>
      </c>
      <c r="I6" s="138">
        <v>83960</v>
      </c>
      <c r="J6" s="138">
        <v>131285.3000000001</v>
      </c>
    </row>
    <row r="7" spans="1:10" x14ac:dyDescent="0.25">
      <c r="A7" s="17" t="s">
        <v>285</v>
      </c>
      <c r="B7" s="137" t="s">
        <v>1725</v>
      </c>
      <c r="C7" s="17" t="s">
        <v>1199</v>
      </c>
      <c r="D7" s="134">
        <v>28467299</v>
      </c>
      <c r="E7" s="17" t="s">
        <v>1200</v>
      </c>
      <c r="F7" s="138">
        <v>1990000</v>
      </c>
      <c r="G7" s="138">
        <v>2407900</v>
      </c>
      <c r="H7" s="139">
        <v>46157</v>
      </c>
      <c r="I7" s="138">
        <v>399000</v>
      </c>
      <c r="J7" s="138">
        <v>482790</v>
      </c>
    </row>
    <row r="8" spans="1:10" x14ac:dyDescent="0.25">
      <c r="A8" s="17" t="s">
        <v>1084</v>
      </c>
      <c r="B8" s="137" t="s">
        <v>1725</v>
      </c>
      <c r="C8" s="17" t="s">
        <v>1085</v>
      </c>
      <c r="D8" s="134">
        <v>47675934</v>
      </c>
      <c r="E8" s="17" t="s">
        <v>793</v>
      </c>
      <c r="F8" s="138">
        <v>140000</v>
      </c>
      <c r="G8" s="138">
        <v>156800</v>
      </c>
      <c r="H8" s="139">
        <v>46535</v>
      </c>
      <c r="I8" s="138">
        <v>46736.010000000009</v>
      </c>
      <c r="J8" s="138">
        <v>52344.320000000007</v>
      </c>
    </row>
    <row r="9" spans="1:10" x14ac:dyDescent="0.25">
      <c r="A9" s="17" t="s">
        <v>292</v>
      </c>
      <c r="B9" s="137" t="s">
        <v>1725</v>
      </c>
      <c r="C9" s="17" t="s">
        <v>1207</v>
      </c>
      <c r="D9" s="134">
        <v>25944991</v>
      </c>
      <c r="E9" s="17" t="s">
        <v>870</v>
      </c>
      <c r="F9" s="138">
        <v>1990000</v>
      </c>
      <c r="G9" s="138">
        <v>2407900</v>
      </c>
      <c r="H9" s="139">
        <v>46180</v>
      </c>
      <c r="I9" s="138">
        <v>674200</v>
      </c>
      <c r="J9" s="138">
        <v>922594</v>
      </c>
    </row>
    <row r="10" spans="1:10" x14ac:dyDescent="0.25">
      <c r="A10" s="17" t="s">
        <v>1459</v>
      </c>
      <c r="B10" s="137" t="s">
        <v>1725</v>
      </c>
      <c r="C10" s="17" t="s">
        <v>1203</v>
      </c>
      <c r="D10" s="134">
        <v>27529053</v>
      </c>
      <c r="E10" s="17" t="s">
        <v>831</v>
      </c>
      <c r="F10" s="138">
        <v>410000</v>
      </c>
      <c r="G10" s="138">
        <v>459200</v>
      </c>
      <c r="H10" s="139">
        <v>46198</v>
      </c>
      <c r="I10" s="138">
        <v>290000</v>
      </c>
      <c r="J10" s="138">
        <v>324800</v>
      </c>
    </row>
    <row r="11" spans="1:10" x14ac:dyDescent="0.25">
      <c r="A11" s="17" t="s">
        <v>295</v>
      </c>
      <c r="B11" s="137" t="s">
        <v>1725</v>
      </c>
      <c r="C11" s="17" t="s">
        <v>296</v>
      </c>
      <c r="D11" s="134">
        <v>27094987</v>
      </c>
      <c r="E11" s="17" t="s">
        <v>1205</v>
      </c>
      <c r="F11" s="138">
        <v>600000</v>
      </c>
      <c r="G11" s="138">
        <v>726000</v>
      </c>
      <c r="H11" s="139">
        <v>46587</v>
      </c>
      <c r="I11" s="138">
        <v>260000</v>
      </c>
      <c r="J11" s="138">
        <v>338162</v>
      </c>
    </row>
    <row r="12" spans="1:10" x14ac:dyDescent="0.25">
      <c r="A12" s="17" t="s">
        <v>297</v>
      </c>
      <c r="B12" s="137" t="s">
        <v>1725</v>
      </c>
      <c r="C12" s="17" t="s">
        <v>298</v>
      </c>
      <c r="D12" s="134">
        <v>27094987</v>
      </c>
      <c r="E12" s="17" t="s">
        <v>1205</v>
      </c>
      <c r="F12" s="138">
        <v>60000</v>
      </c>
      <c r="G12" s="138">
        <v>72600</v>
      </c>
      <c r="H12" s="139">
        <v>46587</v>
      </c>
      <c r="I12" s="138">
        <v>35300</v>
      </c>
      <c r="J12" s="138">
        <v>44252</v>
      </c>
    </row>
    <row r="13" spans="1:10" x14ac:dyDescent="0.25">
      <c r="A13" s="17" t="s">
        <v>299</v>
      </c>
      <c r="B13" s="137" t="s">
        <v>1725</v>
      </c>
      <c r="C13" s="17" t="s">
        <v>300</v>
      </c>
      <c r="D13" s="134">
        <v>27094987</v>
      </c>
      <c r="E13" s="17" t="s">
        <v>1205</v>
      </c>
      <c r="F13" s="138">
        <v>180000</v>
      </c>
      <c r="G13" s="138">
        <v>217800</v>
      </c>
      <c r="H13" s="139">
        <v>46587</v>
      </c>
      <c r="I13" s="138">
        <v>60300</v>
      </c>
      <c r="J13" s="138">
        <v>82881</v>
      </c>
    </row>
    <row r="14" spans="1:10" x14ac:dyDescent="0.25">
      <c r="A14" s="17" t="s">
        <v>301</v>
      </c>
      <c r="B14" s="137" t="s">
        <v>1725</v>
      </c>
      <c r="C14" s="17" t="s">
        <v>302</v>
      </c>
      <c r="D14" s="134">
        <v>27094987</v>
      </c>
      <c r="E14" s="17" t="s">
        <v>1205</v>
      </c>
      <c r="F14" s="138">
        <v>70000</v>
      </c>
      <c r="G14" s="138">
        <v>84700</v>
      </c>
      <c r="H14" s="139">
        <v>46587</v>
      </c>
      <c r="I14" s="138">
        <v>39600</v>
      </c>
      <c r="J14" s="138">
        <v>50310</v>
      </c>
    </row>
    <row r="15" spans="1:10" x14ac:dyDescent="0.25">
      <c r="A15" s="17" t="s">
        <v>1487</v>
      </c>
      <c r="B15" s="137" t="s">
        <v>1725</v>
      </c>
      <c r="C15" s="17" t="s">
        <v>1500</v>
      </c>
      <c r="D15" s="134">
        <v>28849809</v>
      </c>
      <c r="E15" s="17" t="s">
        <v>823</v>
      </c>
      <c r="F15" s="138">
        <v>350000</v>
      </c>
      <c r="G15" s="138">
        <v>392000</v>
      </c>
      <c r="H15" s="139">
        <v>46231</v>
      </c>
      <c r="I15" s="138">
        <v>168000</v>
      </c>
      <c r="J15" s="138">
        <v>188160</v>
      </c>
    </row>
    <row r="16" spans="1:10" x14ac:dyDescent="0.25">
      <c r="A16" s="17" t="s">
        <v>1488</v>
      </c>
      <c r="B16" s="137" t="s">
        <v>1725</v>
      </c>
      <c r="C16" s="17" t="s">
        <v>1501</v>
      </c>
      <c r="D16" s="134">
        <v>27094987</v>
      </c>
      <c r="E16" s="17" t="s">
        <v>1502</v>
      </c>
      <c r="F16" s="138">
        <v>250000</v>
      </c>
      <c r="G16" s="138">
        <v>280000</v>
      </c>
      <c r="H16" s="139">
        <v>46237</v>
      </c>
      <c r="I16" s="138">
        <v>250000</v>
      </c>
      <c r="J16" s="138">
        <v>280000</v>
      </c>
    </row>
    <row r="17" spans="1:10" x14ac:dyDescent="0.25">
      <c r="A17" s="17" t="s">
        <v>1492</v>
      </c>
      <c r="B17" s="137" t="s">
        <v>1725</v>
      </c>
      <c r="C17" s="17" t="s">
        <v>1733</v>
      </c>
      <c r="D17" s="134">
        <v>24766356</v>
      </c>
      <c r="E17" s="17" t="s">
        <v>1284</v>
      </c>
      <c r="F17" s="138">
        <v>350000</v>
      </c>
      <c r="G17" s="138">
        <v>392000</v>
      </c>
      <c r="H17" s="139">
        <v>46231</v>
      </c>
      <c r="I17" s="138">
        <v>331000.89285714284</v>
      </c>
      <c r="J17" s="138">
        <v>370721</v>
      </c>
    </row>
    <row r="18" spans="1:10" x14ac:dyDescent="0.25">
      <c r="A18" s="17" t="s">
        <v>1493</v>
      </c>
      <c r="B18" s="137" t="s">
        <v>1725</v>
      </c>
      <c r="C18" s="17" t="s">
        <v>1734</v>
      </c>
      <c r="D18" s="134">
        <v>26698293</v>
      </c>
      <c r="E18" s="17" t="s">
        <v>859</v>
      </c>
      <c r="F18" s="138">
        <v>250000</v>
      </c>
      <c r="G18" s="138">
        <v>280000</v>
      </c>
      <c r="H18" s="139">
        <v>46237</v>
      </c>
      <c r="I18" s="138">
        <v>224000</v>
      </c>
      <c r="J18" s="138">
        <v>250880</v>
      </c>
    </row>
    <row r="19" spans="1:10" x14ac:dyDescent="0.25">
      <c r="A19" s="17" t="s">
        <v>1494</v>
      </c>
      <c r="B19" s="137" t="s">
        <v>1725</v>
      </c>
      <c r="C19" s="17" t="s">
        <v>1735</v>
      </c>
      <c r="D19" s="134">
        <v>24766356</v>
      </c>
      <c r="E19" s="17" t="s">
        <v>1284</v>
      </c>
      <c r="F19" s="138">
        <v>134000</v>
      </c>
      <c r="G19" s="138">
        <v>150080</v>
      </c>
      <c r="H19" s="139">
        <v>46267</v>
      </c>
      <c r="I19" s="138">
        <v>134000</v>
      </c>
      <c r="J19" s="138">
        <v>150080</v>
      </c>
    </row>
    <row r="20" spans="1:10" x14ac:dyDescent="0.25">
      <c r="A20" s="17" t="s">
        <v>1143</v>
      </c>
      <c r="B20" s="137" t="s">
        <v>1725</v>
      </c>
      <c r="C20" s="17" t="s">
        <v>1210</v>
      </c>
      <c r="D20" s="134">
        <v>27529053</v>
      </c>
      <c r="E20" s="17" t="s">
        <v>831</v>
      </c>
      <c r="F20" s="138">
        <v>700000</v>
      </c>
      <c r="G20" s="138">
        <v>784000</v>
      </c>
      <c r="H20" s="139">
        <v>46221</v>
      </c>
      <c r="I20" s="138">
        <v>319300</v>
      </c>
      <c r="J20" s="138">
        <v>357616</v>
      </c>
    </row>
    <row r="21" spans="1:10" x14ac:dyDescent="0.25">
      <c r="A21" s="17" t="s">
        <v>1147</v>
      </c>
      <c r="B21" s="137" t="s">
        <v>1725</v>
      </c>
      <c r="C21" s="17" t="s">
        <v>1148</v>
      </c>
      <c r="D21" s="134">
        <v>28849809</v>
      </c>
      <c r="E21" s="17" t="s">
        <v>823</v>
      </c>
      <c r="F21" s="138">
        <v>1800000</v>
      </c>
      <c r="G21" s="138">
        <v>2178000</v>
      </c>
      <c r="H21" s="139">
        <v>46605</v>
      </c>
      <c r="I21" s="138">
        <v>470884</v>
      </c>
      <c r="J21" s="138">
        <v>689390.08000000019</v>
      </c>
    </row>
    <row r="22" spans="1:10" x14ac:dyDescent="0.25">
      <c r="A22" s="17" t="s">
        <v>233</v>
      </c>
      <c r="B22" s="137" t="s">
        <v>1725</v>
      </c>
      <c r="C22" s="17" t="s">
        <v>1206</v>
      </c>
      <c r="D22" s="134">
        <v>27094987</v>
      </c>
      <c r="E22" s="17" t="s">
        <v>1205</v>
      </c>
      <c r="F22" s="138">
        <v>750000</v>
      </c>
      <c r="G22" s="138">
        <v>907500</v>
      </c>
      <c r="H22" s="139">
        <v>46299</v>
      </c>
      <c r="I22" s="138">
        <v>332307.8330578513</v>
      </c>
      <c r="J22" s="138">
        <v>420429.13999999996</v>
      </c>
    </row>
    <row r="23" spans="1:10" x14ac:dyDescent="0.25">
      <c r="A23" s="17" t="s">
        <v>1176</v>
      </c>
      <c r="B23" s="137" t="s">
        <v>1725</v>
      </c>
      <c r="C23" s="17" t="s">
        <v>1211</v>
      </c>
      <c r="D23" s="134">
        <v>48586285</v>
      </c>
      <c r="E23" s="17" t="s">
        <v>1177</v>
      </c>
      <c r="F23" s="138">
        <v>1500000</v>
      </c>
      <c r="G23" s="138">
        <v>1815000</v>
      </c>
      <c r="H23" s="139">
        <v>46252</v>
      </c>
      <c r="I23" s="138">
        <v>1001598.1983471075</v>
      </c>
      <c r="J23" s="138">
        <v>1211934.72</v>
      </c>
    </row>
    <row r="24" spans="1:10" x14ac:dyDescent="0.25">
      <c r="A24" s="17" t="s">
        <v>1539</v>
      </c>
      <c r="B24" s="137" t="s">
        <v>1725</v>
      </c>
      <c r="C24" s="17" t="s">
        <v>1732</v>
      </c>
      <c r="D24" s="134">
        <v>60719044</v>
      </c>
      <c r="E24" s="17" t="s">
        <v>1543</v>
      </c>
      <c r="F24" s="138">
        <v>850000</v>
      </c>
      <c r="G24" s="138">
        <v>1028500</v>
      </c>
      <c r="H24" s="139">
        <v>46470</v>
      </c>
      <c r="I24" s="138">
        <v>850000</v>
      </c>
      <c r="J24" s="138">
        <v>1028500</v>
      </c>
    </row>
    <row r="25" spans="1:10" x14ac:dyDescent="0.25">
      <c r="A25" s="17" t="s">
        <v>1540</v>
      </c>
      <c r="B25" s="137" t="s">
        <v>1725</v>
      </c>
      <c r="C25" s="17" t="s">
        <v>1731</v>
      </c>
      <c r="D25" s="134">
        <v>60719044</v>
      </c>
      <c r="E25" s="17" t="s">
        <v>1543</v>
      </c>
      <c r="F25" s="138">
        <v>500000</v>
      </c>
      <c r="G25" s="138">
        <v>605000</v>
      </c>
      <c r="H25" s="139">
        <v>46470</v>
      </c>
      <c r="I25" s="138">
        <v>500000</v>
      </c>
      <c r="J25" s="138">
        <v>605000</v>
      </c>
    </row>
    <row r="26" spans="1:10" x14ac:dyDescent="0.25">
      <c r="A26" s="17" t="s">
        <v>322</v>
      </c>
      <c r="B26" s="137" t="s">
        <v>1725</v>
      </c>
      <c r="C26" s="17" t="s">
        <v>1201</v>
      </c>
      <c r="D26" s="134">
        <v>27777260</v>
      </c>
      <c r="E26" s="17" t="s">
        <v>1202</v>
      </c>
      <c r="F26" s="138">
        <v>750000</v>
      </c>
      <c r="G26" s="138">
        <v>907500</v>
      </c>
      <c r="H26" s="139">
        <v>45974</v>
      </c>
      <c r="I26" s="138">
        <v>494000</v>
      </c>
      <c r="J26" s="138">
        <v>617900</v>
      </c>
    </row>
    <row r="27" spans="1:10" x14ac:dyDescent="0.25">
      <c r="A27" s="17" t="s">
        <v>1634</v>
      </c>
      <c r="B27" s="137" t="s">
        <v>1725</v>
      </c>
      <c r="C27" s="17" t="s">
        <v>1681</v>
      </c>
      <c r="D27" s="134">
        <v>25099019</v>
      </c>
      <c r="E27" s="17" t="s">
        <v>1682</v>
      </c>
      <c r="F27" s="138">
        <v>1000000</v>
      </c>
      <c r="G27" s="138">
        <v>1120000</v>
      </c>
      <c r="H27" s="139">
        <v>46329</v>
      </c>
      <c r="I27" s="138">
        <v>878450</v>
      </c>
      <c r="J27" s="138">
        <v>983864</v>
      </c>
    </row>
    <row r="28" spans="1:10" x14ac:dyDescent="0.25">
      <c r="A28" s="17" t="s">
        <v>329</v>
      </c>
      <c r="B28" s="137" t="s">
        <v>1725</v>
      </c>
      <c r="C28" s="17" t="s">
        <v>1208</v>
      </c>
      <c r="D28" s="134" t="s">
        <v>1806</v>
      </c>
      <c r="E28" s="17" t="s">
        <v>917</v>
      </c>
      <c r="F28" s="138">
        <v>750000</v>
      </c>
      <c r="G28" s="138">
        <v>907500</v>
      </c>
      <c r="H28" s="139">
        <v>46008</v>
      </c>
      <c r="I28" s="138">
        <v>62628.099586776923</v>
      </c>
      <c r="J28" s="138">
        <v>127980</v>
      </c>
    </row>
    <row r="29" spans="1:10" x14ac:dyDescent="0.25">
      <c r="A29" s="17" t="s">
        <v>1320</v>
      </c>
      <c r="B29" s="137" t="s">
        <v>1725</v>
      </c>
      <c r="C29" s="17" t="s">
        <v>1600</v>
      </c>
      <c r="D29" s="134">
        <v>47675934</v>
      </c>
      <c r="E29" s="17" t="s">
        <v>793</v>
      </c>
      <c r="F29" s="138">
        <v>1500000</v>
      </c>
      <c r="G29" s="138">
        <v>1680000</v>
      </c>
      <c r="H29" s="139">
        <v>46034</v>
      </c>
      <c r="I29" s="138">
        <v>248162.94642857136</v>
      </c>
      <c r="J29" s="138">
        <v>277942.5</v>
      </c>
    </row>
    <row r="30" spans="1:10" x14ac:dyDescent="0.25">
      <c r="A30" s="17" t="s">
        <v>1572</v>
      </c>
      <c r="B30" s="140" t="s">
        <v>1726</v>
      </c>
      <c r="C30" s="17" t="s">
        <v>1581</v>
      </c>
      <c r="D30" s="134">
        <v>71332111</v>
      </c>
      <c r="E30" s="17" t="s">
        <v>1280</v>
      </c>
      <c r="F30" s="138">
        <v>250000</v>
      </c>
      <c r="G30" s="138">
        <v>302500</v>
      </c>
      <c r="H30" s="139" t="s">
        <v>1390</v>
      </c>
      <c r="I30" s="138">
        <v>79000</v>
      </c>
      <c r="J30" s="138">
        <v>95590</v>
      </c>
    </row>
    <row r="31" spans="1:10" x14ac:dyDescent="0.25">
      <c r="A31" s="17" t="s">
        <v>1560</v>
      </c>
      <c r="B31" s="140" t="s">
        <v>1726</v>
      </c>
      <c r="C31" s="17" t="s">
        <v>1561</v>
      </c>
      <c r="D31" s="134">
        <v>71332111</v>
      </c>
      <c r="E31" s="17" t="s">
        <v>1280</v>
      </c>
      <c r="F31" s="138">
        <v>50000</v>
      </c>
      <c r="G31" s="138">
        <v>60500</v>
      </c>
      <c r="H31" s="139" t="s">
        <v>1390</v>
      </c>
      <c r="I31" s="138">
        <v>4173.5537190082614</v>
      </c>
      <c r="J31" s="138">
        <v>5050</v>
      </c>
    </row>
    <row r="32" spans="1:10" x14ac:dyDescent="0.25">
      <c r="A32" s="17" t="s">
        <v>1556</v>
      </c>
      <c r="B32" s="140" t="s">
        <v>1726</v>
      </c>
      <c r="C32" s="17" t="s">
        <v>1557</v>
      </c>
      <c r="D32" s="134">
        <v>71332111</v>
      </c>
      <c r="E32" s="17" t="s">
        <v>1280</v>
      </c>
      <c r="F32" s="138">
        <v>250000</v>
      </c>
      <c r="G32" s="138">
        <v>302500</v>
      </c>
      <c r="H32" s="139" t="s">
        <v>1390</v>
      </c>
      <c r="I32" s="138">
        <v>103000</v>
      </c>
      <c r="J32" s="138">
        <v>124630</v>
      </c>
    </row>
    <row r="33" spans="1:10" x14ac:dyDescent="0.25">
      <c r="A33" s="17" t="s">
        <v>1345</v>
      </c>
      <c r="B33" s="140" t="s">
        <v>1726</v>
      </c>
      <c r="C33" s="17" t="s">
        <v>1352</v>
      </c>
      <c r="D33" s="134" t="s">
        <v>1808</v>
      </c>
      <c r="E33" s="17" t="s">
        <v>919</v>
      </c>
      <c r="F33" s="138">
        <v>2000000</v>
      </c>
      <c r="G33" s="138">
        <v>2420000</v>
      </c>
      <c r="H33" s="139">
        <v>46781</v>
      </c>
      <c r="I33" s="138">
        <v>776200</v>
      </c>
      <c r="J33" s="138">
        <v>939202.5</v>
      </c>
    </row>
    <row r="34" spans="1:10" x14ac:dyDescent="0.25">
      <c r="A34" s="17" t="s">
        <v>192</v>
      </c>
      <c r="B34" s="140" t="s">
        <v>1726</v>
      </c>
      <c r="C34" s="17" t="s">
        <v>193</v>
      </c>
      <c r="D34" s="134">
        <v>60724269</v>
      </c>
      <c r="E34" s="17" t="s">
        <v>1236</v>
      </c>
      <c r="F34" s="138">
        <v>480000</v>
      </c>
      <c r="G34" s="138">
        <v>580800</v>
      </c>
      <c r="H34" s="139">
        <v>46843</v>
      </c>
      <c r="I34" s="138">
        <v>269600</v>
      </c>
      <c r="J34" s="138">
        <v>326216</v>
      </c>
    </row>
    <row r="35" spans="1:10" x14ac:dyDescent="0.25">
      <c r="A35" s="17" t="s">
        <v>200</v>
      </c>
      <c r="B35" s="140" t="s">
        <v>1726</v>
      </c>
      <c r="C35" s="17" t="s">
        <v>201</v>
      </c>
      <c r="D35" s="134" t="s">
        <v>1808</v>
      </c>
      <c r="E35" s="17" t="s">
        <v>919</v>
      </c>
      <c r="F35" s="138">
        <v>490000</v>
      </c>
      <c r="G35" s="138">
        <v>592900</v>
      </c>
      <c r="H35" s="139">
        <v>45657</v>
      </c>
      <c r="I35" s="138">
        <v>295500</v>
      </c>
      <c r="J35" s="138">
        <v>357405</v>
      </c>
    </row>
    <row r="36" spans="1:10" x14ac:dyDescent="0.25">
      <c r="A36" s="17" t="s">
        <v>1416</v>
      </c>
      <c r="B36" s="140" t="s">
        <v>1726</v>
      </c>
      <c r="C36" s="17" t="s">
        <v>1429</v>
      </c>
      <c r="D36" s="134">
        <v>18383084</v>
      </c>
      <c r="E36" s="17" t="s">
        <v>1232</v>
      </c>
      <c r="F36" s="138">
        <v>600000</v>
      </c>
      <c r="G36" s="138">
        <v>726000</v>
      </c>
      <c r="H36" s="139">
        <v>46506</v>
      </c>
      <c r="I36" s="138">
        <v>516809.71074380167</v>
      </c>
      <c r="J36" s="138">
        <v>625339.75</v>
      </c>
    </row>
    <row r="37" spans="1:10" x14ac:dyDescent="0.25">
      <c r="A37" s="17" t="s">
        <v>284</v>
      </c>
      <c r="B37" s="140" t="s">
        <v>1726</v>
      </c>
      <c r="C37" s="17" t="s">
        <v>1356</v>
      </c>
      <c r="D37" s="134">
        <v>45272956</v>
      </c>
      <c r="E37" s="17" t="s">
        <v>812</v>
      </c>
      <c r="F37" s="138">
        <v>379041.32231404958</v>
      </c>
      <c r="G37" s="138">
        <v>458640</v>
      </c>
      <c r="H37" s="139">
        <v>46507</v>
      </c>
      <c r="I37" s="138">
        <v>189520.66231404955</v>
      </c>
      <c r="J37" s="138">
        <v>229320</v>
      </c>
    </row>
    <row r="38" spans="1:10" x14ac:dyDescent="0.25">
      <c r="A38" s="17" t="s">
        <v>288</v>
      </c>
      <c r="B38" s="140" t="s">
        <v>1726</v>
      </c>
      <c r="C38" s="17" t="s">
        <v>289</v>
      </c>
      <c r="D38" s="134">
        <v>29268931</v>
      </c>
      <c r="E38" s="17" t="s">
        <v>1237</v>
      </c>
      <c r="F38" s="138">
        <v>500000</v>
      </c>
      <c r="G38" s="138">
        <v>605000</v>
      </c>
      <c r="H38" s="139">
        <v>46022</v>
      </c>
      <c r="I38" s="138">
        <v>73400</v>
      </c>
      <c r="J38" s="138">
        <v>88814</v>
      </c>
    </row>
    <row r="39" spans="1:10" x14ac:dyDescent="0.25">
      <c r="A39" s="17" t="s">
        <v>224</v>
      </c>
      <c r="B39" s="140" t="s">
        <v>1726</v>
      </c>
      <c r="C39" s="17" t="s">
        <v>225</v>
      </c>
      <c r="D39" s="134">
        <v>60724269</v>
      </c>
      <c r="E39" s="17" t="s">
        <v>1236</v>
      </c>
      <c r="F39" s="138">
        <v>750000</v>
      </c>
      <c r="G39" s="138">
        <v>907500</v>
      </c>
      <c r="H39" s="139">
        <v>47848</v>
      </c>
      <c r="I39" s="138">
        <v>177000</v>
      </c>
      <c r="J39" s="138">
        <v>214170</v>
      </c>
    </row>
    <row r="40" spans="1:10" x14ac:dyDescent="0.25">
      <c r="A40" s="17" t="s">
        <v>1469</v>
      </c>
      <c r="B40" s="140" t="s">
        <v>1726</v>
      </c>
      <c r="C40" s="17" t="s">
        <v>1470</v>
      </c>
      <c r="D40" s="134">
        <v>25699032</v>
      </c>
      <c r="E40" s="17" t="s">
        <v>1479</v>
      </c>
      <c r="F40" s="138">
        <v>1000000</v>
      </c>
      <c r="G40" s="138">
        <v>1210000</v>
      </c>
      <c r="H40" s="139">
        <v>46575</v>
      </c>
      <c r="I40" s="138">
        <v>1000000</v>
      </c>
      <c r="J40" s="138">
        <v>1210000</v>
      </c>
    </row>
    <row r="41" spans="1:10" x14ac:dyDescent="0.25">
      <c r="A41" s="17" t="s">
        <v>1474</v>
      </c>
      <c r="B41" s="140" t="s">
        <v>1726</v>
      </c>
      <c r="C41" s="17" t="s">
        <v>1480</v>
      </c>
      <c r="D41" s="134" t="s">
        <v>1809</v>
      </c>
      <c r="E41" s="17" t="s">
        <v>1239</v>
      </c>
      <c r="F41" s="138">
        <v>750000</v>
      </c>
      <c r="G41" s="138">
        <v>907500</v>
      </c>
      <c r="H41" s="139">
        <v>46575</v>
      </c>
      <c r="I41" s="138">
        <v>724800</v>
      </c>
      <c r="J41" s="138">
        <v>877008</v>
      </c>
    </row>
    <row r="42" spans="1:10" x14ac:dyDescent="0.25">
      <c r="A42" s="17" t="s">
        <v>1137</v>
      </c>
      <c r="B42" s="140" t="s">
        <v>1726</v>
      </c>
      <c r="C42" s="17" t="s">
        <v>1138</v>
      </c>
      <c r="D42" s="134" t="s">
        <v>1810</v>
      </c>
      <c r="E42" s="17" t="s">
        <v>912</v>
      </c>
      <c r="F42" s="138">
        <v>1990000</v>
      </c>
      <c r="G42" s="138">
        <v>2407900</v>
      </c>
      <c r="H42" s="139">
        <v>46955</v>
      </c>
      <c r="I42" s="138">
        <v>1236669</v>
      </c>
      <c r="J42" s="138">
        <v>1496369.49</v>
      </c>
    </row>
    <row r="43" spans="1:10" x14ac:dyDescent="0.25">
      <c r="A43" s="17" t="s">
        <v>1149</v>
      </c>
      <c r="B43" s="140" t="s">
        <v>1726</v>
      </c>
      <c r="C43" s="17" t="s">
        <v>348</v>
      </c>
      <c r="D43" s="134">
        <v>26746131</v>
      </c>
      <c r="E43" s="17" t="s">
        <v>1238</v>
      </c>
      <c r="F43" s="138">
        <v>150000</v>
      </c>
      <c r="G43" s="138">
        <v>181500</v>
      </c>
      <c r="H43" s="139">
        <v>46022</v>
      </c>
      <c r="I43" s="138">
        <v>38593.688016528933</v>
      </c>
      <c r="J43" s="138">
        <v>46698.28</v>
      </c>
    </row>
    <row r="44" spans="1:10" x14ac:dyDescent="0.25">
      <c r="A44" s="17" t="s">
        <v>1528</v>
      </c>
      <c r="B44" s="140" t="s">
        <v>1726</v>
      </c>
      <c r="C44" s="17" t="s">
        <v>1570</v>
      </c>
      <c r="D44" s="134">
        <v>22302174</v>
      </c>
      <c r="E44" s="17" t="s">
        <v>1571</v>
      </c>
      <c r="F44" s="138">
        <v>948000</v>
      </c>
      <c r="G44" s="138">
        <v>1147080</v>
      </c>
      <c r="H44" s="139">
        <v>46173</v>
      </c>
      <c r="I44" s="138">
        <v>810000</v>
      </c>
      <c r="J44" s="138">
        <v>980100</v>
      </c>
    </row>
    <row r="45" spans="1:10" x14ac:dyDescent="0.25">
      <c r="A45" s="17" t="s">
        <v>1547</v>
      </c>
      <c r="B45" s="140" t="s">
        <v>1726</v>
      </c>
      <c r="C45" s="17" t="s">
        <v>1694</v>
      </c>
      <c r="D45" s="134">
        <v>49516736</v>
      </c>
      <c r="E45" s="17" t="s">
        <v>1695</v>
      </c>
      <c r="F45" s="138" t="s">
        <v>1390</v>
      </c>
      <c r="G45" s="138">
        <v>770230</v>
      </c>
      <c r="H45" s="139">
        <v>46142</v>
      </c>
      <c r="I45" s="138" t="s">
        <v>1390</v>
      </c>
      <c r="J45" s="138">
        <v>670230</v>
      </c>
    </row>
    <row r="46" spans="1:10" x14ac:dyDescent="0.25">
      <c r="A46" s="17" t="s">
        <v>336</v>
      </c>
      <c r="B46" s="140" t="s">
        <v>1726</v>
      </c>
      <c r="C46" s="17" t="s">
        <v>1568</v>
      </c>
      <c r="D46" s="134">
        <v>19573499</v>
      </c>
      <c r="E46" s="17" t="s">
        <v>903</v>
      </c>
      <c r="F46" s="138">
        <v>680000</v>
      </c>
      <c r="G46" s="138">
        <v>822800</v>
      </c>
      <c r="H46" s="139">
        <v>2958465</v>
      </c>
      <c r="I46" s="138">
        <v>118016.5289256199</v>
      </c>
      <c r="J46" s="138">
        <v>142800</v>
      </c>
    </row>
    <row r="47" spans="1:10" x14ac:dyDescent="0.25">
      <c r="A47" s="17" t="s">
        <v>1264</v>
      </c>
      <c r="B47" s="140" t="s">
        <v>1726</v>
      </c>
      <c r="C47" s="17" t="s">
        <v>1569</v>
      </c>
      <c r="D47" s="134" t="s">
        <v>1808</v>
      </c>
      <c r="E47" s="17" t="s">
        <v>919</v>
      </c>
      <c r="F47" s="138">
        <v>624000</v>
      </c>
      <c r="G47" s="138">
        <v>755040</v>
      </c>
      <c r="H47" s="139">
        <v>46568</v>
      </c>
      <c r="I47" s="138">
        <v>89450</v>
      </c>
      <c r="J47" s="138">
        <v>108234.5</v>
      </c>
    </row>
    <row r="48" spans="1:10" x14ac:dyDescent="0.25">
      <c r="A48" s="17" t="s">
        <v>246</v>
      </c>
      <c r="B48" s="140" t="s">
        <v>1726</v>
      </c>
      <c r="C48" s="17" t="s">
        <v>247</v>
      </c>
      <c r="D48" s="134" t="s">
        <v>1811</v>
      </c>
      <c r="E48" s="17" t="s">
        <v>1616</v>
      </c>
      <c r="F48" s="138"/>
      <c r="G48" s="138"/>
      <c r="H48" s="139">
        <v>46367</v>
      </c>
      <c r="I48" s="138"/>
      <c r="J48" s="138"/>
    </row>
    <row r="49" spans="1:10" x14ac:dyDescent="0.25">
      <c r="A49" s="17" t="s">
        <v>1277</v>
      </c>
      <c r="B49" s="140" t="s">
        <v>1726</v>
      </c>
      <c r="C49" s="17" t="s">
        <v>1567</v>
      </c>
      <c r="D49" s="134">
        <v>24664812</v>
      </c>
      <c r="E49" s="17" t="s">
        <v>1278</v>
      </c>
      <c r="F49" s="138">
        <v>480000</v>
      </c>
      <c r="G49" s="138">
        <v>580800</v>
      </c>
      <c r="H49" s="139"/>
      <c r="I49" s="138">
        <v>3200</v>
      </c>
      <c r="J49" s="138">
        <v>3872</v>
      </c>
    </row>
    <row r="50" spans="1:10" x14ac:dyDescent="0.25">
      <c r="A50" s="17" t="s">
        <v>344</v>
      </c>
      <c r="B50" s="140" t="s">
        <v>1726</v>
      </c>
      <c r="C50" s="17" t="s">
        <v>345</v>
      </c>
      <c r="D50" s="134">
        <v>71332111</v>
      </c>
      <c r="E50" s="17" t="s">
        <v>1280</v>
      </c>
      <c r="F50" s="138"/>
      <c r="G50" s="138"/>
      <c r="H50" s="139">
        <v>2958465</v>
      </c>
      <c r="I50" s="138">
        <v>2816918.6198347108</v>
      </c>
      <c r="J50" s="138">
        <v>3408471.53</v>
      </c>
    </row>
    <row r="51" spans="1:10" x14ac:dyDescent="0.25">
      <c r="A51" s="17" t="s">
        <v>1304</v>
      </c>
      <c r="B51" s="140" t="s">
        <v>1726</v>
      </c>
      <c r="C51" s="17" t="s">
        <v>1357</v>
      </c>
      <c r="D51" s="134">
        <v>45534306</v>
      </c>
      <c r="E51" s="17" t="s">
        <v>1305</v>
      </c>
      <c r="F51" s="138">
        <v>2176664</v>
      </c>
      <c r="G51" s="138">
        <v>2633763.44</v>
      </c>
      <c r="H51" s="139">
        <v>47141</v>
      </c>
      <c r="I51" s="138">
        <v>1726940.03</v>
      </c>
      <c r="J51" s="138">
        <v>2089597.44</v>
      </c>
    </row>
    <row r="52" spans="1:10" x14ac:dyDescent="0.25">
      <c r="A52" s="17" t="s">
        <v>1507</v>
      </c>
      <c r="B52" s="140" t="s">
        <v>1727</v>
      </c>
      <c r="C52" s="17" t="s">
        <v>1508</v>
      </c>
      <c r="D52" s="134">
        <v>49689011</v>
      </c>
      <c r="E52" s="17" t="s">
        <v>1517</v>
      </c>
      <c r="F52" s="138">
        <v>2328591</v>
      </c>
      <c r="G52" s="138">
        <v>2608021.92</v>
      </c>
      <c r="H52" s="139">
        <v>46606</v>
      </c>
      <c r="I52" s="138">
        <v>1896259.7946428573</v>
      </c>
      <c r="J52" s="138">
        <v>2123810.9699999997</v>
      </c>
    </row>
    <row r="53" spans="1:10" x14ac:dyDescent="0.25">
      <c r="A53" s="17" t="s">
        <v>1509</v>
      </c>
      <c r="B53" s="140" t="s">
        <v>1727</v>
      </c>
      <c r="C53" s="17" t="s">
        <v>1510</v>
      </c>
      <c r="D53" s="134">
        <v>48586285</v>
      </c>
      <c r="E53" s="17" t="s">
        <v>790</v>
      </c>
      <c r="F53" s="138">
        <v>354879</v>
      </c>
      <c r="G53" s="138">
        <v>397464.48</v>
      </c>
      <c r="H53" s="139">
        <v>46606</v>
      </c>
      <c r="I53" s="138">
        <v>287655.63392857142</v>
      </c>
      <c r="J53" s="138">
        <v>322174.31</v>
      </c>
    </row>
    <row r="54" spans="1:10" x14ac:dyDescent="0.25">
      <c r="A54" s="17" t="s">
        <v>1154</v>
      </c>
      <c r="B54" s="140" t="s">
        <v>1727</v>
      </c>
      <c r="C54" s="17" t="s">
        <v>1212</v>
      </c>
      <c r="D54" s="134">
        <v>25277961</v>
      </c>
      <c r="E54" s="17" t="s">
        <v>1155</v>
      </c>
      <c r="F54" s="138">
        <v>5400000</v>
      </c>
      <c r="G54" s="138">
        <v>6048000</v>
      </c>
      <c r="H54" s="139">
        <v>46247</v>
      </c>
      <c r="I54" s="138">
        <v>1160380.0446428582</v>
      </c>
      <c r="J54" s="138">
        <v>1299625.6499999999</v>
      </c>
    </row>
    <row r="55" spans="1:10" x14ac:dyDescent="0.25">
      <c r="A55" s="17" t="s">
        <v>1397</v>
      </c>
      <c r="B55" s="140" t="s">
        <v>1803</v>
      </c>
      <c r="C55" s="17" t="s">
        <v>1399</v>
      </c>
      <c r="D55" s="134">
        <v>29055130</v>
      </c>
      <c r="E55" s="17" t="s">
        <v>1398</v>
      </c>
      <c r="F55" s="138">
        <v>750000</v>
      </c>
      <c r="G55" s="138">
        <v>907500</v>
      </c>
      <c r="H55" s="139"/>
      <c r="I55" s="138">
        <v>7600</v>
      </c>
      <c r="J55" s="138">
        <v>9196</v>
      </c>
    </row>
    <row r="56" spans="1:10" x14ac:dyDescent="0.25">
      <c r="A56" s="17" t="s">
        <v>1427</v>
      </c>
      <c r="B56" s="140" t="s">
        <v>1803</v>
      </c>
      <c r="C56" s="17" t="s">
        <v>1433</v>
      </c>
      <c r="D56" s="134">
        <v>29055130</v>
      </c>
      <c r="E56" s="17" t="s">
        <v>1398</v>
      </c>
      <c r="F56" s="138">
        <v>67200</v>
      </c>
      <c r="G56" s="138">
        <v>81312</v>
      </c>
      <c r="H56" s="139"/>
      <c r="I56" s="138"/>
      <c r="J56" s="138"/>
    </row>
    <row r="57" spans="1:10" x14ac:dyDescent="0.25">
      <c r="A57" s="17" t="s">
        <v>1127</v>
      </c>
      <c r="B57" s="140" t="s">
        <v>1803</v>
      </c>
      <c r="C57" s="17" t="s">
        <v>1128</v>
      </c>
      <c r="D57" s="134">
        <v>24715299</v>
      </c>
      <c r="E57" s="17" t="s">
        <v>895</v>
      </c>
      <c r="F57" s="138"/>
      <c r="G57" s="138">
        <v>864000</v>
      </c>
      <c r="H57" s="139">
        <v>46934</v>
      </c>
      <c r="I57" s="138"/>
      <c r="J57" s="138">
        <v>1179940</v>
      </c>
    </row>
    <row r="58" spans="1:10" x14ac:dyDescent="0.25">
      <c r="A58" s="17" t="s">
        <v>1792</v>
      </c>
      <c r="B58" s="140" t="s">
        <v>1803</v>
      </c>
      <c r="C58" s="17" t="s">
        <v>1796</v>
      </c>
      <c r="D58" s="134">
        <v>29055130</v>
      </c>
      <c r="E58" s="17" t="s">
        <v>1398</v>
      </c>
      <c r="F58" s="138">
        <v>1500000</v>
      </c>
      <c r="G58" s="138">
        <v>1815000</v>
      </c>
      <c r="H58" s="139"/>
      <c r="I58" s="138">
        <v>1436000</v>
      </c>
      <c r="J58" s="138">
        <v>1737560</v>
      </c>
    </row>
    <row r="59" spans="1:10" x14ac:dyDescent="0.25">
      <c r="A59" s="17" t="s">
        <v>1032</v>
      </c>
      <c r="B59" s="140" t="s">
        <v>1728</v>
      </c>
      <c r="C59" s="17" t="s">
        <v>1483</v>
      </c>
      <c r="D59" s="134" t="s">
        <v>1812</v>
      </c>
      <c r="E59" s="17" t="s">
        <v>1463</v>
      </c>
      <c r="F59" s="138">
        <v>450000</v>
      </c>
      <c r="G59" s="138">
        <v>544500</v>
      </c>
      <c r="H59" s="139">
        <v>46112</v>
      </c>
      <c r="I59" s="138">
        <v>154842.11570247935</v>
      </c>
      <c r="J59" s="138">
        <v>187358.96000000002</v>
      </c>
    </row>
    <row r="60" spans="1:10" x14ac:dyDescent="0.25">
      <c r="A60" s="17" t="s">
        <v>221</v>
      </c>
      <c r="B60" s="140" t="s">
        <v>1728</v>
      </c>
      <c r="C60" s="17" t="s">
        <v>1519</v>
      </c>
      <c r="D60" s="134">
        <v>68855958</v>
      </c>
      <c r="E60" s="17" t="s">
        <v>1513</v>
      </c>
      <c r="F60" s="138">
        <v>1970000</v>
      </c>
      <c r="G60" s="138">
        <v>2383700</v>
      </c>
      <c r="H60" s="139">
        <v>46752</v>
      </c>
      <c r="I60" s="138">
        <v>298500</v>
      </c>
      <c r="J60" s="138">
        <v>361185</v>
      </c>
    </row>
    <row r="61" spans="1:10" x14ac:dyDescent="0.25">
      <c r="A61" s="17" t="s">
        <v>173</v>
      </c>
      <c r="B61" s="140" t="s">
        <v>1728</v>
      </c>
      <c r="C61" s="17" t="s">
        <v>1518</v>
      </c>
      <c r="D61" s="134">
        <v>68855958</v>
      </c>
      <c r="E61" s="17" t="s">
        <v>1513</v>
      </c>
      <c r="F61" s="138">
        <v>1695000</v>
      </c>
      <c r="G61" s="138">
        <v>2050950</v>
      </c>
      <c r="H61" s="139">
        <v>46752</v>
      </c>
      <c r="I61" s="138">
        <v>1695000</v>
      </c>
      <c r="J61" s="138">
        <v>2050950</v>
      </c>
    </row>
    <row r="62" spans="1:10" x14ac:dyDescent="0.25">
      <c r="A62" s="17" t="s">
        <v>228</v>
      </c>
      <c r="B62" s="140" t="s">
        <v>1728</v>
      </c>
      <c r="C62" s="17" t="s">
        <v>1514</v>
      </c>
      <c r="D62" s="134">
        <v>68855958</v>
      </c>
      <c r="E62" s="17" t="s">
        <v>1513</v>
      </c>
      <c r="F62" s="138">
        <v>1365500</v>
      </c>
      <c r="G62" s="138">
        <v>1652255</v>
      </c>
      <c r="H62" s="139">
        <v>46752</v>
      </c>
      <c r="I62" s="138">
        <v>461869.66942148749</v>
      </c>
      <c r="J62" s="138">
        <v>558863.19999999995</v>
      </c>
    </row>
    <row r="63" spans="1:10" x14ac:dyDescent="0.25">
      <c r="A63" s="17" t="s">
        <v>307</v>
      </c>
      <c r="B63" s="140" t="s">
        <v>1728</v>
      </c>
      <c r="C63" s="17" t="s">
        <v>1515</v>
      </c>
      <c r="D63" s="134">
        <v>68855958</v>
      </c>
      <c r="E63" s="17" t="s">
        <v>1513</v>
      </c>
      <c r="F63" s="138">
        <v>1338500</v>
      </c>
      <c r="G63" s="138">
        <v>1619585</v>
      </c>
      <c r="H63" s="139">
        <v>46752</v>
      </c>
      <c r="I63" s="138">
        <v>445900.2066115702</v>
      </c>
      <c r="J63" s="138">
        <v>539540</v>
      </c>
    </row>
    <row r="64" spans="1:10" x14ac:dyDescent="0.25">
      <c r="A64" s="17" t="s">
        <v>308</v>
      </c>
      <c r="B64" s="140" t="s">
        <v>1728</v>
      </c>
      <c r="C64" s="17" t="s">
        <v>1516</v>
      </c>
      <c r="D64" s="134">
        <v>68855958</v>
      </c>
      <c r="E64" s="17" t="s">
        <v>1513</v>
      </c>
      <c r="F64" s="138">
        <v>1344950</v>
      </c>
      <c r="G64" s="138">
        <v>1627390</v>
      </c>
      <c r="H64" s="139">
        <v>46752</v>
      </c>
      <c r="I64" s="138">
        <v>438680</v>
      </c>
      <c r="J64" s="138">
        <v>530804</v>
      </c>
    </row>
    <row r="65" spans="1:10" x14ac:dyDescent="0.25">
      <c r="A65" s="17" t="s">
        <v>1520</v>
      </c>
      <c r="B65" s="140" t="s">
        <v>1728</v>
      </c>
      <c r="C65" s="17" t="s">
        <v>1522</v>
      </c>
      <c r="D65" s="134">
        <v>25347047</v>
      </c>
      <c r="E65" s="17" t="s">
        <v>1521</v>
      </c>
      <c r="F65" s="138">
        <v>2900000</v>
      </c>
      <c r="G65" s="138">
        <v>3509000</v>
      </c>
      <c r="H65" s="139">
        <v>46627</v>
      </c>
      <c r="I65" s="138">
        <v>2793781.7520661158</v>
      </c>
      <c r="J65" s="138">
        <v>3380475.92</v>
      </c>
    </row>
    <row r="66" spans="1:10" x14ac:dyDescent="0.25">
      <c r="A66" s="17" t="s">
        <v>1523</v>
      </c>
      <c r="B66" s="140" t="s">
        <v>1728</v>
      </c>
      <c r="C66" s="17" t="s">
        <v>1628</v>
      </c>
      <c r="D66" s="134" t="s">
        <v>1817</v>
      </c>
      <c r="E66" s="17" t="s">
        <v>1213</v>
      </c>
      <c r="F66" s="138">
        <v>1150000</v>
      </c>
      <c r="G66" s="138">
        <v>1391500</v>
      </c>
      <c r="H66" s="139">
        <v>46752</v>
      </c>
      <c r="I66" s="138">
        <v>724953</v>
      </c>
      <c r="J66" s="138">
        <v>877193.13</v>
      </c>
    </row>
    <row r="67" spans="1:10" x14ac:dyDescent="0.25">
      <c r="A67" s="17" t="s">
        <v>1180</v>
      </c>
      <c r="B67" s="140" t="s">
        <v>1728</v>
      </c>
      <c r="C67" s="17" t="s">
        <v>1214</v>
      </c>
      <c r="D67" s="134">
        <v>41193598</v>
      </c>
      <c r="E67" s="17" t="s">
        <v>1215</v>
      </c>
      <c r="F67" s="138">
        <v>50000</v>
      </c>
      <c r="G67" s="138">
        <v>60500</v>
      </c>
      <c r="H67" s="139">
        <v>47349</v>
      </c>
      <c r="I67" s="138">
        <v>30879.620247933883</v>
      </c>
      <c r="J67" s="138">
        <v>36732.840000000011</v>
      </c>
    </row>
    <row r="68" spans="1:10" x14ac:dyDescent="0.25">
      <c r="A68" s="17" t="s">
        <v>242</v>
      </c>
      <c r="B68" s="140" t="s">
        <v>1728</v>
      </c>
      <c r="C68" s="17" t="s">
        <v>243</v>
      </c>
      <c r="D68" s="134" t="s">
        <v>1813</v>
      </c>
      <c r="E68" s="17" t="s">
        <v>1015</v>
      </c>
      <c r="F68" s="138">
        <v>27860600</v>
      </c>
      <c r="G68" s="138">
        <v>32789546</v>
      </c>
      <c r="H68" s="139">
        <v>46321</v>
      </c>
      <c r="I68" s="138">
        <v>4981732.1408264479</v>
      </c>
      <c r="J68" s="138">
        <v>5106115.8900000006</v>
      </c>
    </row>
    <row r="69" spans="1:10" x14ac:dyDescent="0.25">
      <c r="A69" s="17" t="s">
        <v>1624</v>
      </c>
      <c r="B69" s="140" t="s">
        <v>1728</v>
      </c>
      <c r="C69" s="17" t="s">
        <v>1633</v>
      </c>
      <c r="D69" s="134">
        <v>48111198</v>
      </c>
      <c r="E69" s="17" t="s">
        <v>1632</v>
      </c>
      <c r="F69" s="138">
        <v>1900000</v>
      </c>
      <c r="G69" s="138">
        <v>2299000</v>
      </c>
      <c r="H69" s="139">
        <v>46682</v>
      </c>
      <c r="I69" s="138">
        <v>1756223.8147933884</v>
      </c>
      <c r="J69" s="138">
        <v>2125031</v>
      </c>
    </row>
    <row r="70" spans="1:10" x14ac:dyDescent="0.25">
      <c r="A70" s="17" t="s">
        <v>1314</v>
      </c>
      <c r="B70" s="140" t="s">
        <v>1728</v>
      </c>
      <c r="C70" s="17" t="s">
        <v>1316</v>
      </c>
      <c r="D70" s="134">
        <v>28489969</v>
      </c>
      <c r="E70" s="17" t="s">
        <v>1348</v>
      </c>
      <c r="F70" s="138">
        <v>1990000</v>
      </c>
      <c r="G70" s="138">
        <v>2407900</v>
      </c>
      <c r="H70" s="139">
        <v>46561</v>
      </c>
      <c r="I70" s="138">
        <v>1194004</v>
      </c>
      <c r="J70" s="138">
        <v>1444744.8399999994</v>
      </c>
    </row>
    <row r="71" spans="1:10" x14ac:dyDescent="0.25">
      <c r="A71" s="17" t="s">
        <v>260</v>
      </c>
      <c r="B71" s="140" t="s">
        <v>1179</v>
      </c>
      <c r="C71" s="17" t="s">
        <v>1218</v>
      </c>
      <c r="D71" s="134" t="s">
        <v>1814</v>
      </c>
      <c r="E71" s="17" t="s">
        <v>1219</v>
      </c>
      <c r="F71" s="138">
        <v>1245000</v>
      </c>
      <c r="G71" s="138">
        <v>1506450</v>
      </c>
      <c r="H71" s="139">
        <v>2958465</v>
      </c>
      <c r="I71" s="138">
        <v>797000</v>
      </c>
      <c r="J71" s="138">
        <v>964370</v>
      </c>
    </row>
    <row r="72" spans="1:10" x14ac:dyDescent="0.25">
      <c r="A72" s="17" t="s">
        <v>1037</v>
      </c>
      <c r="B72" s="140" t="s">
        <v>1179</v>
      </c>
      <c r="C72" s="17" t="s">
        <v>1220</v>
      </c>
      <c r="D72" s="134" t="s">
        <v>1815</v>
      </c>
      <c r="E72" s="17" t="s">
        <v>1038</v>
      </c>
      <c r="F72" s="138">
        <v>1950000</v>
      </c>
      <c r="G72" s="138">
        <v>2359500</v>
      </c>
      <c r="H72" s="139">
        <v>46568</v>
      </c>
      <c r="I72" s="138">
        <v>746836.80991735531</v>
      </c>
      <c r="J72" s="138">
        <v>903672.54</v>
      </c>
    </row>
    <row r="73" spans="1:10" x14ac:dyDescent="0.25">
      <c r="A73" s="17" t="s">
        <v>1471</v>
      </c>
      <c r="B73" s="140" t="s">
        <v>1179</v>
      </c>
      <c r="C73" s="17" t="s">
        <v>1472</v>
      </c>
      <c r="D73" s="134" t="s">
        <v>1815</v>
      </c>
      <c r="E73" s="17" t="s">
        <v>1038</v>
      </c>
      <c r="F73" s="138">
        <v>480000</v>
      </c>
      <c r="G73" s="138">
        <v>580800</v>
      </c>
      <c r="H73" s="139">
        <v>46568</v>
      </c>
      <c r="I73" s="138">
        <v>305618</v>
      </c>
      <c r="J73" s="138">
        <v>369797.78</v>
      </c>
    </row>
    <row r="74" spans="1:10" x14ac:dyDescent="0.25">
      <c r="A74" s="17" t="s">
        <v>250</v>
      </c>
      <c r="B74" s="140" t="s">
        <v>1179</v>
      </c>
      <c r="C74" s="17" t="s">
        <v>1216</v>
      </c>
      <c r="D74" s="134" t="s">
        <v>1816</v>
      </c>
      <c r="E74" s="17" t="s">
        <v>1217</v>
      </c>
      <c r="F74" s="138">
        <v>1990000</v>
      </c>
      <c r="G74" s="138">
        <v>2407900</v>
      </c>
      <c r="H74" s="139">
        <v>46375</v>
      </c>
      <c r="I74" s="138">
        <v>533440</v>
      </c>
      <c r="J74" s="138">
        <v>645462.39999999991</v>
      </c>
    </row>
    <row r="75" spans="1:10" x14ac:dyDescent="0.25">
      <c r="A75" s="17" t="s">
        <v>1283</v>
      </c>
      <c r="B75" s="140" t="s">
        <v>1179</v>
      </c>
      <c r="C75" s="17" t="s">
        <v>1285</v>
      </c>
      <c r="D75" s="134">
        <v>24207519</v>
      </c>
      <c r="E75" s="17" t="s">
        <v>1312</v>
      </c>
      <c r="F75" s="138">
        <v>21645901.91735537</v>
      </c>
      <c r="G75" s="138">
        <v>26191541.32</v>
      </c>
      <c r="H75" s="139">
        <v>46721</v>
      </c>
      <c r="I75" s="138">
        <v>14430601.277355369</v>
      </c>
      <c r="J75" s="138">
        <v>17461027.550000001</v>
      </c>
    </row>
    <row r="76" spans="1:10" x14ac:dyDescent="0.25">
      <c r="A76" s="17" t="s">
        <v>1394</v>
      </c>
      <c r="B76" s="140" t="s">
        <v>1179</v>
      </c>
      <c r="C76" s="17" t="s">
        <v>1361</v>
      </c>
      <c r="D76" s="134">
        <v>24207519</v>
      </c>
      <c r="E76" s="17" t="s">
        <v>1312</v>
      </c>
      <c r="F76" s="138">
        <v>21645901.91735537</v>
      </c>
      <c r="G76" s="138">
        <v>26191541.32</v>
      </c>
      <c r="H76" s="139">
        <v>46721</v>
      </c>
      <c r="I76" s="138">
        <v>7738942.4922314025</v>
      </c>
      <c r="J76" s="138">
        <v>9364120.4200000018</v>
      </c>
    </row>
    <row r="77" spans="1:10" x14ac:dyDescent="0.25">
      <c r="A77" s="17" t="s">
        <v>352</v>
      </c>
      <c r="B77" s="140" t="s">
        <v>1807</v>
      </c>
      <c r="C77" s="17" t="s">
        <v>351</v>
      </c>
      <c r="D77" s="134">
        <v>27190935</v>
      </c>
      <c r="E77" s="17" t="s">
        <v>847</v>
      </c>
      <c r="F77" s="138">
        <v>650000</v>
      </c>
      <c r="G77" s="138">
        <v>786500</v>
      </c>
      <c r="H77" s="139">
        <v>46039</v>
      </c>
      <c r="I77" s="138">
        <v>37021.198347107391</v>
      </c>
      <c r="J77" s="138">
        <v>44795.650000000023</v>
      </c>
    </row>
    <row r="78" spans="1:10" s="3" customFormat="1" x14ac:dyDescent="0.25">
      <c r="A78" s="141" t="s">
        <v>1391</v>
      </c>
      <c r="B78" s="142" t="s">
        <v>1166</v>
      </c>
      <c r="C78" s="116" t="s">
        <v>1393</v>
      </c>
      <c r="D78" s="134">
        <v>75063425</v>
      </c>
      <c r="E78" s="143" t="s">
        <v>1392</v>
      </c>
      <c r="F78" s="144"/>
      <c r="G78" s="144">
        <v>150000</v>
      </c>
      <c r="H78" s="145">
        <v>46022</v>
      </c>
      <c r="I78" s="146"/>
      <c r="J78" s="146">
        <v>46500</v>
      </c>
    </row>
    <row r="79" spans="1:10" x14ac:dyDescent="0.25">
      <c r="A79" s="147" t="s">
        <v>184</v>
      </c>
      <c r="B79" s="148" t="s">
        <v>734</v>
      </c>
      <c r="C79" s="149" t="s">
        <v>185</v>
      </c>
      <c r="D79" s="150" t="s">
        <v>736</v>
      </c>
      <c r="E79" s="149" t="s">
        <v>735</v>
      </c>
      <c r="F79" s="151"/>
      <c r="G79" s="123">
        <v>630000</v>
      </c>
      <c r="H79" s="152">
        <v>46063</v>
      </c>
      <c r="I79" s="151"/>
      <c r="J79" s="151"/>
    </row>
    <row r="80" spans="1:10" x14ac:dyDescent="0.25">
      <c r="A80" s="147" t="s">
        <v>346</v>
      </c>
      <c r="B80" s="153" t="s">
        <v>740</v>
      </c>
      <c r="C80" s="149" t="s">
        <v>347</v>
      </c>
      <c r="D80" s="150">
        <v>71332111</v>
      </c>
      <c r="E80" s="149" t="s">
        <v>741</v>
      </c>
      <c r="F80" s="151"/>
      <c r="G80" s="123"/>
      <c r="H80" s="152">
        <v>2958465</v>
      </c>
      <c r="I80" s="151"/>
      <c r="J80" s="151"/>
    </row>
    <row r="81" spans="1:10" x14ac:dyDescent="0.25">
      <c r="A81" s="147" t="s">
        <v>265</v>
      </c>
      <c r="B81" s="148" t="s">
        <v>739</v>
      </c>
      <c r="C81" s="149" t="s">
        <v>245</v>
      </c>
      <c r="D81" s="150">
        <v>71294023</v>
      </c>
      <c r="E81" s="149" t="s">
        <v>742</v>
      </c>
      <c r="F81" s="151"/>
      <c r="G81" s="123"/>
      <c r="H81" s="152">
        <v>46752</v>
      </c>
      <c r="I81" s="151"/>
      <c r="J81" s="151"/>
    </row>
    <row r="82" spans="1:10" x14ac:dyDescent="0.25">
      <c r="A82" s="147" t="s">
        <v>244</v>
      </c>
      <c r="B82" s="148" t="s">
        <v>739</v>
      </c>
      <c r="C82" s="149" t="s">
        <v>245</v>
      </c>
      <c r="D82" s="150">
        <v>71294023</v>
      </c>
      <c r="E82" s="149" t="s">
        <v>742</v>
      </c>
      <c r="F82" s="151"/>
      <c r="G82" s="123">
        <v>3624000</v>
      </c>
      <c r="H82" s="152">
        <v>46752</v>
      </c>
      <c r="I82" s="151"/>
      <c r="J82" s="151"/>
    </row>
    <row r="83" spans="1:10" x14ac:dyDescent="0.25">
      <c r="A83" s="147" t="s">
        <v>248</v>
      </c>
      <c r="B83" s="148" t="s">
        <v>739</v>
      </c>
      <c r="C83" s="149" t="s">
        <v>249</v>
      </c>
      <c r="D83" s="150">
        <v>71294023</v>
      </c>
      <c r="E83" s="149" t="s">
        <v>742</v>
      </c>
      <c r="F83" s="151"/>
      <c r="G83" s="123">
        <v>620000</v>
      </c>
      <c r="H83" s="152">
        <v>46752</v>
      </c>
      <c r="I83" s="151"/>
      <c r="J83" s="151"/>
    </row>
    <row r="84" spans="1:10" x14ac:dyDescent="0.25">
      <c r="A84" s="147" t="s">
        <v>4</v>
      </c>
      <c r="B84" s="149" t="s">
        <v>743</v>
      </c>
      <c r="C84" s="149" t="s">
        <v>5</v>
      </c>
      <c r="D84" s="150">
        <v>71214011</v>
      </c>
      <c r="E84" s="149" t="s">
        <v>744</v>
      </c>
      <c r="F84" s="151"/>
      <c r="G84" s="123">
        <v>235950</v>
      </c>
      <c r="H84" s="152">
        <v>46423</v>
      </c>
      <c r="I84" s="151"/>
      <c r="J84" s="151"/>
    </row>
    <row r="85" spans="1:10" x14ac:dyDescent="0.25">
      <c r="A85" s="147" t="s">
        <v>713</v>
      </c>
      <c r="B85" s="153" t="s">
        <v>734</v>
      </c>
      <c r="C85" s="149" t="s">
        <v>714</v>
      </c>
      <c r="D85" s="150">
        <v>71192255</v>
      </c>
      <c r="E85" s="121" t="s">
        <v>745</v>
      </c>
      <c r="F85" s="151"/>
      <c r="G85" s="123"/>
      <c r="H85" s="152">
        <v>46201</v>
      </c>
      <c r="I85" s="151"/>
      <c r="J85" s="151"/>
    </row>
    <row r="86" spans="1:10" x14ac:dyDescent="0.25">
      <c r="A86" s="147" t="s">
        <v>111</v>
      </c>
      <c r="B86" s="148" t="s">
        <v>739</v>
      </c>
      <c r="C86" s="149" t="s">
        <v>112</v>
      </c>
      <c r="D86" s="150">
        <v>71192255</v>
      </c>
      <c r="E86" s="121" t="s">
        <v>745</v>
      </c>
      <c r="F86" s="151"/>
      <c r="G86" s="123"/>
      <c r="H86" s="152">
        <v>46106</v>
      </c>
      <c r="I86" s="151"/>
      <c r="J86" s="151"/>
    </row>
    <row r="87" spans="1:10" x14ac:dyDescent="0.25">
      <c r="A87" s="147" t="s">
        <v>546</v>
      </c>
      <c r="B87" s="148" t="s">
        <v>734</v>
      </c>
      <c r="C87" s="149" t="s">
        <v>389</v>
      </c>
      <c r="D87" s="150">
        <v>70892822</v>
      </c>
      <c r="E87" s="121" t="s">
        <v>746</v>
      </c>
      <c r="F87" s="151"/>
      <c r="G87" s="123"/>
      <c r="H87" s="152">
        <v>2958465</v>
      </c>
      <c r="I87" s="151"/>
      <c r="J87" s="151"/>
    </row>
    <row r="88" spans="1:10" x14ac:dyDescent="0.25">
      <c r="A88" s="147" t="s">
        <v>555</v>
      </c>
      <c r="B88" s="148" t="s">
        <v>734</v>
      </c>
      <c r="C88" s="149" t="s">
        <v>389</v>
      </c>
      <c r="D88" s="150">
        <v>70892115</v>
      </c>
      <c r="E88" s="121" t="s">
        <v>747</v>
      </c>
      <c r="F88" s="151"/>
      <c r="G88" s="123"/>
      <c r="H88" s="152">
        <v>2958465</v>
      </c>
      <c r="I88" s="151"/>
      <c r="J88" s="151"/>
    </row>
    <row r="89" spans="1:10" x14ac:dyDescent="0.25">
      <c r="A89" s="147" t="s">
        <v>562</v>
      </c>
      <c r="B89" s="148" t="s">
        <v>734</v>
      </c>
      <c r="C89" s="149" t="s">
        <v>389</v>
      </c>
      <c r="D89" s="150">
        <v>70891508</v>
      </c>
      <c r="E89" s="121" t="s">
        <v>748</v>
      </c>
      <c r="F89" s="151"/>
      <c r="G89" s="123"/>
      <c r="H89" s="152">
        <v>2958465</v>
      </c>
      <c r="I89" s="151"/>
      <c r="J89" s="151"/>
    </row>
    <row r="90" spans="1:10" x14ac:dyDescent="0.25">
      <c r="A90" s="147" t="s">
        <v>87</v>
      </c>
      <c r="B90" s="148" t="s">
        <v>739</v>
      </c>
      <c r="C90" s="149" t="s">
        <v>88</v>
      </c>
      <c r="D90" s="150">
        <v>70891095</v>
      </c>
      <c r="E90" s="121" t="s">
        <v>750</v>
      </c>
      <c r="F90" s="151"/>
      <c r="G90" s="123"/>
      <c r="H90" s="152">
        <v>2958465</v>
      </c>
      <c r="I90" s="151"/>
      <c r="J90" s="151"/>
    </row>
    <row r="91" spans="1:10" x14ac:dyDescent="0.25">
      <c r="A91" s="147" t="s">
        <v>57</v>
      </c>
      <c r="B91" s="121" t="s">
        <v>734</v>
      </c>
      <c r="C91" s="149" t="s">
        <v>55</v>
      </c>
      <c r="D91" s="150">
        <v>70891095</v>
      </c>
      <c r="E91" s="121" t="s">
        <v>750</v>
      </c>
      <c r="F91" s="151"/>
      <c r="G91" s="123"/>
      <c r="H91" s="152">
        <v>2958465</v>
      </c>
      <c r="I91" s="151"/>
      <c r="J91" s="151"/>
    </row>
    <row r="92" spans="1:10" x14ac:dyDescent="0.25">
      <c r="A92" s="147" t="s">
        <v>719</v>
      </c>
      <c r="B92" s="121" t="s">
        <v>749</v>
      </c>
      <c r="C92" s="149" t="s">
        <v>720</v>
      </c>
      <c r="D92" s="150">
        <v>70891095</v>
      </c>
      <c r="E92" s="121" t="s">
        <v>750</v>
      </c>
      <c r="F92" s="151"/>
      <c r="G92" s="123">
        <v>0</v>
      </c>
      <c r="H92" s="152">
        <v>2958465</v>
      </c>
      <c r="I92" s="151"/>
      <c r="J92" s="151"/>
    </row>
    <row r="93" spans="1:10" x14ac:dyDescent="0.25">
      <c r="A93" s="147" t="s">
        <v>64</v>
      </c>
      <c r="B93" s="148" t="s">
        <v>739</v>
      </c>
      <c r="C93" s="149" t="s">
        <v>65</v>
      </c>
      <c r="D93" s="150">
        <v>70891095</v>
      </c>
      <c r="E93" s="121" t="s">
        <v>750</v>
      </c>
      <c r="F93" s="151"/>
      <c r="G93" s="123"/>
      <c r="H93" s="152">
        <v>46568</v>
      </c>
      <c r="I93" s="151"/>
      <c r="J93" s="151"/>
    </row>
    <row r="94" spans="1:10" x14ac:dyDescent="0.25">
      <c r="A94" s="147" t="s">
        <v>318</v>
      </c>
      <c r="B94" s="148" t="s">
        <v>739</v>
      </c>
      <c r="C94" s="149" t="s">
        <v>319</v>
      </c>
      <c r="D94" s="150">
        <v>70891095</v>
      </c>
      <c r="E94" s="121" t="s">
        <v>750</v>
      </c>
      <c r="F94" s="151"/>
      <c r="G94" s="123">
        <v>1354290</v>
      </c>
      <c r="H94" s="152">
        <v>46022</v>
      </c>
      <c r="I94" s="151"/>
      <c r="J94" s="151"/>
    </row>
    <row r="95" spans="1:10" x14ac:dyDescent="0.25">
      <c r="A95" s="147" t="s">
        <v>330</v>
      </c>
      <c r="B95" s="153" t="s">
        <v>740</v>
      </c>
      <c r="C95" s="149" t="s">
        <v>331</v>
      </c>
      <c r="D95" s="150">
        <v>70891095</v>
      </c>
      <c r="E95" s="121" t="s">
        <v>750</v>
      </c>
      <c r="F95" s="151"/>
      <c r="G95" s="123"/>
      <c r="H95" s="152">
        <v>2958465</v>
      </c>
      <c r="I95" s="151"/>
      <c r="J95" s="151"/>
    </row>
    <row r="96" spans="1:10" x14ac:dyDescent="0.25">
      <c r="A96" s="147" t="s">
        <v>668</v>
      </c>
      <c r="B96" s="153" t="s">
        <v>740</v>
      </c>
      <c r="C96" s="149" t="s">
        <v>669</v>
      </c>
      <c r="D96" s="150">
        <v>70890749</v>
      </c>
      <c r="E96" s="121" t="s">
        <v>751</v>
      </c>
      <c r="F96" s="151"/>
      <c r="G96" s="123"/>
      <c r="H96" s="152">
        <v>2958465</v>
      </c>
      <c r="I96" s="151"/>
      <c r="J96" s="151"/>
    </row>
    <row r="97" spans="1:10" x14ac:dyDescent="0.25">
      <c r="A97" s="147" t="s">
        <v>557</v>
      </c>
      <c r="B97" s="148" t="s">
        <v>734</v>
      </c>
      <c r="C97" s="149" t="s">
        <v>389</v>
      </c>
      <c r="D97" s="150">
        <v>70890650</v>
      </c>
      <c r="E97" s="121" t="s">
        <v>752</v>
      </c>
      <c r="F97" s="151"/>
      <c r="G97" s="123"/>
      <c r="H97" s="152">
        <v>2958465</v>
      </c>
      <c r="I97" s="151"/>
      <c r="J97" s="151"/>
    </row>
    <row r="98" spans="1:10" x14ac:dyDescent="0.25">
      <c r="A98" s="147" t="s">
        <v>545</v>
      </c>
      <c r="B98" s="148" t="s">
        <v>734</v>
      </c>
      <c r="C98" s="149" t="s">
        <v>389</v>
      </c>
      <c r="D98" s="150">
        <v>70890366</v>
      </c>
      <c r="E98" s="121" t="s">
        <v>753</v>
      </c>
      <c r="F98" s="151"/>
      <c r="G98" s="123"/>
      <c r="H98" s="152">
        <v>2958465</v>
      </c>
      <c r="I98" s="151"/>
      <c r="J98" s="151"/>
    </row>
    <row r="99" spans="1:10" x14ac:dyDescent="0.25">
      <c r="A99" s="147" t="s">
        <v>556</v>
      </c>
      <c r="B99" s="148" t="s">
        <v>734</v>
      </c>
      <c r="C99" s="149" t="s">
        <v>389</v>
      </c>
      <c r="D99" s="150">
        <v>70889546</v>
      </c>
      <c r="E99" s="121" t="s">
        <v>754</v>
      </c>
      <c r="F99" s="151"/>
      <c r="G99" s="123"/>
      <c r="H99" s="152">
        <v>2958465</v>
      </c>
      <c r="I99" s="151"/>
      <c r="J99" s="151"/>
    </row>
    <row r="100" spans="1:10" x14ac:dyDescent="0.25">
      <c r="A100" s="147" t="s">
        <v>12</v>
      </c>
      <c r="B100" s="149" t="s">
        <v>743</v>
      </c>
      <c r="C100" s="149" t="s">
        <v>13</v>
      </c>
      <c r="D100" s="150">
        <v>70885371</v>
      </c>
      <c r="E100" s="149" t="s">
        <v>755</v>
      </c>
      <c r="F100" s="151"/>
      <c r="G100" s="123">
        <v>119971</v>
      </c>
      <c r="H100" s="152">
        <v>46437</v>
      </c>
      <c r="I100" s="151"/>
      <c r="J100" s="151"/>
    </row>
    <row r="101" spans="1:10" x14ac:dyDescent="0.25">
      <c r="A101" s="147" t="s">
        <v>573</v>
      </c>
      <c r="B101" s="149" t="s">
        <v>743</v>
      </c>
      <c r="C101" s="149" t="s">
        <v>574</v>
      </c>
      <c r="D101" s="150">
        <v>70885371</v>
      </c>
      <c r="E101" s="149" t="s">
        <v>755</v>
      </c>
      <c r="F101" s="151"/>
      <c r="G101" s="123">
        <v>0</v>
      </c>
      <c r="H101" s="152">
        <v>46536</v>
      </c>
      <c r="I101" s="151"/>
      <c r="J101" s="151"/>
    </row>
    <row r="102" spans="1:10" x14ac:dyDescent="0.25">
      <c r="A102" s="147" t="s">
        <v>631</v>
      </c>
      <c r="B102" s="149" t="s">
        <v>743</v>
      </c>
      <c r="C102" s="149" t="s">
        <v>632</v>
      </c>
      <c r="D102" s="150">
        <v>70885371</v>
      </c>
      <c r="E102" s="149" t="s">
        <v>755</v>
      </c>
      <c r="F102" s="151"/>
      <c r="G102" s="123">
        <v>144471</v>
      </c>
      <c r="H102" s="152">
        <v>46440</v>
      </c>
      <c r="I102" s="151"/>
      <c r="J102" s="151"/>
    </row>
    <row r="103" spans="1:10" x14ac:dyDescent="0.25">
      <c r="A103" s="147" t="s">
        <v>666</v>
      </c>
      <c r="B103" s="149" t="s">
        <v>743</v>
      </c>
      <c r="C103" s="149" t="s">
        <v>667</v>
      </c>
      <c r="D103" s="150">
        <v>70885371</v>
      </c>
      <c r="E103" s="149" t="s">
        <v>755</v>
      </c>
      <c r="F103" s="151"/>
      <c r="G103" s="123">
        <v>0</v>
      </c>
      <c r="H103" s="152">
        <v>46680</v>
      </c>
      <c r="I103" s="151"/>
      <c r="J103" s="151"/>
    </row>
    <row r="104" spans="1:10" x14ac:dyDescent="0.25">
      <c r="A104" s="147" t="s">
        <v>689</v>
      </c>
      <c r="B104" s="149" t="s">
        <v>743</v>
      </c>
      <c r="C104" s="149" t="s">
        <v>690</v>
      </c>
      <c r="D104" s="150">
        <v>70885371</v>
      </c>
      <c r="E104" s="149" t="s">
        <v>755</v>
      </c>
      <c r="F104" s="151"/>
      <c r="G104" s="123">
        <v>144470</v>
      </c>
      <c r="H104" s="152">
        <v>46039</v>
      </c>
      <c r="I104" s="151"/>
      <c r="J104" s="151"/>
    </row>
    <row r="105" spans="1:10" x14ac:dyDescent="0.25">
      <c r="A105" s="147" t="s">
        <v>155</v>
      </c>
      <c r="B105" s="121" t="s">
        <v>739</v>
      </c>
      <c r="C105" s="149" t="s">
        <v>156</v>
      </c>
      <c r="D105" s="150">
        <v>70885371</v>
      </c>
      <c r="E105" s="149" t="s">
        <v>755</v>
      </c>
      <c r="F105" s="151"/>
      <c r="G105" s="123">
        <v>12839646.060000001</v>
      </c>
      <c r="H105" s="152">
        <v>46112</v>
      </c>
      <c r="I105" s="151"/>
      <c r="J105" s="151"/>
    </row>
    <row r="106" spans="1:10" x14ac:dyDescent="0.25">
      <c r="A106" s="147" t="s">
        <v>178</v>
      </c>
      <c r="B106" s="121" t="s">
        <v>739</v>
      </c>
      <c r="C106" s="149" t="s">
        <v>179</v>
      </c>
      <c r="D106" s="150">
        <v>70837376</v>
      </c>
      <c r="E106" s="149" t="s">
        <v>756</v>
      </c>
      <c r="F106" s="151"/>
      <c r="G106" s="154"/>
      <c r="H106" s="152">
        <v>2958465</v>
      </c>
      <c r="I106" s="151"/>
      <c r="J106" s="151"/>
    </row>
    <row r="107" spans="1:10" x14ac:dyDescent="0.25">
      <c r="A107" s="147" t="s">
        <v>426</v>
      </c>
      <c r="B107" s="121" t="s">
        <v>734</v>
      </c>
      <c r="C107" s="149" t="s">
        <v>427</v>
      </c>
      <c r="D107" s="150">
        <v>70809771</v>
      </c>
      <c r="E107" s="121" t="s">
        <v>757</v>
      </c>
      <c r="F107" s="151"/>
      <c r="G107" s="123">
        <v>0</v>
      </c>
      <c r="H107" s="152">
        <v>2958465</v>
      </c>
      <c r="I107" s="151"/>
      <c r="J107" s="151"/>
    </row>
    <row r="108" spans="1:10" x14ac:dyDescent="0.25">
      <c r="A108" s="147" t="s">
        <v>278</v>
      </c>
      <c r="B108" s="153" t="s">
        <v>1166</v>
      </c>
      <c r="C108" s="149" t="s">
        <v>279</v>
      </c>
      <c r="D108" s="150" t="s">
        <v>761</v>
      </c>
      <c r="E108" s="121" t="s">
        <v>760</v>
      </c>
      <c r="F108" s="151"/>
      <c r="G108" s="123">
        <v>7051424</v>
      </c>
      <c r="H108" s="152">
        <v>46022</v>
      </c>
      <c r="I108" s="151"/>
      <c r="J108" s="151"/>
    </row>
    <row r="109" spans="1:10" x14ac:dyDescent="0.25">
      <c r="A109" s="147" t="s">
        <v>334</v>
      </c>
      <c r="B109" s="148" t="s">
        <v>734</v>
      </c>
      <c r="C109" s="149" t="s">
        <v>335</v>
      </c>
      <c r="D109" s="150">
        <v>68407700</v>
      </c>
      <c r="E109" s="121" t="s">
        <v>762</v>
      </c>
      <c r="F109" s="151"/>
      <c r="G109" s="123"/>
      <c r="H109" s="152">
        <v>45565</v>
      </c>
      <c r="I109" s="151"/>
      <c r="J109" s="151"/>
    </row>
    <row r="110" spans="1:10" x14ac:dyDescent="0.25">
      <c r="A110" s="147" t="s">
        <v>256</v>
      </c>
      <c r="B110" s="148" t="s">
        <v>734</v>
      </c>
      <c r="C110" s="149" t="s">
        <v>257</v>
      </c>
      <c r="D110" s="150">
        <v>67775292</v>
      </c>
      <c r="E110" s="149" t="s">
        <v>763</v>
      </c>
      <c r="F110" s="151"/>
      <c r="G110" s="123"/>
      <c r="H110" s="152">
        <v>46034</v>
      </c>
      <c r="I110" s="151"/>
      <c r="J110" s="151"/>
    </row>
    <row r="111" spans="1:10" x14ac:dyDescent="0.25">
      <c r="A111" s="147" t="s">
        <v>659</v>
      </c>
      <c r="B111" s="121" t="s">
        <v>740</v>
      </c>
      <c r="C111" s="149" t="s">
        <v>660</v>
      </c>
      <c r="D111" s="150">
        <v>65993390</v>
      </c>
      <c r="E111" s="121" t="s">
        <v>764</v>
      </c>
      <c r="F111" s="151"/>
      <c r="G111" s="123">
        <v>0</v>
      </c>
      <c r="H111" s="152">
        <v>2958465</v>
      </c>
      <c r="I111" s="151"/>
      <c r="J111" s="151"/>
    </row>
    <row r="112" spans="1:10" x14ac:dyDescent="0.25">
      <c r="A112" s="147" t="s">
        <v>91</v>
      </c>
      <c r="B112" s="148" t="s">
        <v>739</v>
      </c>
      <c r="C112" s="149" t="s">
        <v>92</v>
      </c>
      <c r="D112" s="150">
        <v>65993390</v>
      </c>
      <c r="E112" s="121" t="s">
        <v>764</v>
      </c>
      <c r="F112" s="151"/>
      <c r="G112" s="123">
        <v>1</v>
      </c>
      <c r="H112" s="152">
        <v>47336</v>
      </c>
      <c r="I112" s="151"/>
      <c r="J112" s="151"/>
    </row>
    <row r="113" spans="1:10" x14ac:dyDescent="0.25">
      <c r="A113" s="147" t="s">
        <v>159</v>
      </c>
      <c r="B113" s="148" t="s">
        <v>739</v>
      </c>
      <c r="C113" s="149" t="s">
        <v>160</v>
      </c>
      <c r="D113" s="150">
        <v>65993390</v>
      </c>
      <c r="E113" s="121" t="s">
        <v>764</v>
      </c>
      <c r="F113" s="151"/>
      <c r="G113" s="123"/>
      <c r="H113" s="152">
        <v>46162</v>
      </c>
      <c r="I113" s="151"/>
      <c r="J113" s="151"/>
    </row>
    <row r="114" spans="1:10" x14ac:dyDescent="0.25">
      <c r="A114" s="155" t="s">
        <v>380</v>
      </c>
      <c r="B114" s="156" t="s">
        <v>740</v>
      </c>
      <c r="C114" s="157" t="s">
        <v>381</v>
      </c>
      <c r="D114" s="158">
        <v>64949681</v>
      </c>
      <c r="E114" s="156" t="s">
        <v>765</v>
      </c>
      <c r="F114" s="151"/>
      <c r="G114" s="123">
        <v>0</v>
      </c>
      <c r="H114" s="152">
        <v>2958465</v>
      </c>
      <c r="I114" s="151"/>
      <c r="J114" s="151"/>
    </row>
    <row r="115" spans="1:10" x14ac:dyDescent="0.25">
      <c r="A115" s="147" t="s">
        <v>80</v>
      </c>
      <c r="B115" s="121" t="s">
        <v>739</v>
      </c>
      <c r="C115" s="149" t="s">
        <v>81</v>
      </c>
      <c r="D115" s="150">
        <v>64949681</v>
      </c>
      <c r="E115" s="121" t="s">
        <v>765</v>
      </c>
      <c r="F115" s="151"/>
      <c r="G115" s="123">
        <v>38841</v>
      </c>
      <c r="H115" s="152">
        <v>2958465</v>
      </c>
      <c r="I115" s="151"/>
      <c r="J115" s="151"/>
    </row>
    <row r="116" spans="1:10" x14ac:dyDescent="0.25">
      <c r="A116" s="155" t="s">
        <v>448</v>
      </c>
      <c r="B116" s="156" t="s">
        <v>740</v>
      </c>
      <c r="C116" s="157" t="s">
        <v>449</v>
      </c>
      <c r="D116" s="158">
        <v>64949681</v>
      </c>
      <c r="E116" s="156" t="s">
        <v>765</v>
      </c>
      <c r="F116" s="151"/>
      <c r="G116" s="123">
        <v>0</v>
      </c>
      <c r="H116" s="152"/>
      <c r="I116" s="151"/>
      <c r="J116" s="151"/>
    </row>
    <row r="117" spans="1:10" x14ac:dyDescent="0.25">
      <c r="A117" s="155" t="s">
        <v>464</v>
      </c>
      <c r="B117" s="156" t="s">
        <v>740</v>
      </c>
      <c r="C117" s="157" t="s">
        <v>465</v>
      </c>
      <c r="D117" s="158">
        <v>64949681</v>
      </c>
      <c r="E117" s="156" t="s">
        <v>765</v>
      </c>
      <c r="F117" s="151"/>
      <c r="G117" s="123">
        <v>900</v>
      </c>
      <c r="H117" s="152">
        <v>2958465</v>
      </c>
      <c r="I117" s="151"/>
      <c r="J117" s="151"/>
    </row>
    <row r="118" spans="1:10" x14ac:dyDescent="0.25">
      <c r="A118" s="147" t="s">
        <v>493</v>
      </c>
      <c r="B118" s="121" t="s">
        <v>749</v>
      </c>
      <c r="C118" s="149" t="s">
        <v>494</v>
      </c>
      <c r="D118" s="150">
        <v>63998475</v>
      </c>
      <c r="E118" s="121" t="s">
        <v>769</v>
      </c>
      <c r="F118" s="151"/>
      <c r="G118" s="123">
        <v>0</v>
      </c>
      <c r="H118" s="152">
        <v>2958465</v>
      </c>
      <c r="I118" s="151"/>
      <c r="J118" s="151"/>
    </row>
    <row r="119" spans="1:10" x14ac:dyDescent="0.25">
      <c r="A119" s="147" t="s">
        <v>527</v>
      </c>
      <c r="B119" s="148" t="s">
        <v>739</v>
      </c>
      <c r="C119" s="149" t="s">
        <v>528</v>
      </c>
      <c r="D119" s="150">
        <v>63992353</v>
      </c>
      <c r="E119" s="121" t="s">
        <v>770</v>
      </c>
      <c r="F119" s="151"/>
      <c r="G119" s="123">
        <v>0</v>
      </c>
      <c r="H119" s="152">
        <v>2958465</v>
      </c>
      <c r="I119" s="151"/>
      <c r="J119" s="151"/>
    </row>
    <row r="120" spans="1:10" x14ac:dyDescent="0.25">
      <c r="A120" s="147" t="s">
        <v>89</v>
      </c>
      <c r="B120" s="121" t="s">
        <v>740</v>
      </c>
      <c r="C120" s="149" t="s">
        <v>90</v>
      </c>
      <c r="D120" s="150">
        <v>63495295</v>
      </c>
      <c r="E120" s="121" t="s">
        <v>771</v>
      </c>
      <c r="F120" s="151"/>
      <c r="G120" s="123" t="s">
        <v>772</v>
      </c>
      <c r="H120" s="152">
        <v>2958465</v>
      </c>
      <c r="I120" s="151"/>
      <c r="J120" s="151"/>
    </row>
    <row r="121" spans="1:10" x14ac:dyDescent="0.25">
      <c r="A121" s="147" t="s">
        <v>384</v>
      </c>
      <c r="B121" s="121" t="s">
        <v>739</v>
      </c>
      <c r="C121" s="149" t="s">
        <v>385</v>
      </c>
      <c r="D121" s="150">
        <v>62957872</v>
      </c>
      <c r="E121" s="121" t="s">
        <v>773</v>
      </c>
      <c r="F121" s="151"/>
      <c r="G121" s="123">
        <v>0</v>
      </c>
      <c r="H121" s="152">
        <v>2958465</v>
      </c>
      <c r="I121" s="151"/>
      <c r="J121" s="151"/>
    </row>
    <row r="122" spans="1:10" x14ac:dyDescent="0.25">
      <c r="A122" s="147" t="s">
        <v>46</v>
      </c>
      <c r="B122" s="121" t="s">
        <v>740</v>
      </c>
      <c r="C122" s="149" t="s">
        <v>47</v>
      </c>
      <c r="D122" s="150">
        <v>62448064</v>
      </c>
      <c r="E122" s="121" t="s">
        <v>774</v>
      </c>
      <c r="F122" s="151"/>
      <c r="G122" s="123"/>
      <c r="H122" s="152">
        <v>2958465</v>
      </c>
      <c r="I122" s="151"/>
      <c r="J122" s="151"/>
    </row>
    <row r="123" spans="1:10" x14ac:dyDescent="0.25">
      <c r="A123" s="147" t="s">
        <v>48</v>
      </c>
      <c r="B123" s="121" t="s">
        <v>740</v>
      </c>
      <c r="C123" s="149" t="s">
        <v>49</v>
      </c>
      <c r="D123" s="150">
        <v>62448064</v>
      </c>
      <c r="E123" s="121" t="s">
        <v>774</v>
      </c>
      <c r="F123" s="151"/>
      <c r="G123" s="123"/>
      <c r="H123" s="152">
        <v>2958465</v>
      </c>
      <c r="I123" s="151"/>
      <c r="J123" s="151"/>
    </row>
    <row r="124" spans="1:10" x14ac:dyDescent="0.25">
      <c r="A124" s="147" t="s">
        <v>717</v>
      </c>
      <c r="B124" s="121" t="s">
        <v>739</v>
      </c>
      <c r="C124" s="149" t="s">
        <v>718</v>
      </c>
      <c r="D124" s="150">
        <v>61778516</v>
      </c>
      <c r="E124" s="121" t="s">
        <v>775</v>
      </c>
      <c r="F124" s="151"/>
      <c r="G124" s="123">
        <v>0</v>
      </c>
      <c r="H124" s="152">
        <v>45838</v>
      </c>
      <c r="I124" s="151"/>
      <c r="J124" s="151"/>
    </row>
    <row r="125" spans="1:10" x14ac:dyDescent="0.25">
      <c r="A125" s="147" t="s">
        <v>121</v>
      </c>
      <c r="B125" s="149" t="s">
        <v>739</v>
      </c>
      <c r="C125" s="149" t="s">
        <v>122</v>
      </c>
      <c r="D125" s="150">
        <v>61388947</v>
      </c>
      <c r="E125" s="121" t="s">
        <v>776</v>
      </c>
      <c r="F125" s="151"/>
      <c r="G125" s="123">
        <v>181200</v>
      </c>
      <c r="H125" s="152">
        <v>45168</v>
      </c>
      <c r="I125" s="151"/>
      <c r="J125" s="151"/>
    </row>
    <row r="126" spans="1:10" x14ac:dyDescent="0.25">
      <c r="A126" s="147" t="s">
        <v>633</v>
      </c>
      <c r="B126" s="121" t="s">
        <v>739</v>
      </c>
      <c r="C126" s="149" t="s">
        <v>634</v>
      </c>
      <c r="D126" s="150">
        <v>61056758</v>
      </c>
      <c r="E126" s="121" t="s">
        <v>778</v>
      </c>
      <c r="F126" s="151"/>
      <c r="G126" s="123"/>
      <c r="H126" s="152">
        <v>2958465</v>
      </c>
      <c r="I126" s="151"/>
      <c r="J126" s="151"/>
    </row>
    <row r="127" spans="1:10" x14ac:dyDescent="0.25">
      <c r="A127" s="155" t="s">
        <v>52</v>
      </c>
      <c r="B127" s="121" t="s">
        <v>740</v>
      </c>
      <c r="C127" s="157" t="s">
        <v>53</v>
      </c>
      <c r="D127" s="158">
        <v>60193336</v>
      </c>
      <c r="E127" s="156" t="s">
        <v>780</v>
      </c>
      <c r="F127" s="151"/>
      <c r="G127" s="159">
        <v>363000</v>
      </c>
      <c r="H127" s="160">
        <v>2958465</v>
      </c>
      <c r="I127" s="151"/>
      <c r="J127" s="151"/>
    </row>
    <row r="128" spans="1:10" x14ac:dyDescent="0.25">
      <c r="A128" s="155" t="s">
        <v>115</v>
      </c>
      <c r="B128" s="161" t="s">
        <v>734</v>
      </c>
      <c r="C128" s="157" t="s">
        <v>116</v>
      </c>
      <c r="D128" s="158">
        <v>49688804</v>
      </c>
      <c r="E128" s="156" t="s">
        <v>782</v>
      </c>
      <c r="F128" s="151"/>
      <c r="G128" s="159"/>
      <c r="H128" s="160"/>
      <c r="I128" s="151"/>
      <c r="J128" s="151"/>
    </row>
    <row r="129" spans="1:10" x14ac:dyDescent="0.25">
      <c r="A129" s="147" t="s">
        <v>36</v>
      </c>
      <c r="B129" s="121" t="s">
        <v>739</v>
      </c>
      <c r="C129" s="149" t="s">
        <v>37</v>
      </c>
      <c r="D129" s="150">
        <v>49623877</v>
      </c>
      <c r="E129" s="121" t="s">
        <v>783</v>
      </c>
      <c r="F129" s="151"/>
      <c r="G129" s="123"/>
      <c r="H129" s="152">
        <v>2958465</v>
      </c>
      <c r="I129" s="151"/>
      <c r="J129" s="151"/>
    </row>
    <row r="130" spans="1:10" x14ac:dyDescent="0.25">
      <c r="A130" s="147" t="s">
        <v>470</v>
      </c>
      <c r="B130" s="121" t="s">
        <v>734</v>
      </c>
      <c r="C130" s="149" t="s">
        <v>471</v>
      </c>
      <c r="D130" s="150">
        <v>49516736</v>
      </c>
      <c r="E130" s="121" t="s">
        <v>784</v>
      </c>
      <c r="F130" s="151"/>
      <c r="G130" s="123"/>
      <c r="H130" s="152">
        <v>2958465</v>
      </c>
      <c r="I130" s="151"/>
      <c r="J130" s="151"/>
    </row>
    <row r="131" spans="1:10" x14ac:dyDescent="0.25">
      <c r="A131" s="155" t="s">
        <v>480</v>
      </c>
      <c r="B131" s="162" t="s">
        <v>734</v>
      </c>
      <c r="C131" s="157" t="s">
        <v>481</v>
      </c>
      <c r="D131" s="158">
        <v>49516736</v>
      </c>
      <c r="E131" s="156" t="s">
        <v>784</v>
      </c>
      <c r="F131" s="151"/>
      <c r="G131" s="123"/>
      <c r="H131" s="163" t="s">
        <v>785</v>
      </c>
      <c r="I131" s="151"/>
      <c r="J131" s="151"/>
    </row>
    <row r="132" spans="1:10" x14ac:dyDescent="0.25">
      <c r="A132" s="147" t="s">
        <v>145</v>
      </c>
      <c r="B132" s="121" t="s">
        <v>1166</v>
      </c>
      <c r="C132" s="149" t="s">
        <v>146</v>
      </c>
      <c r="D132" s="150">
        <v>49516736</v>
      </c>
      <c r="E132" s="121" t="s">
        <v>784</v>
      </c>
      <c r="F132" s="151"/>
      <c r="G132" s="123"/>
      <c r="H132" s="152">
        <v>46078</v>
      </c>
      <c r="I132" s="151"/>
      <c r="J132" s="151"/>
    </row>
    <row r="133" spans="1:10" x14ac:dyDescent="0.25">
      <c r="A133" s="147" t="s">
        <v>442</v>
      </c>
      <c r="B133" s="121" t="s">
        <v>739</v>
      </c>
      <c r="C133" s="149" t="s">
        <v>443</v>
      </c>
      <c r="D133" s="150">
        <v>49356089</v>
      </c>
      <c r="E133" s="121" t="s">
        <v>787</v>
      </c>
      <c r="F133" s="151"/>
      <c r="G133" s="123">
        <v>0</v>
      </c>
      <c r="H133" s="152">
        <v>2958465</v>
      </c>
      <c r="I133" s="151"/>
      <c r="J133" s="151"/>
    </row>
    <row r="134" spans="1:10" x14ac:dyDescent="0.25">
      <c r="A134" s="147" t="s">
        <v>83</v>
      </c>
      <c r="B134" s="121" t="s">
        <v>739</v>
      </c>
      <c r="C134" s="149" t="s">
        <v>84</v>
      </c>
      <c r="D134" s="150">
        <v>49356089</v>
      </c>
      <c r="E134" s="121" t="s">
        <v>787</v>
      </c>
      <c r="F134" s="151"/>
      <c r="G134" s="123"/>
      <c r="H134" s="152">
        <v>2958465</v>
      </c>
      <c r="I134" s="151"/>
      <c r="J134" s="151"/>
    </row>
    <row r="135" spans="1:10" x14ac:dyDescent="0.25">
      <c r="A135" s="147" t="s">
        <v>539</v>
      </c>
      <c r="B135" s="121" t="s">
        <v>739</v>
      </c>
      <c r="C135" s="149" t="s">
        <v>540</v>
      </c>
      <c r="D135" s="150">
        <v>49356089</v>
      </c>
      <c r="E135" s="121" t="s">
        <v>787</v>
      </c>
      <c r="F135" s="151"/>
      <c r="G135" s="123">
        <v>0</v>
      </c>
      <c r="H135" s="152">
        <v>2958465</v>
      </c>
      <c r="I135" s="151"/>
      <c r="J135" s="151"/>
    </row>
    <row r="136" spans="1:10" x14ac:dyDescent="0.25">
      <c r="A136" s="147" t="s">
        <v>137</v>
      </c>
      <c r="B136" s="121" t="s">
        <v>739</v>
      </c>
      <c r="C136" s="149" t="s">
        <v>138</v>
      </c>
      <c r="D136" s="150">
        <v>49356089</v>
      </c>
      <c r="E136" s="121" t="s">
        <v>787</v>
      </c>
      <c r="F136" s="151"/>
      <c r="G136" s="123">
        <v>40000</v>
      </c>
      <c r="H136" s="152">
        <v>2958465</v>
      </c>
      <c r="I136" s="151"/>
      <c r="J136" s="151"/>
    </row>
    <row r="137" spans="1:10" x14ac:dyDescent="0.25">
      <c r="A137" s="147" t="s">
        <v>143</v>
      </c>
      <c r="B137" s="121" t="s">
        <v>739</v>
      </c>
      <c r="C137" s="149" t="s">
        <v>144</v>
      </c>
      <c r="D137" s="150">
        <v>49356089</v>
      </c>
      <c r="E137" s="121" t="s">
        <v>787</v>
      </c>
      <c r="F137" s="151"/>
      <c r="G137" s="123">
        <v>50000</v>
      </c>
      <c r="H137" s="152">
        <v>2958465</v>
      </c>
      <c r="I137" s="151"/>
      <c r="J137" s="151"/>
    </row>
    <row r="138" spans="1:10" x14ac:dyDescent="0.25">
      <c r="A138" s="147" t="s">
        <v>188</v>
      </c>
      <c r="B138" s="121" t="s">
        <v>739</v>
      </c>
      <c r="C138" s="149" t="s">
        <v>189</v>
      </c>
      <c r="D138" s="150">
        <v>49356089</v>
      </c>
      <c r="E138" s="121" t="s">
        <v>787</v>
      </c>
      <c r="F138" s="151"/>
      <c r="G138" s="123">
        <v>60000</v>
      </c>
      <c r="H138" s="152">
        <v>2958465</v>
      </c>
      <c r="I138" s="151"/>
      <c r="J138" s="151"/>
    </row>
    <row r="139" spans="1:10" x14ac:dyDescent="0.25">
      <c r="A139" s="147" t="s">
        <v>149</v>
      </c>
      <c r="B139" s="121" t="s">
        <v>739</v>
      </c>
      <c r="C139" s="149" t="s">
        <v>150</v>
      </c>
      <c r="D139" s="150">
        <v>49356089</v>
      </c>
      <c r="E139" s="121" t="s">
        <v>787</v>
      </c>
      <c r="F139" s="151"/>
      <c r="G139" s="123"/>
      <c r="H139" s="152">
        <v>2958465</v>
      </c>
      <c r="I139" s="151"/>
      <c r="J139" s="151"/>
    </row>
    <row r="140" spans="1:10" x14ac:dyDescent="0.25">
      <c r="A140" s="147" t="s">
        <v>163</v>
      </c>
      <c r="B140" s="148" t="s">
        <v>739</v>
      </c>
      <c r="C140" s="149" t="s">
        <v>164</v>
      </c>
      <c r="D140" s="150">
        <v>49356089</v>
      </c>
      <c r="E140" s="121" t="s">
        <v>787</v>
      </c>
      <c r="F140" s="151"/>
      <c r="G140" s="123">
        <v>47000</v>
      </c>
      <c r="H140" s="152">
        <v>2958465</v>
      </c>
      <c r="I140" s="151"/>
      <c r="J140" s="151"/>
    </row>
    <row r="141" spans="1:10" x14ac:dyDescent="0.25">
      <c r="A141" s="147" t="s">
        <v>119</v>
      </c>
      <c r="B141" s="148" t="s">
        <v>739</v>
      </c>
      <c r="C141" s="149" t="s">
        <v>120</v>
      </c>
      <c r="D141" s="150">
        <v>49356089</v>
      </c>
      <c r="E141" s="121" t="s">
        <v>787</v>
      </c>
      <c r="F141" s="151"/>
      <c r="G141" s="123"/>
      <c r="H141" s="152">
        <v>2958465</v>
      </c>
      <c r="I141" s="151"/>
      <c r="J141" s="151"/>
    </row>
    <row r="142" spans="1:10" x14ac:dyDescent="0.25">
      <c r="A142" s="147" t="s">
        <v>214</v>
      </c>
      <c r="B142" s="148" t="s">
        <v>739</v>
      </c>
      <c r="C142" s="149" t="s">
        <v>215</v>
      </c>
      <c r="D142" s="150">
        <v>49356089</v>
      </c>
      <c r="E142" s="121" t="s">
        <v>787</v>
      </c>
      <c r="F142" s="151"/>
      <c r="G142" s="123">
        <v>115000</v>
      </c>
      <c r="H142" s="152">
        <v>2958465</v>
      </c>
      <c r="I142" s="151"/>
      <c r="J142" s="151"/>
    </row>
    <row r="143" spans="1:10" x14ac:dyDescent="0.25">
      <c r="A143" s="147" t="s">
        <v>406</v>
      </c>
      <c r="B143" s="121" t="s">
        <v>740</v>
      </c>
      <c r="C143" s="149" t="s">
        <v>407</v>
      </c>
      <c r="D143" s="150">
        <v>48907804</v>
      </c>
      <c r="E143" s="164" t="s">
        <v>788</v>
      </c>
      <c r="F143" s="151"/>
      <c r="G143" s="123"/>
      <c r="H143" s="152">
        <v>2958465</v>
      </c>
      <c r="I143" s="151"/>
      <c r="J143" s="151"/>
    </row>
    <row r="144" spans="1:10" x14ac:dyDescent="0.25">
      <c r="A144" s="147" t="s">
        <v>396</v>
      </c>
      <c r="B144" s="121" t="s">
        <v>739</v>
      </c>
      <c r="C144" s="149" t="s">
        <v>397</v>
      </c>
      <c r="D144" s="150">
        <v>48707996</v>
      </c>
      <c r="E144" s="121" t="s">
        <v>789</v>
      </c>
      <c r="F144" s="151"/>
      <c r="G144" s="123"/>
      <c r="H144" s="152">
        <v>2958465</v>
      </c>
      <c r="I144" s="151"/>
      <c r="J144" s="151"/>
    </row>
    <row r="145" spans="1:10" x14ac:dyDescent="0.25">
      <c r="A145" s="147" t="s">
        <v>44</v>
      </c>
      <c r="B145" s="121" t="s">
        <v>734</v>
      </c>
      <c r="C145" s="149" t="s">
        <v>45</v>
      </c>
      <c r="D145" s="150">
        <v>48134821</v>
      </c>
      <c r="E145" s="121" t="s">
        <v>791</v>
      </c>
      <c r="F145" s="151"/>
      <c r="G145" s="123">
        <v>1</v>
      </c>
      <c r="H145" s="152">
        <v>46461</v>
      </c>
      <c r="I145" s="151"/>
      <c r="J145" s="151"/>
    </row>
    <row r="146" spans="1:10" x14ac:dyDescent="0.25">
      <c r="A146" s="147" t="s">
        <v>478</v>
      </c>
      <c r="B146" s="153" t="s">
        <v>734</v>
      </c>
      <c r="C146" s="149" t="s">
        <v>479</v>
      </c>
      <c r="D146" s="150">
        <v>48134821</v>
      </c>
      <c r="E146" s="121" t="s">
        <v>791</v>
      </c>
      <c r="F146" s="151"/>
      <c r="G146" s="123">
        <v>36150000</v>
      </c>
      <c r="H146" s="152">
        <v>2958465</v>
      </c>
      <c r="I146" s="151"/>
      <c r="J146" s="151"/>
    </row>
    <row r="147" spans="1:10" x14ac:dyDescent="0.25">
      <c r="A147" s="147" t="s">
        <v>28</v>
      </c>
      <c r="B147" s="121" t="s">
        <v>734</v>
      </c>
      <c r="C147" s="149" t="s">
        <v>29</v>
      </c>
      <c r="D147" s="150">
        <v>48134821</v>
      </c>
      <c r="E147" s="121" t="s">
        <v>791</v>
      </c>
      <c r="F147" s="151"/>
      <c r="G147" s="123">
        <v>0</v>
      </c>
      <c r="H147" s="152">
        <v>46535</v>
      </c>
      <c r="I147" s="151"/>
      <c r="J147" s="151"/>
    </row>
    <row r="148" spans="1:10" x14ac:dyDescent="0.25">
      <c r="A148" s="147" t="s">
        <v>513</v>
      </c>
      <c r="B148" s="149" t="s">
        <v>739</v>
      </c>
      <c r="C148" s="149" t="s">
        <v>514</v>
      </c>
      <c r="D148" s="150">
        <v>48134821</v>
      </c>
      <c r="E148" s="121" t="s">
        <v>791</v>
      </c>
      <c r="F148" s="151"/>
      <c r="G148" s="123">
        <v>0</v>
      </c>
      <c r="H148" s="152">
        <v>2958455</v>
      </c>
      <c r="I148" s="151"/>
      <c r="J148" s="151"/>
    </row>
    <row r="149" spans="1:10" x14ac:dyDescent="0.25">
      <c r="A149" s="147" t="s">
        <v>107</v>
      </c>
      <c r="B149" s="121" t="s">
        <v>734</v>
      </c>
      <c r="C149" s="149" t="s">
        <v>108</v>
      </c>
      <c r="D149" s="150">
        <v>48134821</v>
      </c>
      <c r="E149" s="121" t="s">
        <v>791</v>
      </c>
      <c r="F149" s="151"/>
      <c r="G149" s="123"/>
      <c r="H149" s="152">
        <v>46022</v>
      </c>
      <c r="I149" s="151"/>
      <c r="J149" s="151"/>
    </row>
    <row r="150" spans="1:10" x14ac:dyDescent="0.25">
      <c r="A150" s="147" t="s">
        <v>482</v>
      </c>
      <c r="B150" s="148" t="s">
        <v>739</v>
      </c>
      <c r="C150" s="149" t="s">
        <v>483</v>
      </c>
      <c r="D150" s="150">
        <v>47558881</v>
      </c>
      <c r="E150" s="121" t="s">
        <v>794</v>
      </c>
      <c r="F150" s="151"/>
      <c r="G150" s="123">
        <v>0</v>
      </c>
      <c r="H150" s="152"/>
      <c r="I150" s="151"/>
      <c r="J150" s="151"/>
    </row>
    <row r="151" spans="1:10" x14ac:dyDescent="0.25">
      <c r="A151" s="147" t="s">
        <v>117</v>
      </c>
      <c r="B151" s="148" t="s">
        <v>739</v>
      </c>
      <c r="C151" s="149" t="s">
        <v>118</v>
      </c>
      <c r="D151" s="150">
        <v>47551984</v>
      </c>
      <c r="E151" s="121" t="s">
        <v>795</v>
      </c>
      <c r="F151" s="151"/>
      <c r="G151" s="123">
        <v>51080</v>
      </c>
      <c r="H151" s="152">
        <v>46173</v>
      </c>
      <c r="I151" s="151"/>
      <c r="J151" s="151"/>
    </row>
    <row r="152" spans="1:10" x14ac:dyDescent="0.25">
      <c r="A152" s="147" t="s">
        <v>74</v>
      </c>
      <c r="B152" s="149" t="s">
        <v>739</v>
      </c>
      <c r="C152" s="149" t="s">
        <v>75</v>
      </c>
      <c r="D152" s="150">
        <v>47543655</v>
      </c>
      <c r="E152" s="121" t="s">
        <v>796</v>
      </c>
      <c r="F152" s="151"/>
      <c r="G152" s="123">
        <v>150000</v>
      </c>
      <c r="H152" s="152">
        <v>2958465</v>
      </c>
      <c r="I152" s="151"/>
      <c r="J152" s="151"/>
    </row>
    <row r="153" spans="1:10" x14ac:dyDescent="0.25">
      <c r="A153" s="147" t="s">
        <v>430</v>
      </c>
      <c r="B153" s="121" t="s">
        <v>739</v>
      </c>
      <c r="C153" s="149" t="s">
        <v>431</v>
      </c>
      <c r="D153" s="150">
        <v>47539801</v>
      </c>
      <c r="E153" s="121" t="s">
        <v>797</v>
      </c>
      <c r="F153" s="151"/>
      <c r="G153" s="123">
        <v>1</v>
      </c>
      <c r="H153" s="152">
        <v>45657</v>
      </c>
      <c r="I153" s="151"/>
      <c r="J153" s="151"/>
    </row>
    <row r="154" spans="1:10" x14ac:dyDescent="0.25">
      <c r="A154" s="147" t="s">
        <v>432</v>
      </c>
      <c r="B154" s="121" t="s">
        <v>739</v>
      </c>
      <c r="C154" s="149" t="s">
        <v>433</v>
      </c>
      <c r="D154" s="150">
        <v>47539801</v>
      </c>
      <c r="E154" s="121" t="s">
        <v>797</v>
      </c>
      <c r="F154" s="151"/>
      <c r="G154" s="123">
        <v>476100</v>
      </c>
      <c r="H154" s="152">
        <v>46022</v>
      </c>
      <c r="I154" s="151"/>
      <c r="J154" s="151"/>
    </row>
    <row r="155" spans="1:10" x14ac:dyDescent="0.25">
      <c r="A155" s="147" t="s">
        <v>434</v>
      </c>
      <c r="B155" s="121" t="s">
        <v>739</v>
      </c>
      <c r="C155" s="149" t="s">
        <v>435</v>
      </c>
      <c r="D155" s="150">
        <v>47539801</v>
      </c>
      <c r="E155" s="121" t="s">
        <v>797</v>
      </c>
      <c r="F155" s="151"/>
      <c r="G155" s="123">
        <v>0</v>
      </c>
      <c r="H155" s="152">
        <v>46387</v>
      </c>
      <c r="I155" s="151"/>
      <c r="J155" s="151"/>
    </row>
    <row r="156" spans="1:10" x14ac:dyDescent="0.25">
      <c r="A156" s="147" t="s">
        <v>263</v>
      </c>
      <c r="B156" s="121" t="s">
        <v>739</v>
      </c>
      <c r="C156" s="149" t="s">
        <v>264</v>
      </c>
      <c r="D156" s="150">
        <v>47539801</v>
      </c>
      <c r="E156" s="121" t="s">
        <v>797</v>
      </c>
      <c r="F156" s="151"/>
      <c r="G156" s="123"/>
      <c r="H156" s="152">
        <v>45716</v>
      </c>
      <c r="I156" s="151"/>
      <c r="J156" s="151"/>
    </row>
    <row r="157" spans="1:10" x14ac:dyDescent="0.25">
      <c r="A157" s="147" t="s">
        <v>525</v>
      </c>
      <c r="B157" s="149" t="s">
        <v>739</v>
      </c>
      <c r="C157" s="149" t="s">
        <v>526</v>
      </c>
      <c r="D157" s="150">
        <v>47538457</v>
      </c>
      <c r="E157" s="121" t="s">
        <v>798</v>
      </c>
      <c r="F157" s="151"/>
      <c r="G157" s="123">
        <v>55560</v>
      </c>
      <c r="H157" s="152">
        <v>2958465</v>
      </c>
      <c r="I157" s="151"/>
      <c r="J157" s="151"/>
    </row>
    <row r="158" spans="1:10" x14ac:dyDescent="0.25">
      <c r="A158" s="147" t="s">
        <v>212</v>
      </c>
      <c r="B158" s="121" t="s">
        <v>739</v>
      </c>
      <c r="C158" s="149" t="s">
        <v>213</v>
      </c>
      <c r="D158" s="150">
        <v>47538457</v>
      </c>
      <c r="E158" s="121" t="s">
        <v>798</v>
      </c>
      <c r="F158" s="151"/>
      <c r="G158" s="123"/>
      <c r="H158" s="152">
        <v>2958465</v>
      </c>
      <c r="I158" s="151"/>
      <c r="J158" s="151"/>
    </row>
    <row r="159" spans="1:10" x14ac:dyDescent="0.25">
      <c r="A159" s="147" t="s">
        <v>410</v>
      </c>
      <c r="B159" s="149" t="s">
        <v>739</v>
      </c>
      <c r="C159" s="149" t="s">
        <v>411</v>
      </c>
      <c r="D159" s="150">
        <v>47535865</v>
      </c>
      <c r="E159" s="121" t="s">
        <v>799</v>
      </c>
      <c r="F159" s="151"/>
      <c r="G159" s="123"/>
      <c r="H159" s="152">
        <v>2958465</v>
      </c>
      <c r="I159" s="151"/>
      <c r="J159" s="151"/>
    </row>
    <row r="160" spans="1:10" x14ac:dyDescent="0.25">
      <c r="A160" s="147" t="s">
        <v>440</v>
      </c>
      <c r="B160" s="149" t="s">
        <v>739</v>
      </c>
      <c r="C160" s="149" t="s">
        <v>441</v>
      </c>
      <c r="D160" s="150">
        <v>47535865</v>
      </c>
      <c r="E160" s="121" t="s">
        <v>799</v>
      </c>
      <c r="F160" s="151"/>
      <c r="G160" s="123">
        <v>0</v>
      </c>
      <c r="H160" s="152">
        <v>2958465</v>
      </c>
      <c r="I160" s="151"/>
      <c r="J160" s="151"/>
    </row>
    <row r="161" spans="1:10" x14ac:dyDescent="0.25">
      <c r="A161" s="147" t="s">
        <v>723</v>
      </c>
      <c r="B161" s="149" t="s">
        <v>739</v>
      </c>
      <c r="C161" s="149" t="s">
        <v>724</v>
      </c>
      <c r="D161" s="150">
        <v>47534532</v>
      </c>
      <c r="E161" s="121" t="s">
        <v>800</v>
      </c>
      <c r="F161" s="151"/>
      <c r="G161" s="123">
        <v>358886</v>
      </c>
      <c r="H161" s="152"/>
      <c r="I161" s="151"/>
      <c r="J161" s="151"/>
    </row>
    <row r="162" spans="1:10" ht="26.4" x14ac:dyDescent="0.25">
      <c r="A162" s="147" t="s">
        <v>370</v>
      </c>
      <c r="B162" s="149" t="s">
        <v>737</v>
      </c>
      <c r="C162" s="165" t="s">
        <v>371</v>
      </c>
      <c r="D162" s="150">
        <v>47528371</v>
      </c>
      <c r="E162" s="166" t="s">
        <v>801</v>
      </c>
      <c r="F162" s="151"/>
      <c r="G162" s="123">
        <v>0</v>
      </c>
      <c r="H162" s="152">
        <v>2958465</v>
      </c>
      <c r="I162" s="151"/>
      <c r="J162" s="151"/>
    </row>
    <row r="163" spans="1:10" x14ac:dyDescent="0.25">
      <c r="A163" s="147" t="s">
        <v>569</v>
      </c>
      <c r="B163" s="148" t="s">
        <v>739</v>
      </c>
      <c r="C163" s="149" t="s">
        <v>570</v>
      </c>
      <c r="D163" s="150">
        <v>47060573</v>
      </c>
      <c r="E163" s="121" t="s">
        <v>803</v>
      </c>
      <c r="F163" s="151"/>
      <c r="G163" s="123">
        <v>0</v>
      </c>
      <c r="H163" s="152">
        <v>46150</v>
      </c>
      <c r="I163" s="151"/>
      <c r="J163" s="151"/>
    </row>
    <row r="164" spans="1:10" x14ac:dyDescent="0.25">
      <c r="A164" s="147" t="s">
        <v>388</v>
      </c>
      <c r="B164" s="121" t="s">
        <v>734</v>
      </c>
      <c r="C164" s="149" t="s">
        <v>389</v>
      </c>
      <c r="D164" s="150">
        <v>46744991</v>
      </c>
      <c r="E164" s="121" t="s">
        <v>805</v>
      </c>
      <c r="F164" s="151"/>
      <c r="G164" s="123">
        <v>0</v>
      </c>
      <c r="H164" s="152"/>
      <c r="I164" s="151"/>
      <c r="J164" s="151"/>
    </row>
    <row r="165" spans="1:10" x14ac:dyDescent="0.25">
      <c r="A165" s="147" t="s">
        <v>312</v>
      </c>
      <c r="B165" s="153" t="s">
        <v>740</v>
      </c>
      <c r="C165" s="149" t="s">
        <v>313</v>
      </c>
      <c r="D165" s="150">
        <v>46578706</v>
      </c>
      <c r="E165" s="149" t="s">
        <v>806</v>
      </c>
      <c r="F165" s="151"/>
      <c r="G165" s="123">
        <v>150000</v>
      </c>
      <c r="H165" s="152">
        <v>47361</v>
      </c>
      <c r="I165" s="151"/>
      <c r="J165" s="151"/>
    </row>
    <row r="166" spans="1:10" x14ac:dyDescent="0.25">
      <c r="A166" s="147" t="s">
        <v>22</v>
      </c>
      <c r="B166" s="149" t="s">
        <v>739</v>
      </c>
      <c r="C166" s="149" t="s">
        <v>23</v>
      </c>
      <c r="D166" s="150">
        <v>46356983</v>
      </c>
      <c r="E166" s="121" t="s">
        <v>807</v>
      </c>
      <c r="F166" s="151"/>
      <c r="G166" s="123">
        <v>0</v>
      </c>
      <c r="H166" s="152">
        <v>2958465</v>
      </c>
      <c r="I166" s="151"/>
      <c r="J166" s="151"/>
    </row>
    <row r="167" spans="1:10" x14ac:dyDescent="0.25">
      <c r="A167" s="147" t="s">
        <v>531</v>
      </c>
      <c r="B167" s="121" t="s">
        <v>739</v>
      </c>
      <c r="C167" s="149" t="s">
        <v>532</v>
      </c>
      <c r="D167" s="150">
        <v>46356983</v>
      </c>
      <c r="E167" s="121" t="s">
        <v>807</v>
      </c>
      <c r="F167" s="151"/>
      <c r="G167" s="123">
        <v>0</v>
      </c>
      <c r="H167" s="152">
        <v>2958465</v>
      </c>
      <c r="I167" s="151"/>
      <c r="J167" s="151"/>
    </row>
    <row r="168" spans="1:10" x14ac:dyDescent="0.25">
      <c r="A168" s="147" t="s">
        <v>533</v>
      </c>
      <c r="B168" s="121" t="s">
        <v>739</v>
      </c>
      <c r="C168" s="149" t="s">
        <v>534</v>
      </c>
      <c r="D168" s="150">
        <v>46356983</v>
      </c>
      <c r="E168" s="121" t="s">
        <v>807</v>
      </c>
      <c r="F168" s="151"/>
      <c r="G168" s="123">
        <v>0</v>
      </c>
      <c r="H168" s="152">
        <v>2958465</v>
      </c>
      <c r="I168" s="151"/>
      <c r="J168" s="151"/>
    </row>
    <row r="169" spans="1:10" x14ac:dyDescent="0.25">
      <c r="A169" s="147" t="s">
        <v>535</v>
      </c>
      <c r="B169" s="121" t="s">
        <v>739</v>
      </c>
      <c r="C169" s="149" t="s">
        <v>536</v>
      </c>
      <c r="D169" s="150">
        <v>46356983</v>
      </c>
      <c r="E169" s="121" t="s">
        <v>807</v>
      </c>
      <c r="F169" s="151"/>
      <c r="G169" s="123">
        <v>0</v>
      </c>
      <c r="H169" s="152">
        <v>2958465</v>
      </c>
      <c r="I169" s="151"/>
      <c r="J169" s="151"/>
    </row>
    <row r="170" spans="1:10" x14ac:dyDescent="0.25">
      <c r="A170" s="147" t="s">
        <v>414</v>
      </c>
      <c r="B170" s="121" t="s">
        <v>739</v>
      </c>
      <c r="C170" s="149" t="s">
        <v>415</v>
      </c>
      <c r="D170" s="150">
        <v>46356975</v>
      </c>
      <c r="E170" s="121" t="s">
        <v>808</v>
      </c>
      <c r="F170" s="151"/>
      <c r="G170" s="123">
        <v>0</v>
      </c>
      <c r="H170" s="152">
        <v>2958465</v>
      </c>
      <c r="I170" s="151"/>
      <c r="J170" s="151"/>
    </row>
    <row r="171" spans="1:10" x14ac:dyDescent="0.25">
      <c r="A171" s="147" t="s">
        <v>186</v>
      </c>
      <c r="B171" s="149" t="s">
        <v>739</v>
      </c>
      <c r="C171" s="149" t="s">
        <v>187</v>
      </c>
      <c r="D171" s="150">
        <v>46356975</v>
      </c>
      <c r="E171" s="121" t="s">
        <v>808</v>
      </c>
      <c r="F171" s="151"/>
      <c r="G171" s="123">
        <v>18000</v>
      </c>
      <c r="H171" s="167">
        <v>2958465</v>
      </c>
      <c r="I171" s="151"/>
      <c r="J171" s="151"/>
    </row>
    <row r="172" spans="1:10" x14ac:dyDescent="0.25">
      <c r="A172" s="147" t="s">
        <v>390</v>
      </c>
      <c r="B172" s="149" t="s">
        <v>739</v>
      </c>
      <c r="C172" s="149" t="s">
        <v>391</v>
      </c>
      <c r="D172" s="150">
        <v>45809712</v>
      </c>
      <c r="E172" s="121" t="s">
        <v>809</v>
      </c>
      <c r="F172" s="151"/>
      <c r="G172" s="168">
        <v>0</v>
      </c>
      <c r="H172" s="152"/>
      <c r="I172" s="151"/>
      <c r="J172" s="151"/>
    </row>
    <row r="173" spans="1:10" x14ac:dyDescent="0.25">
      <c r="A173" s="147" t="s">
        <v>400</v>
      </c>
      <c r="B173" s="149" t="s">
        <v>739</v>
      </c>
      <c r="C173" s="149" t="s">
        <v>401</v>
      </c>
      <c r="D173" s="150">
        <v>45809712</v>
      </c>
      <c r="E173" s="121" t="s">
        <v>809</v>
      </c>
      <c r="F173" s="151"/>
      <c r="G173" s="168">
        <v>0</v>
      </c>
      <c r="H173" s="167">
        <v>2958465</v>
      </c>
      <c r="I173" s="151"/>
      <c r="J173" s="151"/>
    </row>
    <row r="174" spans="1:10" x14ac:dyDescent="0.25">
      <c r="A174" s="147" t="s">
        <v>560</v>
      </c>
      <c r="B174" s="149" t="s">
        <v>739</v>
      </c>
      <c r="C174" s="149" t="s">
        <v>561</v>
      </c>
      <c r="D174" s="150">
        <v>45809712</v>
      </c>
      <c r="E174" s="121" t="s">
        <v>809</v>
      </c>
      <c r="F174" s="151"/>
      <c r="G174" s="168">
        <v>0</v>
      </c>
      <c r="H174" s="152"/>
      <c r="I174" s="151"/>
      <c r="J174" s="151"/>
    </row>
    <row r="175" spans="1:10" x14ac:dyDescent="0.25">
      <c r="A175" s="147" t="s">
        <v>337</v>
      </c>
      <c r="B175" s="149" t="s">
        <v>739</v>
      </c>
      <c r="C175" s="149" t="s">
        <v>811</v>
      </c>
      <c r="D175" s="150">
        <v>45274649</v>
      </c>
      <c r="E175" s="121" t="s">
        <v>810</v>
      </c>
      <c r="F175" s="151"/>
      <c r="G175" s="123">
        <v>133822.85</v>
      </c>
      <c r="H175" s="152">
        <v>2958465</v>
      </c>
      <c r="I175" s="151"/>
      <c r="J175" s="151"/>
    </row>
    <row r="176" spans="1:10" x14ac:dyDescent="0.25">
      <c r="A176" s="147" t="s">
        <v>78</v>
      </c>
      <c r="B176" s="121" t="s">
        <v>749</v>
      </c>
      <c r="C176" s="149" t="s">
        <v>79</v>
      </c>
      <c r="D176" s="150">
        <v>45244782</v>
      </c>
      <c r="E176" s="121" t="s">
        <v>813</v>
      </c>
      <c r="F176" s="151"/>
      <c r="G176" s="123">
        <v>204</v>
      </c>
      <c r="H176" s="152">
        <v>2958465</v>
      </c>
      <c r="I176" s="151"/>
      <c r="J176" s="151"/>
    </row>
    <row r="177" spans="1:10" x14ac:dyDescent="0.25">
      <c r="A177" s="147" t="s">
        <v>165</v>
      </c>
      <c r="B177" s="121" t="s">
        <v>749</v>
      </c>
      <c r="C177" s="149" t="s">
        <v>166</v>
      </c>
      <c r="D177" s="150">
        <v>45244782</v>
      </c>
      <c r="E177" s="121" t="s">
        <v>813</v>
      </c>
      <c r="F177" s="151"/>
      <c r="G177" s="123"/>
      <c r="H177" s="152">
        <v>2958465</v>
      </c>
      <c r="I177" s="151"/>
      <c r="J177" s="151"/>
    </row>
    <row r="178" spans="1:10" x14ac:dyDescent="0.25">
      <c r="A178" s="147" t="s">
        <v>517</v>
      </c>
      <c r="B178" s="149" t="s">
        <v>739</v>
      </c>
      <c r="C178" s="149" t="s">
        <v>518</v>
      </c>
      <c r="D178" s="150">
        <v>45148996</v>
      </c>
      <c r="E178" s="121" t="s">
        <v>814</v>
      </c>
      <c r="F178" s="151"/>
      <c r="G178" s="168"/>
      <c r="H178" s="167">
        <v>45989</v>
      </c>
      <c r="I178" s="151"/>
      <c r="J178" s="151"/>
    </row>
    <row r="179" spans="1:10" x14ac:dyDescent="0.25">
      <c r="A179" s="147" t="s">
        <v>236</v>
      </c>
      <c r="B179" s="121" t="s">
        <v>734</v>
      </c>
      <c r="C179" s="149" t="s">
        <v>237</v>
      </c>
      <c r="D179" s="150">
        <v>45146802</v>
      </c>
      <c r="E179" s="149" t="s">
        <v>815</v>
      </c>
      <c r="F179" s="151"/>
      <c r="G179" s="123"/>
      <c r="H179" s="152">
        <v>46292</v>
      </c>
      <c r="I179" s="151"/>
      <c r="J179" s="151"/>
    </row>
    <row r="180" spans="1:10" x14ac:dyDescent="0.25">
      <c r="A180" s="147" t="s">
        <v>458</v>
      </c>
      <c r="B180" s="121" t="s">
        <v>734</v>
      </c>
      <c r="C180" s="149" t="s">
        <v>459</v>
      </c>
      <c r="D180" s="150">
        <v>43874681</v>
      </c>
      <c r="E180" s="121" t="s">
        <v>816</v>
      </c>
      <c r="F180" s="151"/>
      <c r="G180" s="168"/>
      <c r="H180" s="167">
        <v>46063</v>
      </c>
      <c r="I180" s="151"/>
      <c r="J180" s="151"/>
    </row>
    <row r="181" spans="1:10" x14ac:dyDescent="0.25">
      <c r="A181" s="155" t="s">
        <v>729</v>
      </c>
      <c r="B181" s="149" t="s">
        <v>739</v>
      </c>
      <c r="C181" s="157" t="s">
        <v>730</v>
      </c>
      <c r="D181" s="158">
        <v>43442030</v>
      </c>
      <c r="E181" s="156" t="s">
        <v>817</v>
      </c>
      <c r="F181" s="151"/>
      <c r="G181" s="168"/>
      <c r="H181" s="167">
        <v>2958465</v>
      </c>
      <c r="I181" s="151"/>
      <c r="J181" s="151"/>
    </row>
    <row r="182" spans="1:10" x14ac:dyDescent="0.25">
      <c r="A182" s="147" t="s">
        <v>466</v>
      </c>
      <c r="B182" s="149" t="s">
        <v>739</v>
      </c>
      <c r="C182" s="149" t="s">
        <v>467</v>
      </c>
      <c r="D182" s="150">
        <v>42726697</v>
      </c>
      <c r="E182" s="121" t="s">
        <v>818</v>
      </c>
      <c r="F182" s="151"/>
      <c r="G182" s="123"/>
      <c r="H182" s="167">
        <v>2958465</v>
      </c>
      <c r="I182" s="151"/>
      <c r="J182" s="151"/>
    </row>
    <row r="183" spans="1:10" x14ac:dyDescent="0.25">
      <c r="A183" s="147" t="s">
        <v>452</v>
      </c>
      <c r="B183" s="149" t="s">
        <v>739</v>
      </c>
      <c r="C183" s="149" t="s">
        <v>453</v>
      </c>
      <c r="D183" s="150">
        <v>42194920</v>
      </c>
      <c r="E183" s="121" t="s">
        <v>820</v>
      </c>
      <c r="F183" s="151"/>
      <c r="G183" s="168"/>
      <c r="H183" s="167">
        <v>2958465</v>
      </c>
      <c r="I183" s="151"/>
      <c r="J183" s="151"/>
    </row>
    <row r="184" spans="1:10" x14ac:dyDescent="0.25">
      <c r="A184" s="147" t="s">
        <v>314</v>
      </c>
      <c r="B184" s="149" t="s">
        <v>739</v>
      </c>
      <c r="C184" s="149" t="s">
        <v>315</v>
      </c>
      <c r="D184" s="150">
        <v>42194920</v>
      </c>
      <c r="E184" s="149" t="s">
        <v>820</v>
      </c>
      <c r="F184" s="151"/>
      <c r="G184" s="123"/>
      <c r="H184" s="167">
        <v>2958465</v>
      </c>
      <c r="I184" s="151"/>
      <c r="J184" s="151"/>
    </row>
    <row r="185" spans="1:10" x14ac:dyDescent="0.25">
      <c r="A185" s="147" t="s">
        <v>521</v>
      </c>
      <c r="B185" s="153" t="s">
        <v>740</v>
      </c>
      <c r="C185" s="149" t="s">
        <v>522</v>
      </c>
      <c r="D185" s="150">
        <v>41690311</v>
      </c>
      <c r="E185" s="121" t="s">
        <v>821</v>
      </c>
      <c r="F185" s="151"/>
      <c r="G185" s="168"/>
      <c r="H185" s="135">
        <v>2958465</v>
      </c>
      <c r="I185" s="151"/>
      <c r="J185" s="151"/>
    </row>
    <row r="186" spans="1:10" x14ac:dyDescent="0.25">
      <c r="A186" s="147" t="s">
        <v>30</v>
      </c>
      <c r="B186" s="149" t="s">
        <v>739</v>
      </c>
      <c r="C186" s="149" t="s">
        <v>31</v>
      </c>
      <c r="D186" s="150">
        <v>28949081</v>
      </c>
      <c r="E186" s="121" t="s">
        <v>822</v>
      </c>
      <c r="F186" s="151"/>
      <c r="G186" s="168">
        <v>0</v>
      </c>
      <c r="H186" s="167">
        <v>2958465</v>
      </c>
      <c r="I186" s="151"/>
      <c r="J186" s="151"/>
    </row>
    <row r="187" spans="1:10" x14ac:dyDescent="0.25">
      <c r="A187" s="147" t="s">
        <v>171</v>
      </c>
      <c r="B187" s="148" t="s">
        <v>739</v>
      </c>
      <c r="C187" s="149" t="s">
        <v>172</v>
      </c>
      <c r="D187" s="150">
        <v>28501861</v>
      </c>
      <c r="E187" s="149" t="s">
        <v>824</v>
      </c>
      <c r="F187" s="151"/>
      <c r="G187" s="123"/>
      <c r="H187" s="135">
        <v>2958465</v>
      </c>
      <c r="I187" s="151"/>
      <c r="J187" s="151"/>
    </row>
    <row r="188" spans="1:10" x14ac:dyDescent="0.25">
      <c r="A188" s="147" t="s">
        <v>676</v>
      </c>
      <c r="B188" s="149" t="s">
        <v>739</v>
      </c>
      <c r="C188" s="149" t="s">
        <v>677</v>
      </c>
      <c r="D188" s="150">
        <v>28414691</v>
      </c>
      <c r="E188" s="121" t="s">
        <v>825</v>
      </c>
      <c r="F188" s="151"/>
      <c r="G188" s="168">
        <v>0</v>
      </c>
      <c r="H188" s="167">
        <v>46022</v>
      </c>
      <c r="I188" s="151"/>
      <c r="J188" s="151"/>
    </row>
    <row r="189" spans="1:10" x14ac:dyDescent="0.25">
      <c r="A189" s="147" t="s">
        <v>505</v>
      </c>
      <c r="B189" s="121" t="s">
        <v>734</v>
      </c>
      <c r="C189" s="149" t="s">
        <v>506</v>
      </c>
      <c r="D189" s="150">
        <v>28390954</v>
      </c>
      <c r="E189" s="121" t="s">
        <v>826</v>
      </c>
      <c r="F189" s="151"/>
      <c r="G189" s="168"/>
      <c r="H189" s="167">
        <v>2958465</v>
      </c>
      <c r="I189" s="151"/>
      <c r="J189" s="151"/>
    </row>
    <row r="190" spans="1:10" x14ac:dyDescent="0.25">
      <c r="A190" s="147" t="s">
        <v>509</v>
      </c>
      <c r="B190" s="153" t="s">
        <v>740</v>
      </c>
      <c r="C190" s="149" t="s">
        <v>510</v>
      </c>
      <c r="D190" s="150">
        <v>28308719</v>
      </c>
      <c r="E190" s="121" t="s">
        <v>827</v>
      </c>
      <c r="F190" s="151"/>
      <c r="G190" s="169"/>
      <c r="H190" s="167">
        <v>2958465</v>
      </c>
      <c r="I190" s="151"/>
      <c r="J190" s="151"/>
    </row>
    <row r="191" spans="1:10" x14ac:dyDescent="0.25">
      <c r="A191" s="147" t="s">
        <v>691</v>
      </c>
      <c r="B191" s="149" t="s">
        <v>743</v>
      </c>
      <c r="C191" s="149" t="s">
        <v>692</v>
      </c>
      <c r="D191" s="150">
        <v>28168151</v>
      </c>
      <c r="E191" s="149" t="s">
        <v>828</v>
      </c>
      <c r="F191" s="151"/>
      <c r="G191" s="168">
        <v>0</v>
      </c>
      <c r="H191" s="167">
        <v>46039</v>
      </c>
      <c r="I191" s="151"/>
      <c r="J191" s="151"/>
    </row>
    <row r="192" spans="1:10" x14ac:dyDescent="0.25">
      <c r="A192" s="147" t="s">
        <v>24</v>
      </c>
      <c r="B192" s="149" t="s">
        <v>739</v>
      </c>
      <c r="C192" s="149" t="s">
        <v>25</v>
      </c>
      <c r="D192" s="150">
        <v>27861392</v>
      </c>
      <c r="E192" s="121" t="s">
        <v>829</v>
      </c>
      <c r="F192" s="151"/>
      <c r="G192" s="123"/>
      <c r="H192" s="170" t="s">
        <v>830</v>
      </c>
      <c r="I192" s="151"/>
      <c r="J192" s="151"/>
    </row>
    <row r="193" spans="1:10" x14ac:dyDescent="0.25">
      <c r="A193" s="147" t="s">
        <v>105</v>
      </c>
      <c r="B193" s="121" t="s">
        <v>749</v>
      </c>
      <c r="C193" s="149" t="s">
        <v>106</v>
      </c>
      <c r="D193" s="150">
        <v>27429741</v>
      </c>
      <c r="E193" s="121" t="s">
        <v>832</v>
      </c>
      <c r="F193" s="151"/>
      <c r="G193" s="168">
        <v>1</v>
      </c>
      <c r="H193" s="135">
        <v>2958465</v>
      </c>
      <c r="I193" s="151"/>
      <c r="J193" s="151"/>
    </row>
    <row r="194" spans="1:10" x14ac:dyDescent="0.25">
      <c r="A194" s="147" t="s">
        <v>174</v>
      </c>
      <c r="B194" s="148" t="s">
        <v>734</v>
      </c>
      <c r="C194" s="149" t="s">
        <v>175</v>
      </c>
      <c r="D194" s="150">
        <v>27421821</v>
      </c>
      <c r="E194" s="149" t="s">
        <v>833</v>
      </c>
      <c r="F194" s="151"/>
      <c r="G194" s="123"/>
      <c r="H194" s="152">
        <v>2958465</v>
      </c>
      <c r="I194" s="151"/>
      <c r="J194" s="151"/>
    </row>
    <row r="195" spans="1:10" x14ac:dyDescent="0.25">
      <c r="A195" s="147" t="s">
        <v>639</v>
      </c>
      <c r="B195" s="149" t="s">
        <v>739</v>
      </c>
      <c r="C195" s="149" t="s">
        <v>640</v>
      </c>
      <c r="D195" s="150">
        <v>27309941</v>
      </c>
      <c r="E195" s="121" t="s">
        <v>834</v>
      </c>
      <c r="F195" s="151"/>
      <c r="G195" s="168" t="s">
        <v>835</v>
      </c>
      <c r="H195" s="167">
        <v>46022</v>
      </c>
      <c r="I195" s="151"/>
      <c r="J195" s="151"/>
    </row>
    <row r="196" spans="1:10" x14ac:dyDescent="0.25">
      <c r="A196" s="147" t="s">
        <v>320</v>
      </c>
      <c r="B196" s="148" t="s">
        <v>734</v>
      </c>
      <c r="C196" s="149" t="s">
        <v>321</v>
      </c>
      <c r="D196" s="150">
        <v>27301800</v>
      </c>
      <c r="E196" s="121" t="s">
        <v>836</v>
      </c>
      <c r="F196" s="151"/>
      <c r="G196" s="123">
        <v>907500</v>
      </c>
      <c r="H196" s="167">
        <v>45967</v>
      </c>
      <c r="I196" s="151"/>
      <c r="J196" s="151"/>
    </row>
    <row r="197" spans="1:10" x14ac:dyDescent="0.25">
      <c r="A197" s="147" t="s">
        <v>674</v>
      </c>
      <c r="B197" s="149" t="s">
        <v>739</v>
      </c>
      <c r="C197" s="149" t="s">
        <v>675</v>
      </c>
      <c r="D197" s="150">
        <v>27295567</v>
      </c>
      <c r="E197" s="121" t="s">
        <v>837</v>
      </c>
      <c r="F197" s="151"/>
      <c r="G197" s="123"/>
      <c r="H197" s="152">
        <v>2958465</v>
      </c>
      <c r="I197" s="151"/>
      <c r="J197" s="151"/>
    </row>
    <row r="198" spans="1:10" x14ac:dyDescent="0.25">
      <c r="A198" s="147" t="s">
        <v>238</v>
      </c>
      <c r="B198" s="149" t="s">
        <v>739</v>
      </c>
      <c r="C198" s="149" t="s">
        <v>239</v>
      </c>
      <c r="D198" s="150">
        <v>27295567</v>
      </c>
      <c r="E198" s="121" t="s">
        <v>837</v>
      </c>
      <c r="F198" s="151"/>
      <c r="G198" s="123"/>
      <c r="H198" s="152">
        <v>2958465</v>
      </c>
      <c r="I198" s="151"/>
      <c r="J198" s="151"/>
    </row>
    <row r="199" spans="1:10" x14ac:dyDescent="0.25">
      <c r="A199" s="147" t="s">
        <v>428</v>
      </c>
      <c r="B199" s="149" t="s">
        <v>739</v>
      </c>
      <c r="C199" s="149" t="s">
        <v>429</v>
      </c>
      <c r="D199" s="150">
        <v>27256537</v>
      </c>
      <c r="E199" s="121" t="s">
        <v>838</v>
      </c>
      <c r="F199" s="151"/>
      <c r="G199" s="168"/>
      <c r="H199" s="135">
        <v>2958465</v>
      </c>
      <c r="I199" s="151"/>
      <c r="J199" s="151"/>
    </row>
    <row r="200" spans="1:10" x14ac:dyDescent="0.25">
      <c r="A200" s="147" t="s">
        <v>460</v>
      </c>
      <c r="B200" s="148" t="s">
        <v>740</v>
      </c>
      <c r="C200" s="149" t="s">
        <v>461</v>
      </c>
      <c r="D200" s="150">
        <v>27256537</v>
      </c>
      <c r="E200" s="121" t="s">
        <v>838</v>
      </c>
      <c r="F200" s="151"/>
      <c r="G200" s="168"/>
      <c r="H200" s="152">
        <v>2958465</v>
      </c>
      <c r="I200" s="151"/>
      <c r="J200" s="151"/>
    </row>
    <row r="201" spans="1:10" x14ac:dyDescent="0.25">
      <c r="A201" s="147" t="s">
        <v>472</v>
      </c>
      <c r="B201" s="148" t="s">
        <v>743</v>
      </c>
      <c r="C201" s="149" t="s">
        <v>473</v>
      </c>
      <c r="D201" s="150">
        <v>27256537</v>
      </c>
      <c r="E201" s="121" t="s">
        <v>838</v>
      </c>
      <c r="F201" s="151"/>
      <c r="G201" s="168">
        <v>0</v>
      </c>
      <c r="H201" s="135">
        <v>2958465</v>
      </c>
      <c r="I201" s="151"/>
      <c r="J201" s="151"/>
    </row>
    <row r="202" spans="1:10" x14ac:dyDescent="0.25">
      <c r="A202" s="147" t="s">
        <v>511</v>
      </c>
      <c r="B202" s="149" t="s">
        <v>739</v>
      </c>
      <c r="C202" s="149" t="s">
        <v>512</v>
      </c>
      <c r="D202" s="150">
        <v>27256537</v>
      </c>
      <c r="E202" s="121" t="s">
        <v>838</v>
      </c>
      <c r="F202" s="151"/>
      <c r="G202" s="168">
        <v>0</v>
      </c>
      <c r="H202" s="167">
        <v>2958465</v>
      </c>
      <c r="I202" s="151"/>
      <c r="J202" s="151"/>
    </row>
    <row r="203" spans="1:10" x14ac:dyDescent="0.25">
      <c r="A203" s="147" t="s">
        <v>701</v>
      </c>
      <c r="B203" s="148" t="s">
        <v>734</v>
      </c>
      <c r="C203" s="149" t="s">
        <v>702</v>
      </c>
      <c r="D203" s="150">
        <v>27256537</v>
      </c>
      <c r="E203" s="121" t="s">
        <v>838</v>
      </c>
      <c r="F203" s="151"/>
      <c r="G203" s="168">
        <v>0</v>
      </c>
      <c r="H203" s="167">
        <v>46089</v>
      </c>
      <c r="I203" s="151"/>
      <c r="J203" s="151"/>
    </row>
    <row r="204" spans="1:10" x14ac:dyDescent="0.25">
      <c r="A204" s="147" t="s">
        <v>61</v>
      </c>
      <c r="B204" s="148" t="s">
        <v>734</v>
      </c>
      <c r="C204" s="149" t="s">
        <v>55</v>
      </c>
      <c r="D204" s="150">
        <v>27256537</v>
      </c>
      <c r="E204" s="121" t="s">
        <v>838</v>
      </c>
      <c r="F204" s="151"/>
      <c r="G204" s="123"/>
      <c r="H204" s="135">
        <v>2958465</v>
      </c>
      <c r="I204" s="151"/>
      <c r="J204" s="151"/>
    </row>
    <row r="205" spans="1:10" x14ac:dyDescent="0.25">
      <c r="A205" s="147" t="s">
        <v>266</v>
      </c>
      <c r="B205" s="148" t="s">
        <v>739</v>
      </c>
      <c r="C205" s="149" t="s">
        <v>267</v>
      </c>
      <c r="D205" s="150">
        <v>27256537</v>
      </c>
      <c r="E205" s="121" t="s">
        <v>838</v>
      </c>
      <c r="F205" s="151"/>
      <c r="G205" s="123"/>
      <c r="H205" s="167">
        <v>46387</v>
      </c>
      <c r="I205" s="151"/>
      <c r="J205" s="151"/>
    </row>
    <row r="206" spans="1:10" x14ac:dyDescent="0.25">
      <c r="A206" s="147" t="s">
        <v>412</v>
      </c>
      <c r="B206" s="149" t="s">
        <v>739</v>
      </c>
      <c r="C206" s="149" t="s">
        <v>413</v>
      </c>
      <c r="D206" s="150">
        <v>27256456</v>
      </c>
      <c r="E206" s="121" t="s">
        <v>839</v>
      </c>
      <c r="F206" s="151"/>
      <c r="G206" s="168"/>
      <c r="H206" s="135">
        <v>2958465</v>
      </c>
      <c r="I206" s="151"/>
      <c r="J206" s="151"/>
    </row>
    <row r="207" spans="1:10" x14ac:dyDescent="0.25">
      <c r="A207" s="147" t="s">
        <v>519</v>
      </c>
      <c r="B207" s="148" t="s">
        <v>734</v>
      </c>
      <c r="C207" s="149" t="s">
        <v>520</v>
      </c>
      <c r="D207" s="150">
        <v>27256456</v>
      </c>
      <c r="E207" s="121" t="s">
        <v>839</v>
      </c>
      <c r="F207" s="151"/>
      <c r="G207" s="168"/>
      <c r="H207" s="152">
        <v>2958465</v>
      </c>
      <c r="I207" s="151"/>
      <c r="J207" s="151"/>
    </row>
    <row r="208" spans="1:10" x14ac:dyDescent="0.25">
      <c r="A208" s="147" t="s">
        <v>56</v>
      </c>
      <c r="B208" s="148" t="s">
        <v>734</v>
      </c>
      <c r="C208" s="149" t="s">
        <v>55</v>
      </c>
      <c r="D208" s="150">
        <v>27256456</v>
      </c>
      <c r="E208" s="121" t="s">
        <v>839</v>
      </c>
      <c r="F208" s="151"/>
      <c r="G208" s="123"/>
      <c r="H208" s="167">
        <v>2958465</v>
      </c>
      <c r="I208" s="151"/>
      <c r="J208" s="151"/>
    </row>
    <row r="209" spans="1:10" x14ac:dyDescent="0.25">
      <c r="A209" s="147" t="s">
        <v>670</v>
      </c>
      <c r="B209" s="153" t="s">
        <v>740</v>
      </c>
      <c r="C209" s="149" t="s">
        <v>671</v>
      </c>
      <c r="D209" s="150">
        <v>27256456</v>
      </c>
      <c r="E209" s="121" t="s">
        <v>839</v>
      </c>
      <c r="F209" s="151"/>
      <c r="G209" s="168"/>
      <c r="H209" s="167">
        <v>2958465</v>
      </c>
      <c r="I209" s="151"/>
      <c r="J209" s="151"/>
    </row>
    <row r="210" spans="1:10" x14ac:dyDescent="0.25">
      <c r="A210" s="147" t="s">
        <v>358</v>
      </c>
      <c r="B210" s="149" t="s">
        <v>739</v>
      </c>
      <c r="C210" s="149" t="s">
        <v>359</v>
      </c>
      <c r="D210" s="150">
        <v>27256456</v>
      </c>
      <c r="E210" s="121" t="s">
        <v>839</v>
      </c>
      <c r="F210" s="151"/>
      <c r="G210" s="123"/>
      <c r="H210" s="167">
        <v>2958465</v>
      </c>
      <c r="I210" s="151"/>
      <c r="J210" s="151"/>
    </row>
    <row r="211" spans="1:10" x14ac:dyDescent="0.25">
      <c r="A211" s="147" t="s">
        <v>360</v>
      </c>
      <c r="B211" s="148" t="s">
        <v>737</v>
      </c>
      <c r="C211" s="149" t="s">
        <v>361</v>
      </c>
      <c r="D211" s="150">
        <v>27256456</v>
      </c>
      <c r="E211" s="121" t="s">
        <v>839</v>
      </c>
      <c r="F211" s="151"/>
      <c r="G211" s="123"/>
      <c r="H211" s="167">
        <v>2958465</v>
      </c>
      <c r="I211" s="151"/>
      <c r="J211" s="151"/>
    </row>
    <row r="212" spans="1:10" x14ac:dyDescent="0.25">
      <c r="A212" s="147" t="s">
        <v>261</v>
      </c>
      <c r="B212" s="149" t="s">
        <v>739</v>
      </c>
      <c r="C212" s="149" t="s">
        <v>262</v>
      </c>
      <c r="D212" s="150">
        <v>27256456</v>
      </c>
      <c r="E212" s="121" t="s">
        <v>839</v>
      </c>
      <c r="F212" s="151"/>
      <c r="G212" s="123">
        <v>416030.4</v>
      </c>
      <c r="H212" s="167">
        <v>46142</v>
      </c>
      <c r="I212" s="151"/>
      <c r="J212" s="151"/>
    </row>
    <row r="213" spans="1:10" x14ac:dyDescent="0.25">
      <c r="A213" s="147" t="s">
        <v>109</v>
      </c>
      <c r="B213" s="149" t="s">
        <v>739</v>
      </c>
      <c r="C213" s="149" t="s">
        <v>110</v>
      </c>
      <c r="D213" s="150">
        <v>27256456</v>
      </c>
      <c r="E213" s="121" t="s">
        <v>839</v>
      </c>
      <c r="F213" s="151"/>
      <c r="G213" s="168" t="s">
        <v>840</v>
      </c>
      <c r="H213" s="167">
        <v>46082</v>
      </c>
      <c r="I213" s="151"/>
      <c r="J213" s="151"/>
    </row>
    <row r="214" spans="1:10" x14ac:dyDescent="0.25">
      <c r="A214" s="147" t="s">
        <v>127</v>
      </c>
      <c r="B214" s="148" t="s">
        <v>739</v>
      </c>
      <c r="C214" s="149" t="s">
        <v>128</v>
      </c>
      <c r="D214" s="150">
        <v>27256456</v>
      </c>
      <c r="E214" s="121" t="s">
        <v>839</v>
      </c>
      <c r="F214" s="151"/>
      <c r="G214" s="123">
        <v>1</v>
      </c>
      <c r="H214" s="167">
        <v>46306</v>
      </c>
      <c r="I214" s="151"/>
      <c r="J214" s="151"/>
    </row>
    <row r="215" spans="1:10" x14ac:dyDescent="0.25">
      <c r="A215" s="147" t="s">
        <v>129</v>
      </c>
      <c r="B215" s="148" t="s">
        <v>739</v>
      </c>
      <c r="C215" s="149" t="s">
        <v>130</v>
      </c>
      <c r="D215" s="150">
        <v>27256456</v>
      </c>
      <c r="E215" s="121" t="s">
        <v>839</v>
      </c>
      <c r="F215" s="151"/>
      <c r="G215" s="123">
        <v>1</v>
      </c>
      <c r="H215" s="167">
        <v>46306</v>
      </c>
      <c r="I215" s="151"/>
      <c r="J215" s="151"/>
    </row>
    <row r="216" spans="1:10" x14ac:dyDescent="0.25">
      <c r="A216" s="147" t="s">
        <v>309</v>
      </c>
      <c r="B216" s="149" t="s">
        <v>739</v>
      </c>
      <c r="C216" s="149" t="s">
        <v>310</v>
      </c>
      <c r="D216" s="150">
        <v>27256456</v>
      </c>
      <c r="E216" s="121" t="s">
        <v>839</v>
      </c>
      <c r="F216" s="151"/>
      <c r="G216" s="123">
        <v>111120.55</v>
      </c>
      <c r="H216" s="167">
        <v>2958465</v>
      </c>
      <c r="I216" s="151"/>
      <c r="J216" s="151"/>
    </row>
    <row r="217" spans="1:10" x14ac:dyDescent="0.25">
      <c r="A217" s="147" t="s">
        <v>338</v>
      </c>
      <c r="B217" s="149" t="s">
        <v>739</v>
      </c>
      <c r="C217" s="149" t="s">
        <v>339</v>
      </c>
      <c r="D217" s="150">
        <v>27256456</v>
      </c>
      <c r="E217" s="121" t="s">
        <v>839</v>
      </c>
      <c r="F217" s="151"/>
      <c r="G217" s="123">
        <v>2758975.56</v>
      </c>
      <c r="H217" s="167">
        <v>45990</v>
      </c>
      <c r="I217" s="151"/>
      <c r="J217" s="151"/>
    </row>
    <row r="218" spans="1:10" x14ac:dyDescent="0.25">
      <c r="A218" s="147" t="s">
        <v>86</v>
      </c>
      <c r="B218" s="148" t="s">
        <v>734</v>
      </c>
      <c r="C218" s="149" t="s">
        <v>85</v>
      </c>
      <c r="D218" s="150">
        <v>27256391</v>
      </c>
      <c r="E218" s="121" t="s">
        <v>841</v>
      </c>
      <c r="F218" s="151"/>
      <c r="G218" s="123"/>
      <c r="H218" s="152">
        <v>2958465</v>
      </c>
      <c r="I218" s="151"/>
      <c r="J218" s="151"/>
    </row>
    <row r="219" spans="1:10" x14ac:dyDescent="0.25">
      <c r="A219" s="147" t="s">
        <v>468</v>
      </c>
      <c r="B219" s="149" t="s">
        <v>739</v>
      </c>
      <c r="C219" s="149" t="s">
        <v>469</v>
      </c>
      <c r="D219" s="150">
        <v>27256391</v>
      </c>
      <c r="E219" s="121" t="s">
        <v>841</v>
      </c>
      <c r="F219" s="151"/>
      <c r="G219" s="168"/>
      <c r="H219" s="167">
        <v>2958465</v>
      </c>
      <c r="I219" s="151"/>
      <c r="J219" s="151"/>
    </row>
    <row r="220" spans="1:10" x14ac:dyDescent="0.25">
      <c r="A220" s="147" t="s">
        <v>503</v>
      </c>
      <c r="B220" s="149" t="s">
        <v>739</v>
      </c>
      <c r="C220" s="149" t="s">
        <v>504</v>
      </c>
      <c r="D220" s="150">
        <v>27256391</v>
      </c>
      <c r="E220" s="121" t="s">
        <v>841</v>
      </c>
      <c r="F220" s="151"/>
      <c r="G220" s="168" t="s">
        <v>842</v>
      </c>
      <c r="H220" s="167">
        <v>2958465</v>
      </c>
      <c r="I220" s="151"/>
      <c r="J220" s="151"/>
    </row>
    <row r="221" spans="1:10" x14ac:dyDescent="0.25">
      <c r="A221" s="147" t="s">
        <v>537</v>
      </c>
      <c r="B221" s="149" t="s">
        <v>739</v>
      </c>
      <c r="C221" s="149" t="s">
        <v>538</v>
      </c>
      <c r="D221" s="150">
        <v>27256391</v>
      </c>
      <c r="E221" s="121" t="s">
        <v>841</v>
      </c>
      <c r="F221" s="151"/>
      <c r="G221" s="168"/>
      <c r="H221" s="167">
        <v>2958465</v>
      </c>
      <c r="I221" s="151"/>
      <c r="J221" s="151"/>
    </row>
    <row r="222" spans="1:10" x14ac:dyDescent="0.25">
      <c r="A222" s="147" t="s">
        <v>58</v>
      </c>
      <c r="B222" s="148" t="s">
        <v>734</v>
      </c>
      <c r="C222" s="149" t="s">
        <v>55</v>
      </c>
      <c r="D222" s="150">
        <v>27256391</v>
      </c>
      <c r="E222" s="121" t="s">
        <v>841</v>
      </c>
      <c r="F222" s="151"/>
      <c r="G222" s="123"/>
      <c r="H222" s="167">
        <v>2958465</v>
      </c>
      <c r="I222" s="151"/>
      <c r="J222" s="151"/>
    </row>
    <row r="223" spans="1:10" x14ac:dyDescent="0.25">
      <c r="A223" s="147" t="s">
        <v>731</v>
      </c>
      <c r="B223" s="149" t="s">
        <v>739</v>
      </c>
      <c r="C223" s="149" t="s">
        <v>732</v>
      </c>
      <c r="D223" s="150">
        <v>27256391</v>
      </c>
      <c r="E223" s="121" t="s">
        <v>841</v>
      </c>
      <c r="F223" s="151"/>
      <c r="G223" s="168">
        <v>0</v>
      </c>
      <c r="H223" s="167">
        <v>47391</v>
      </c>
      <c r="I223" s="151"/>
      <c r="J223" s="151"/>
    </row>
    <row r="224" spans="1:10" x14ac:dyDescent="0.25">
      <c r="A224" s="147" t="s">
        <v>372</v>
      </c>
      <c r="B224" s="149" t="s">
        <v>739</v>
      </c>
      <c r="C224" s="149" t="s">
        <v>373</v>
      </c>
      <c r="D224" s="150">
        <v>27253236</v>
      </c>
      <c r="E224" s="121" t="s">
        <v>843</v>
      </c>
      <c r="F224" s="151"/>
      <c r="G224" s="168">
        <v>0</v>
      </c>
      <c r="H224" s="167">
        <v>2958465</v>
      </c>
      <c r="I224" s="151"/>
      <c r="J224" s="151"/>
    </row>
    <row r="225" spans="1:10" x14ac:dyDescent="0.25">
      <c r="A225" s="147" t="s">
        <v>450</v>
      </c>
      <c r="B225" s="149" t="s">
        <v>739</v>
      </c>
      <c r="C225" s="149" t="s">
        <v>451</v>
      </c>
      <c r="D225" s="150">
        <v>27253236</v>
      </c>
      <c r="E225" s="121" t="s">
        <v>843</v>
      </c>
      <c r="F225" s="151"/>
      <c r="G225" s="168">
        <v>0</v>
      </c>
      <c r="H225" s="167">
        <v>2958465</v>
      </c>
      <c r="I225" s="151"/>
      <c r="J225" s="151"/>
    </row>
    <row r="226" spans="1:10" x14ac:dyDescent="0.25">
      <c r="A226" s="147" t="s">
        <v>491</v>
      </c>
      <c r="B226" s="149" t="s">
        <v>739</v>
      </c>
      <c r="C226" s="149" t="s">
        <v>492</v>
      </c>
      <c r="D226" s="150">
        <v>27253236</v>
      </c>
      <c r="E226" s="121" t="s">
        <v>843</v>
      </c>
      <c r="F226" s="151"/>
      <c r="G226" s="168">
        <v>0</v>
      </c>
      <c r="H226" s="167">
        <v>2958465</v>
      </c>
      <c r="I226" s="151"/>
      <c r="J226" s="151"/>
    </row>
    <row r="227" spans="1:10" x14ac:dyDescent="0.25">
      <c r="A227" s="147" t="s">
        <v>304</v>
      </c>
      <c r="B227" s="149" t="s">
        <v>739</v>
      </c>
      <c r="C227" s="149" t="s">
        <v>253</v>
      </c>
      <c r="D227" s="150">
        <v>27253236</v>
      </c>
      <c r="E227" s="121" t="s">
        <v>843</v>
      </c>
      <c r="F227" s="151"/>
      <c r="G227" s="123"/>
      <c r="H227" s="167">
        <v>46022</v>
      </c>
      <c r="I227" s="151"/>
      <c r="J227" s="151"/>
    </row>
    <row r="228" spans="1:10" x14ac:dyDescent="0.25">
      <c r="A228" s="147" t="s">
        <v>95</v>
      </c>
      <c r="B228" s="149" t="s">
        <v>739</v>
      </c>
      <c r="C228" s="149" t="s">
        <v>96</v>
      </c>
      <c r="D228" s="150">
        <v>27253236</v>
      </c>
      <c r="E228" s="121" t="s">
        <v>843</v>
      </c>
      <c r="F228" s="151"/>
      <c r="G228" s="123">
        <v>1</v>
      </c>
      <c r="H228" s="167">
        <v>45968</v>
      </c>
      <c r="I228" s="151"/>
      <c r="J228" s="151"/>
    </row>
    <row r="229" spans="1:10" x14ac:dyDescent="0.25">
      <c r="A229" s="147" t="s">
        <v>226</v>
      </c>
      <c r="B229" s="153" t="s">
        <v>740</v>
      </c>
      <c r="C229" s="149" t="s">
        <v>227</v>
      </c>
      <c r="D229" s="150">
        <v>27237800</v>
      </c>
      <c r="E229" s="149" t="s">
        <v>844</v>
      </c>
      <c r="F229" s="151"/>
      <c r="G229" s="123">
        <v>48000</v>
      </c>
      <c r="H229" s="167">
        <v>2958465</v>
      </c>
      <c r="I229" s="151"/>
      <c r="J229" s="151"/>
    </row>
    <row r="230" spans="1:10" x14ac:dyDescent="0.25">
      <c r="A230" s="147" t="s">
        <v>229</v>
      </c>
      <c r="B230" s="149" t="s">
        <v>739</v>
      </c>
      <c r="C230" s="149" t="s">
        <v>230</v>
      </c>
      <c r="D230" s="150">
        <v>27232433</v>
      </c>
      <c r="E230" s="121" t="s">
        <v>846</v>
      </c>
      <c r="F230" s="151"/>
      <c r="G230" s="123"/>
      <c r="H230" s="167">
        <v>2958465</v>
      </c>
      <c r="I230" s="151"/>
      <c r="J230" s="151"/>
    </row>
    <row r="231" spans="1:10" x14ac:dyDescent="0.25">
      <c r="A231" s="147" t="s">
        <v>231</v>
      </c>
      <c r="B231" s="149" t="s">
        <v>739</v>
      </c>
      <c r="C231" s="149" t="s">
        <v>232</v>
      </c>
      <c r="D231" s="150">
        <v>27232433</v>
      </c>
      <c r="E231" s="121" t="s">
        <v>846</v>
      </c>
      <c r="F231" s="151"/>
      <c r="G231" s="123"/>
      <c r="H231" s="167">
        <v>2958465</v>
      </c>
      <c r="I231" s="151"/>
      <c r="J231" s="151"/>
    </row>
    <row r="232" spans="1:10" x14ac:dyDescent="0.25">
      <c r="A232" s="147" t="s">
        <v>157</v>
      </c>
      <c r="B232" s="149" t="s">
        <v>739</v>
      </c>
      <c r="C232" s="149" t="s">
        <v>158</v>
      </c>
      <c r="D232" s="150">
        <v>27174824</v>
      </c>
      <c r="E232" s="149" t="s">
        <v>848</v>
      </c>
      <c r="F232" s="151"/>
      <c r="G232" s="123">
        <v>41000</v>
      </c>
      <c r="H232" s="167">
        <v>2958465</v>
      </c>
      <c r="I232" s="151"/>
      <c r="J232" s="151"/>
    </row>
    <row r="233" spans="1:10" x14ac:dyDescent="0.25">
      <c r="A233" s="147" t="s">
        <v>641</v>
      </c>
      <c r="B233" s="149" t="s">
        <v>739</v>
      </c>
      <c r="C233" s="149" t="s">
        <v>642</v>
      </c>
      <c r="D233" s="150">
        <v>27161838</v>
      </c>
      <c r="E233" s="121" t="s">
        <v>850</v>
      </c>
      <c r="F233" s="151"/>
      <c r="G233" s="168"/>
      <c r="H233" s="170" t="s">
        <v>830</v>
      </c>
      <c r="I233" s="151"/>
      <c r="J233" s="151"/>
    </row>
    <row r="234" spans="1:10" x14ac:dyDescent="0.25">
      <c r="A234" s="147" t="s">
        <v>487</v>
      </c>
      <c r="B234" s="149" t="s">
        <v>739</v>
      </c>
      <c r="C234" s="149" t="s">
        <v>488</v>
      </c>
      <c r="D234" s="150">
        <v>27127010</v>
      </c>
      <c r="E234" s="121" t="s">
        <v>851</v>
      </c>
      <c r="F234" s="151"/>
      <c r="G234" s="168">
        <v>0</v>
      </c>
      <c r="H234" s="167">
        <v>46256</v>
      </c>
      <c r="I234" s="151"/>
      <c r="J234" s="151"/>
    </row>
    <row r="235" spans="1:10" x14ac:dyDescent="0.25">
      <c r="A235" s="147" t="s">
        <v>489</v>
      </c>
      <c r="B235" s="149" t="s">
        <v>739</v>
      </c>
      <c r="C235" s="149" t="s">
        <v>490</v>
      </c>
      <c r="D235" s="150">
        <v>27127010</v>
      </c>
      <c r="E235" s="121" t="s">
        <v>851</v>
      </c>
      <c r="F235" s="151"/>
      <c r="G235" s="168">
        <v>0</v>
      </c>
      <c r="H235" s="167">
        <v>46256</v>
      </c>
      <c r="I235" s="151"/>
      <c r="J235" s="151"/>
    </row>
    <row r="236" spans="1:10" x14ac:dyDescent="0.25">
      <c r="A236" s="147" t="s">
        <v>541</v>
      </c>
      <c r="B236" s="149" t="s">
        <v>737</v>
      </c>
      <c r="C236" s="149" t="s">
        <v>542</v>
      </c>
      <c r="D236" s="150">
        <v>27085031</v>
      </c>
      <c r="E236" s="121" t="s">
        <v>853</v>
      </c>
      <c r="F236" s="151"/>
      <c r="G236" s="123"/>
      <c r="H236" s="167">
        <v>2958465</v>
      </c>
      <c r="I236" s="151"/>
      <c r="J236" s="151"/>
    </row>
    <row r="237" spans="1:10" x14ac:dyDescent="0.25">
      <c r="A237" s="147" t="s">
        <v>54</v>
      </c>
      <c r="B237" s="148" t="s">
        <v>734</v>
      </c>
      <c r="C237" s="149" t="s">
        <v>55</v>
      </c>
      <c r="D237" s="150">
        <v>27085031</v>
      </c>
      <c r="E237" s="121" t="s">
        <v>853</v>
      </c>
      <c r="F237" s="151"/>
      <c r="G237" s="123"/>
      <c r="H237" s="167">
        <v>2958465</v>
      </c>
      <c r="I237" s="151"/>
      <c r="J237" s="151"/>
    </row>
    <row r="238" spans="1:10" x14ac:dyDescent="0.25">
      <c r="A238" s="147" t="s">
        <v>274</v>
      </c>
      <c r="B238" s="149" t="s">
        <v>737</v>
      </c>
      <c r="C238" s="149" t="s">
        <v>275</v>
      </c>
      <c r="D238" s="150">
        <v>27085031</v>
      </c>
      <c r="E238" s="127" t="s">
        <v>853</v>
      </c>
      <c r="F238" s="151"/>
      <c r="G238" s="123">
        <v>0</v>
      </c>
      <c r="H238" s="167">
        <v>46543</v>
      </c>
      <c r="I238" s="151"/>
      <c r="J238" s="151"/>
    </row>
    <row r="239" spans="1:10" x14ac:dyDescent="0.25">
      <c r="A239" s="147" t="s">
        <v>476</v>
      </c>
      <c r="B239" s="148" t="s">
        <v>739</v>
      </c>
      <c r="C239" s="149" t="s">
        <v>477</v>
      </c>
      <c r="D239" s="150">
        <v>27073467</v>
      </c>
      <c r="E239" s="121" t="s">
        <v>854</v>
      </c>
      <c r="F239" s="151"/>
      <c r="G239" s="168"/>
      <c r="H239" s="152">
        <v>2958465</v>
      </c>
      <c r="I239" s="151"/>
      <c r="J239" s="151"/>
    </row>
    <row r="240" spans="1:10" x14ac:dyDescent="0.25">
      <c r="A240" s="147" t="s">
        <v>565</v>
      </c>
      <c r="B240" s="148" t="s">
        <v>734</v>
      </c>
      <c r="C240" s="149" t="s">
        <v>566</v>
      </c>
      <c r="D240" s="150">
        <v>27006891</v>
      </c>
      <c r="E240" s="121" t="s">
        <v>855</v>
      </c>
      <c r="F240" s="151"/>
      <c r="G240" s="168">
        <v>0</v>
      </c>
      <c r="H240" s="167">
        <v>2958465</v>
      </c>
      <c r="I240" s="151"/>
      <c r="J240" s="151"/>
    </row>
    <row r="241" spans="1:10" x14ac:dyDescent="0.25">
      <c r="A241" s="147" t="s">
        <v>0</v>
      </c>
      <c r="B241" s="149" t="s">
        <v>739</v>
      </c>
      <c r="C241" s="149" t="s">
        <v>1</v>
      </c>
      <c r="D241" s="150">
        <v>26964542</v>
      </c>
      <c r="E241" s="121" t="s">
        <v>856</v>
      </c>
      <c r="F241" s="151"/>
      <c r="G241" s="123"/>
      <c r="H241" s="152">
        <v>2958465</v>
      </c>
      <c r="I241" s="151"/>
      <c r="J241" s="151"/>
    </row>
    <row r="242" spans="1:10" x14ac:dyDescent="0.25">
      <c r="A242" s="147" t="s">
        <v>50</v>
      </c>
      <c r="B242" s="149" t="s">
        <v>739</v>
      </c>
      <c r="C242" s="149" t="s">
        <v>51</v>
      </c>
      <c r="D242" s="150">
        <v>26725967</v>
      </c>
      <c r="E242" s="121" t="s">
        <v>858</v>
      </c>
      <c r="F242" s="151"/>
      <c r="G242" s="123"/>
      <c r="H242" s="167">
        <v>2958465</v>
      </c>
      <c r="I242" s="151"/>
      <c r="J242" s="151"/>
    </row>
    <row r="243" spans="1:10" x14ac:dyDescent="0.25">
      <c r="A243" s="147" t="s">
        <v>38</v>
      </c>
      <c r="B243" s="149" t="s">
        <v>739</v>
      </c>
      <c r="C243" s="149" t="s">
        <v>39</v>
      </c>
      <c r="D243" s="150">
        <v>26495015</v>
      </c>
      <c r="E243" s="121" t="s">
        <v>860</v>
      </c>
      <c r="F243" s="151"/>
      <c r="G243" s="168" t="s">
        <v>861</v>
      </c>
      <c r="H243" s="167">
        <v>47634</v>
      </c>
      <c r="I243" s="151"/>
      <c r="J243" s="151"/>
    </row>
    <row r="244" spans="1:10" x14ac:dyDescent="0.25">
      <c r="A244" s="147" t="s">
        <v>62</v>
      </c>
      <c r="B244" s="149" t="s">
        <v>739</v>
      </c>
      <c r="C244" s="149" t="s">
        <v>63</v>
      </c>
      <c r="D244" s="150">
        <v>26495015</v>
      </c>
      <c r="E244" s="121" t="s">
        <v>860</v>
      </c>
      <c r="F244" s="151"/>
      <c r="G244" s="123"/>
      <c r="H244" s="167">
        <v>46022</v>
      </c>
      <c r="I244" s="151"/>
      <c r="J244" s="151"/>
    </row>
    <row r="245" spans="1:10" x14ac:dyDescent="0.25">
      <c r="A245" s="147" t="s">
        <v>290</v>
      </c>
      <c r="B245" s="149" t="s">
        <v>737</v>
      </c>
      <c r="C245" s="171" t="s">
        <v>291</v>
      </c>
      <c r="D245" s="150">
        <v>26495015</v>
      </c>
      <c r="E245" s="172" t="s">
        <v>860</v>
      </c>
      <c r="F245" s="151"/>
      <c r="G245" s="123">
        <v>0</v>
      </c>
      <c r="H245" s="167">
        <v>46542</v>
      </c>
      <c r="I245" s="151"/>
      <c r="J245" s="151"/>
    </row>
    <row r="246" spans="1:10" x14ac:dyDescent="0.25">
      <c r="A246" s="147" t="s">
        <v>204</v>
      </c>
      <c r="B246" s="153" t="s">
        <v>740</v>
      </c>
      <c r="C246" s="149" t="s">
        <v>205</v>
      </c>
      <c r="D246" s="150">
        <v>26461129</v>
      </c>
      <c r="E246" s="149" t="s">
        <v>862</v>
      </c>
      <c r="F246" s="151"/>
      <c r="G246" s="123"/>
      <c r="H246" s="152">
        <v>2958465</v>
      </c>
      <c r="I246" s="151"/>
      <c r="J246" s="151"/>
    </row>
    <row r="247" spans="1:10" x14ac:dyDescent="0.25">
      <c r="A247" s="147" t="s">
        <v>282</v>
      </c>
      <c r="B247" s="153" t="s">
        <v>740</v>
      </c>
      <c r="C247" s="149" t="s">
        <v>283</v>
      </c>
      <c r="D247" s="150">
        <v>26439395</v>
      </c>
      <c r="E247" s="149" t="s">
        <v>863</v>
      </c>
      <c r="F247" s="151"/>
      <c r="G247" s="123">
        <v>119790</v>
      </c>
      <c r="H247" s="167">
        <v>2958465</v>
      </c>
      <c r="I247" s="151"/>
      <c r="J247" s="151"/>
    </row>
    <row r="248" spans="1:10" x14ac:dyDescent="0.25">
      <c r="A248" s="147" t="s">
        <v>93</v>
      </c>
      <c r="B248" s="153" t="s">
        <v>740</v>
      </c>
      <c r="C248" s="149" t="s">
        <v>94</v>
      </c>
      <c r="D248" s="150">
        <v>26439395</v>
      </c>
      <c r="E248" s="121" t="s">
        <v>863</v>
      </c>
      <c r="F248" s="151"/>
      <c r="G248" s="123"/>
      <c r="H248" s="167">
        <v>2958465</v>
      </c>
      <c r="I248" s="151"/>
      <c r="J248" s="151"/>
    </row>
    <row r="249" spans="1:10" x14ac:dyDescent="0.25">
      <c r="A249" s="147" t="s">
        <v>349</v>
      </c>
      <c r="B249" s="149" t="s">
        <v>739</v>
      </c>
      <c r="C249" s="149" t="s">
        <v>350</v>
      </c>
      <c r="D249" s="150">
        <v>26429683</v>
      </c>
      <c r="E249" s="149" t="s">
        <v>864</v>
      </c>
      <c r="F249" s="151"/>
      <c r="G249" s="123">
        <v>120000</v>
      </c>
      <c r="H249" s="167">
        <v>46022</v>
      </c>
      <c r="I249" s="151"/>
      <c r="J249" s="151"/>
    </row>
    <row r="250" spans="1:10" x14ac:dyDescent="0.25">
      <c r="A250" s="147" t="s">
        <v>549</v>
      </c>
      <c r="B250" s="153" t="s">
        <v>740</v>
      </c>
      <c r="C250" s="149" t="s">
        <v>550</v>
      </c>
      <c r="D250" s="150">
        <v>26429632</v>
      </c>
      <c r="E250" s="121" t="s">
        <v>865</v>
      </c>
      <c r="F250" s="151"/>
      <c r="G250" s="168"/>
      <c r="H250" s="167">
        <v>2958465</v>
      </c>
      <c r="I250" s="151"/>
      <c r="J250" s="151"/>
    </row>
    <row r="251" spans="1:10" x14ac:dyDescent="0.25">
      <c r="A251" s="147" t="s">
        <v>551</v>
      </c>
      <c r="B251" s="153" t="s">
        <v>740</v>
      </c>
      <c r="C251" s="149" t="s">
        <v>552</v>
      </c>
      <c r="D251" s="150">
        <v>26429632</v>
      </c>
      <c r="E251" s="121" t="s">
        <v>865</v>
      </c>
      <c r="F251" s="151"/>
      <c r="G251" s="169"/>
      <c r="H251" s="167">
        <v>2958465</v>
      </c>
      <c r="I251" s="151"/>
      <c r="J251" s="151"/>
    </row>
    <row r="252" spans="1:10" x14ac:dyDescent="0.25">
      <c r="A252" s="147" t="s">
        <v>553</v>
      </c>
      <c r="B252" s="153" t="s">
        <v>740</v>
      </c>
      <c r="C252" s="149" t="s">
        <v>554</v>
      </c>
      <c r="D252" s="150">
        <v>26429632</v>
      </c>
      <c r="E252" s="121" t="s">
        <v>865</v>
      </c>
      <c r="F252" s="151"/>
      <c r="G252" s="168"/>
      <c r="H252" s="167">
        <v>2958465</v>
      </c>
      <c r="I252" s="151"/>
      <c r="J252" s="151"/>
    </row>
    <row r="253" spans="1:10" x14ac:dyDescent="0.25">
      <c r="A253" s="147" t="s">
        <v>563</v>
      </c>
      <c r="B253" s="153" t="s">
        <v>740</v>
      </c>
      <c r="C253" s="149" t="s">
        <v>564</v>
      </c>
      <c r="D253" s="150">
        <v>26429632</v>
      </c>
      <c r="E253" s="121" t="s">
        <v>865</v>
      </c>
      <c r="F253" s="151"/>
      <c r="G253" s="169"/>
      <c r="H253" s="167">
        <v>2958465</v>
      </c>
      <c r="I253" s="151"/>
      <c r="J253" s="151"/>
    </row>
    <row r="254" spans="1:10" x14ac:dyDescent="0.25">
      <c r="A254" s="147" t="s">
        <v>382</v>
      </c>
      <c r="B254" s="153" t="s">
        <v>740</v>
      </c>
      <c r="C254" s="149" t="s">
        <v>383</v>
      </c>
      <c r="D254" s="150">
        <v>26226511</v>
      </c>
      <c r="E254" s="121" t="s">
        <v>866</v>
      </c>
      <c r="F254" s="151"/>
      <c r="G254" s="168">
        <v>0</v>
      </c>
      <c r="H254" s="170" t="s">
        <v>830</v>
      </c>
      <c r="I254" s="151"/>
      <c r="J254" s="151"/>
    </row>
    <row r="255" spans="1:10" x14ac:dyDescent="0.25">
      <c r="A255" s="147" t="s">
        <v>615</v>
      </c>
      <c r="B255" s="149" t="s">
        <v>739</v>
      </c>
      <c r="C255" s="149" t="s">
        <v>616</v>
      </c>
      <c r="D255" s="150">
        <v>26214059</v>
      </c>
      <c r="E255" s="149" t="s">
        <v>867</v>
      </c>
      <c r="F255" s="151"/>
      <c r="G255" s="168" t="s">
        <v>868</v>
      </c>
      <c r="H255" s="167">
        <v>46265</v>
      </c>
      <c r="I255" s="151"/>
      <c r="J255" s="151"/>
    </row>
    <row r="256" spans="1:10" x14ac:dyDescent="0.25">
      <c r="A256" s="147" t="s">
        <v>507</v>
      </c>
      <c r="B256" s="149" t="s">
        <v>739</v>
      </c>
      <c r="C256" s="149" t="s">
        <v>508</v>
      </c>
      <c r="D256" s="150">
        <v>26196620</v>
      </c>
      <c r="E256" s="121" t="s">
        <v>869</v>
      </c>
      <c r="F256" s="151"/>
      <c r="G256" s="168"/>
      <c r="H256" s="167">
        <v>2958465</v>
      </c>
      <c r="I256" s="151"/>
      <c r="J256" s="151"/>
    </row>
    <row r="257" spans="1:10" x14ac:dyDescent="0.25">
      <c r="A257" s="147" t="s">
        <v>571</v>
      </c>
      <c r="B257" s="149" t="s">
        <v>739</v>
      </c>
      <c r="C257" s="149" t="s">
        <v>572</v>
      </c>
      <c r="D257" s="150">
        <v>26196620</v>
      </c>
      <c r="E257" s="121" t="s">
        <v>869</v>
      </c>
      <c r="F257" s="151"/>
      <c r="G257" s="168"/>
      <c r="H257" s="167">
        <v>2958465</v>
      </c>
      <c r="I257" s="151"/>
      <c r="J257" s="151"/>
    </row>
    <row r="258" spans="1:10" x14ac:dyDescent="0.25">
      <c r="A258" s="147" t="s">
        <v>446</v>
      </c>
      <c r="B258" s="149" t="s">
        <v>739</v>
      </c>
      <c r="C258" s="149" t="s">
        <v>447</v>
      </c>
      <c r="D258" s="150">
        <v>25920989</v>
      </c>
      <c r="E258" s="121" t="s">
        <v>871</v>
      </c>
      <c r="F258" s="151"/>
      <c r="G258" s="123">
        <v>0</v>
      </c>
      <c r="H258" s="152"/>
      <c r="I258" s="151"/>
      <c r="J258" s="151"/>
    </row>
    <row r="259" spans="1:10" x14ac:dyDescent="0.25">
      <c r="A259" s="147" t="s">
        <v>635</v>
      </c>
      <c r="B259" s="149" t="s">
        <v>739</v>
      </c>
      <c r="C259" s="149" t="s">
        <v>636</v>
      </c>
      <c r="D259" s="150">
        <v>25920898</v>
      </c>
      <c r="E259" s="121" t="s">
        <v>872</v>
      </c>
      <c r="F259" s="151"/>
      <c r="G259" s="123">
        <v>0</v>
      </c>
      <c r="H259" s="152">
        <v>43465</v>
      </c>
      <c r="I259" s="151"/>
      <c r="J259" s="151"/>
    </row>
    <row r="260" spans="1:10" x14ac:dyDescent="0.25">
      <c r="A260" s="147" t="s">
        <v>497</v>
      </c>
      <c r="B260" s="149" t="s">
        <v>739</v>
      </c>
      <c r="C260" s="149" t="s">
        <v>498</v>
      </c>
      <c r="D260" s="150">
        <v>25788001</v>
      </c>
      <c r="E260" s="121" t="s">
        <v>873</v>
      </c>
      <c r="F260" s="151"/>
      <c r="G260" s="123">
        <v>0</v>
      </c>
      <c r="H260" s="152">
        <v>2958465</v>
      </c>
      <c r="I260" s="151"/>
      <c r="J260" s="151"/>
    </row>
    <row r="261" spans="1:10" x14ac:dyDescent="0.25">
      <c r="A261" s="147" t="s">
        <v>501</v>
      </c>
      <c r="B261" s="149" t="s">
        <v>739</v>
      </c>
      <c r="C261" s="149" t="s">
        <v>502</v>
      </c>
      <c r="D261" s="150">
        <v>25788001</v>
      </c>
      <c r="E261" s="121" t="s">
        <v>873</v>
      </c>
      <c r="F261" s="151"/>
      <c r="G261" s="123">
        <v>0</v>
      </c>
      <c r="H261" s="152">
        <v>2958465</v>
      </c>
      <c r="I261" s="151"/>
      <c r="J261" s="151"/>
    </row>
    <row r="262" spans="1:10" x14ac:dyDescent="0.25">
      <c r="A262" s="147" t="s">
        <v>515</v>
      </c>
      <c r="B262" s="149" t="s">
        <v>739</v>
      </c>
      <c r="C262" s="149" t="s">
        <v>516</v>
      </c>
      <c r="D262" s="150">
        <v>25788001</v>
      </c>
      <c r="E262" s="121" t="s">
        <v>873</v>
      </c>
      <c r="F262" s="151"/>
      <c r="G262" s="123">
        <v>0</v>
      </c>
      <c r="H262" s="152">
        <v>2958465</v>
      </c>
      <c r="I262" s="151"/>
      <c r="J262" s="151"/>
    </row>
    <row r="263" spans="1:10" x14ac:dyDescent="0.25">
      <c r="A263" s="147" t="s">
        <v>408</v>
      </c>
      <c r="B263" s="153" t="s">
        <v>740</v>
      </c>
      <c r="C263" s="149" t="s">
        <v>409</v>
      </c>
      <c r="D263" s="150">
        <v>25733621</v>
      </c>
      <c r="E263" s="121" t="s">
        <v>874</v>
      </c>
      <c r="F263" s="151"/>
      <c r="G263" s="123">
        <v>0</v>
      </c>
      <c r="H263" s="152">
        <v>2958465</v>
      </c>
      <c r="I263" s="151"/>
      <c r="J263" s="151"/>
    </row>
    <row r="264" spans="1:10" x14ac:dyDescent="0.25">
      <c r="A264" s="147" t="s">
        <v>327</v>
      </c>
      <c r="B264" s="148" t="s">
        <v>734</v>
      </c>
      <c r="C264" s="149" t="s">
        <v>328</v>
      </c>
      <c r="D264" s="150">
        <v>25594681</v>
      </c>
      <c r="E264" s="149" t="s">
        <v>876</v>
      </c>
      <c r="F264" s="151"/>
      <c r="G264" s="123">
        <v>517396</v>
      </c>
      <c r="H264" s="167">
        <v>45291</v>
      </c>
      <c r="I264" s="151"/>
      <c r="J264" s="151"/>
    </row>
    <row r="265" spans="1:10" x14ac:dyDescent="0.25">
      <c r="A265" s="147" t="s">
        <v>386</v>
      </c>
      <c r="B265" s="153" t="s">
        <v>740</v>
      </c>
      <c r="C265" s="149" t="s">
        <v>387</v>
      </c>
      <c r="D265" s="150">
        <v>25335651</v>
      </c>
      <c r="E265" s="121" t="s">
        <v>879</v>
      </c>
      <c r="F265" s="151"/>
      <c r="G265" s="168"/>
      <c r="H265" s="167">
        <v>2958465</v>
      </c>
      <c r="I265" s="151"/>
      <c r="J265" s="151"/>
    </row>
    <row r="266" spans="1:10" x14ac:dyDescent="0.25">
      <c r="A266" s="147" t="s">
        <v>316</v>
      </c>
      <c r="B266" s="149" t="s">
        <v>737</v>
      </c>
      <c r="C266" s="149" t="s">
        <v>317</v>
      </c>
      <c r="D266" s="150">
        <v>25277961</v>
      </c>
      <c r="E266" s="121" t="s">
        <v>880</v>
      </c>
      <c r="F266" s="151"/>
      <c r="G266" s="123">
        <v>2305000</v>
      </c>
      <c r="H266" s="152">
        <v>45786</v>
      </c>
      <c r="I266" s="151"/>
      <c r="J266" s="151"/>
    </row>
    <row r="267" spans="1:10" x14ac:dyDescent="0.25">
      <c r="A267" s="147" t="s">
        <v>567</v>
      </c>
      <c r="B267" s="121" t="s">
        <v>759</v>
      </c>
      <c r="C267" s="149" t="s">
        <v>568</v>
      </c>
      <c r="D267" s="150">
        <v>25194798</v>
      </c>
      <c r="E267" s="121" t="s">
        <v>881</v>
      </c>
      <c r="F267" s="151"/>
      <c r="G267" s="168">
        <v>0</v>
      </c>
      <c r="H267" s="167">
        <v>2958465</v>
      </c>
      <c r="I267" s="151"/>
      <c r="J267" s="151"/>
    </row>
    <row r="268" spans="1:10" x14ac:dyDescent="0.25">
      <c r="A268" s="147" t="s">
        <v>141</v>
      </c>
      <c r="B268" s="149" t="s">
        <v>739</v>
      </c>
      <c r="C268" s="149" t="s">
        <v>142</v>
      </c>
      <c r="D268" s="150">
        <v>25148117</v>
      </c>
      <c r="E268" s="149" t="s">
        <v>883</v>
      </c>
      <c r="F268" s="151"/>
      <c r="G268" s="123">
        <v>22828</v>
      </c>
      <c r="H268" s="167">
        <v>2958465</v>
      </c>
      <c r="I268" s="151"/>
      <c r="J268" s="151"/>
    </row>
    <row r="269" spans="1:10" x14ac:dyDescent="0.25">
      <c r="A269" s="155" t="s">
        <v>462</v>
      </c>
      <c r="B269" s="148" t="s">
        <v>734</v>
      </c>
      <c r="C269" s="157" t="s">
        <v>463</v>
      </c>
      <c r="D269" s="158">
        <v>25115049</v>
      </c>
      <c r="E269" s="156" t="s">
        <v>884</v>
      </c>
      <c r="F269" s="151"/>
      <c r="G269" s="168"/>
      <c r="H269" s="152"/>
      <c r="I269" s="151"/>
      <c r="J269" s="151"/>
    </row>
    <row r="270" spans="1:10" x14ac:dyDescent="0.25">
      <c r="A270" s="147" t="s">
        <v>325</v>
      </c>
      <c r="B270" s="148" t="s">
        <v>734</v>
      </c>
      <c r="C270" s="149" t="s">
        <v>326</v>
      </c>
      <c r="D270" s="150">
        <v>25099019</v>
      </c>
      <c r="E270" s="149" t="s">
        <v>885</v>
      </c>
      <c r="F270" s="151"/>
      <c r="G270" s="123">
        <v>2225843.4</v>
      </c>
      <c r="H270" s="152">
        <v>45969</v>
      </c>
      <c r="I270" s="151"/>
      <c r="J270" s="151"/>
    </row>
    <row r="271" spans="1:10" x14ac:dyDescent="0.25">
      <c r="A271" s="147" t="s">
        <v>196</v>
      </c>
      <c r="B271" s="148" t="s">
        <v>739</v>
      </c>
      <c r="C271" s="149" t="s">
        <v>197</v>
      </c>
      <c r="D271" s="150">
        <v>25085221</v>
      </c>
      <c r="E271" s="149" t="s">
        <v>886</v>
      </c>
      <c r="F271" s="151"/>
      <c r="G271" s="123">
        <v>80000</v>
      </c>
      <c r="H271" s="152">
        <v>2958465</v>
      </c>
      <c r="I271" s="151"/>
      <c r="J271" s="151"/>
    </row>
    <row r="272" spans="1:10" x14ac:dyDescent="0.25">
      <c r="A272" s="147" t="s">
        <v>456</v>
      </c>
      <c r="B272" s="148" t="s">
        <v>739</v>
      </c>
      <c r="C272" s="149" t="s">
        <v>457</v>
      </c>
      <c r="D272" s="150">
        <v>25085000</v>
      </c>
      <c r="E272" s="121" t="s">
        <v>887</v>
      </c>
      <c r="F272" s="151"/>
      <c r="G272" s="123"/>
      <c r="H272" s="152">
        <v>2958465</v>
      </c>
      <c r="I272" s="151"/>
      <c r="J272" s="151"/>
    </row>
    <row r="273" spans="1:10" x14ac:dyDescent="0.25">
      <c r="A273" s="147" t="s">
        <v>340</v>
      </c>
      <c r="B273" s="153" t="s">
        <v>740</v>
      </c>
      <c r="C273" s="149" t="s">
        <v>341</v>
      </c>
      <c r="D273" s="150">
        <v>24808741</v>
      </c>
      <c r="E273" s="149" t="s">
        <v>889</v>
      </c>
      <c r="F273" s="151"/>
      <c r="G273" s="123"/>
      <c r="H273" s="167">
        <v>2958465</v>
      </c>
      <c r="I273" s="151"/>
      <c r="J273" s="151"/>
    </row>
    <row r="274" spans="1:10" x14ac:dyDescent="0.25">
      <c r="A274" s="147" t="s">
        <v>342</v>
      </c>
      <c r="B274" s="153" t="s">
        <v>740</v>
      </c>
      <c r="C274" s="149" t="s">
        <v>343</v>
      </c>
      <c r="D274" s="150">
        <v>24808741</v>
      </c>
      <c r="E274" s="149" t="s">
        <v>889</v>
      </c>
      <c r="F274" s="151"/>
      <c r="G274" s="123"/>
      <c r="H274" s="167">
        <v>2958465</v>
      </c>
      <c r="I274" s="151"/>
      <c r="J274" s="151"/>
    </row>
    <row r="275" spans="1:10" x14ac:dyDescent="0.25">
      <c r="A275" s="155" t="s">
        <v>523</v>
      </c>
      <c r="B275" s="121" t="s">
        <v>759</v>
      </c>
      <c r="C275" s="157" t="s">
        <v>524</v>
      </c>
      <c r="D275" s="158">
        <v>24745391</v>
      </c>
      <c r="E275" s="156" t="s">
        <v>891</v>
      </c>
      <c r="F275" s="151"/>
      <c r="G275" s="123"/>
      <c r="H275" s="152">
        <v>2958465</v>
      </c>
      <c r="I275" s="151"/>
      <c r="J275" s="151"/>
    </row>
    <row r="276" spans="1:10" x14ac:dyDescent="0.25">
      <c r="A276" s="147" t="s">
        <v>59</v>
      </c>
      <c r="B276" s="121" t="s">
        <v>759</v>
      </c>
      <c r="C276" s="149" t="s">
        <v>60</v>
      </c>
      <c r="D276" s="150">
        <v>24745391</v>
      </c>
      <c r="E276" s="121" t="s">
        <v>891</v>
      </c>
      <c r="F276" s="151"/>
      <c r="G276" s="123"/>
      <c r="H276" s="152">
        <v>2958465</v>
      </c>
      <c r="I276" s="151"/>
      <c r="J276" s="151"/>
    </row>
    <row r="277" spans="1:10" x14ac:dyDescent="0.25">
      <c r="A277" s="147" t="s">
        <v>40</v>
      </c>
      <c r="B277" s="121" t="s">
        <v>739</v>
      </c>
      <c r="C277" s="149" t="s">
        <v>41</v>
      </c>
      <c r="D277" s="150">
        <v>24745391</v>
      </c>
      <c r="E277" s="121" t="s">
        <v>891</v>
      </c>
      <c r="F277" s="151"/>
      <c r="G277" s="123">
        <v>500000</v>
      </c>
      <c r="H277" s="152">
        <v>2958465</v>
      </c>
      <c r="I277" s="151"/>
      <c r="J277" s="151"/>
    </row>
    <row r="278" spans="1:10" x14ac:dyDescent="0.25">
      <c r="A278" s="147" t="s">
        <v>254</v>
      </c>
      <c r="B278" s="121" t="s">
        <v>749</v>
      </c>
      <c r="C278" s="149" t="s">
        <v>255</v>
      </c>
      <c r="D278" s="150">
        <v>24744808</v>
      </c>
      <c r="E278" s="149" t="s">
        <v>892</v>
      </c>
      <c r="F278" s="151"/>
      <c r="G278" s="123">
        <v>598950</v>
      </c>
      <c r="H278" s="152">
        <v>46038</v>
      </c>
      <c r="I278" s="151"/>
      <c r="J278" s="151"/>
    </row>
    <row r="279" spans="1:10" x14ac:dyDescent="0.25">
      <c r="A279" s="147" t="s">
        <v>398</v>
      </c>
      <c r="B279" s="149" t="s">
        <v>739</v>
      </c>
      <c r="C279" s="149" t="s">
        <v>399</v>
      </c>
      <c r="D279" s="150">
        <v>24738875</v>
      </c>
      <c r="E279" s="121" t="s">
        <v>893</v>
      </c>
      <c r="F279" s="151"/>
      <c r="G279" s="123"/>
      <c r="H279" s="152">
        <v>2958465</v>
      </c>
      <c r="I279" s="151"/>
      <c r="J279" s="151"/>
    </row>
    <row r="280" spans="1:10" x14ac:dyDescent="0.25">
      <c r="A280" s="147" t="s">
        <v>402</v>
      </c>
      <c r="B280" s="149" t="s">
        <v>739</v>
      </c>
      <c r="C280" s="149" t="s">
        <v>403</v>
      </c>
      <c r="D280" s="150">
        <v>24738875</v>
      </c>
      <c r="E280" s="121" t="s">
        <v>893</v>
      </c>
      <c r="F280" s="151"/>
      <c r="G280" s="123"/>
      <c r="H280" s="152">
        <v>2958465</v>
      </c>
      <c r="I280" s="151"/>
      <c r="J280" s="151"/>
    </row>
    <row r="281" spans="1:10" x14ac:dyDescent="0.25">
      <c r="A281" s="147" t="s">
        <v>404</v>
      </c>
      <c r="B281" s="149" t="s">
        <v>739</v>
      </c>
      <c r="C281" s="149" t="s">
        <v>405</v>
      </c>
      <c r="D281" s="150">
        <v>24738875</v>
      </c>
      <c r="E281" s="121" t="s">
        <v>893</v>
      </c>
      <c r="F281" s="151"/>
      <c r="G281" s="123"/>
      <c r="H281" s="152">
        <v>2958465</v>
      </c>
      <c r="I281" s="151"/>
      <c r="J281" s="151"/>
    </row>
    <row r="282" spans="1:10" x14ac:dyDescent="0.25">
      <c r="A282" s="147" t="s">
        <v>499</v>
      </c>
      <c r="B282" s="149" t="s">
        <v>739</v>
      </c>
      <c r="C282" s="149" t="s">
        <v>500</v>
      </c>
      <c r="D282" s="150">
        <v>24738875</v>
      </c>
      <c r="E282" s="121" t="s">
        <v>893</v>
      </c>
      <c r="F282" s="151"/>
      <c r="G282" s="123"/>
      <c r="H282" s="152">
        <v>46022</v>
      </c>
      <c r="I282" s="151"/>
      <c r="J282" s="151"/>
    </row>
    <row r="283" spans="1:10" x14ac:dyDescent="0.25">
      <c r="A283" s="147" t="s">
        <v>76</v>
      </c>
      <c r="B283" s="149" t="s">
        <v>739</v>
      </c>
      <c r="C283" s="149" t="s">
        <v>77</v>
      </c>
      <c r="D283" s="150">
        <v>24729035</v>
      </c>
      <c r="E283" s="121" t="s">
        <v>894</v>
      </c>
      <c r="F283" s="151"/>
      <c r="G283" s="123"/>
      <c r="H283" s="152">
        <v>2958465</v>
      </c>
      <c r="I283" s="151"/>
      <c r="J283" s="151"/>
    </row>
    <row r="284" spans="1:10" x14ac:dyDescent="0.25">
      <c r="A284" s="147" t="s">
        <v>151</v>
      </c>
      <c r="B284" s="149" t="s">
        <v>739</v>
      </c>
      <c r="C284" s="149" t="s">
        <v>152</v>
      </c>
      <c r="D284" s="150">
        <v>24729035</v>
      </c>
      <c r="E284" s="121" t="s">
        <v>894</v>
      </c>
      <c r="F284" s="151"/>
      <c r="G284" s="123"/>
      <c r="H284" s="152">
        <v>2958465</v>
      </c>
      <c r="I284" s="151"/>
      <c r="J284" s="151"/>
    </row>
    <row r="285" spans="1:10" x14ac:dyDescent="0.25">
      <c r="A285" s="147" t="s">
        <v>305</v>
      </c>
      <c r="B285" s="149" t="s">
        <v>737</v>
      </c>
      <c r="C285" s="149" t="s">
        <v>306</v>
      </c>
      <c r="D285" s="150">
        <v>24290386</v>
      </c>
      <c r="E285" s="149" t="s">
        <v>896</v>
      </c>
      <c r="F285" s="151"/>
      <c r="G285" s="123">
        <v>0</v>
      </c>
      <c r="H285" s="152">
        <v>46599</v>
      </c>
      <c r="I285" s="151"/>
      <c r="J285" s="151"/>
    </row>
    <row r="286" spans="1:10" x14ac:dyDescent="0.25">
      <c r="A286" s="147" t="s">
        <v>16</v>
      </c>
      <c r="B286" s="153" t="s">
        <v>740</v>
      </c>
      <c r="C286" s="149" t="s">
        <v>17</v>
      </c>
      <c r="D286" s="150">
        <v>24288705</v>
      </c>
      <c r="E286" s="121" t="s">
        <v>898</v>
      </c>
      <c r="F286" s="151"/>
      <c r="G286" s="123"/>
      <c r="H286" s="152">
        <v>2958465</v>
      </c>
      <c r="I286" s="151"/>
      <c r="J286" s="151"/>
    </row>
    <row r="287" spans="1:10" x14ac:dyDescent="0.25">
      <c r="A287" s="147" t="s">
        <v>653</v>
      </c>
      <c r="B287" s="153" t="s">
        <v>740</v>
      </c>
      <c r="C287" s="149" t="s">
        <v>654</v>
      </c>
      <c r="D287" s="150">
        <v>24288705</v>
      </c>
      <c r="E287" s="121" t="s">
        <v>898</v>
      </c>
      <c r="F287" s="151"/>
      <c r="G287" s="123">
        <v>299</v>
      </c>
      <c r="H287" s="152">
        <v>2958465</v>
      </c>
      <c r="I287" s="151"/>
      <c r="J287" s="151"/>
    </row>
    <row r="288" spans="1:10" x14ac:dyDescent="0.25">
      <c r="A288" s="147" t="s">
        <v>99</v>
      </c>
      <c r="B288" s="153" t="s">
        <v>740</v>
      </c>
      <c r="C288" s="149" t="s">
        <v>100</v>
      </c>
      <c r="D288" s="150">
        <v>24288705</v>
      </c>
      <c r="E288" s="121" t="s">
        <v>898</v>
      </c>
      <c r="F288" s="151"/>
      <c r="G288" s="123"/>
      <c r="H288" s="152">
        <v>2958465</v>
      </c>
      <c r="I288" s="151"/>
      <c r="J288" s="151"/>
    </row>
    <row r="289" spans="1:10" x14ac:dyDescent="0.25">
      <c r="A289" s="147" t="s">
        <v>332</v>
      </c>
      <c r="B289" s="153" t="s">
        <v>740</v>
      </c>
      <c r="C289" s="149" t="s">
        <v>333</v>
      </c>
      <c r="D289" s="150">
        <v>24210951</v>
      </c>
      <c r="E289" s="149" t="s">
        <v>899</v>
      </c>
      <c r="F289" s="151"/>
      <c r="G289" s="123"/>
      <c r="H289" s="152">
        <v>2958465</v>
      </c>
      <c r="I289" s="151"/>
      <c r="J289" s="151"/>
    </row>
    <row r="290" spans="1:10" x14ac:dyDescent="0.25">
      <c r="A290" s="147" t="s">
        <v>32</v>
      </c>
      <c r="B290" s="149" t="s">
        <v>739</v>
      </c>
      <c r="C290" s="149" t="s">
        <v>33</v>
      </c>
      <c r="D290" s="150">
        <v>24194204</v>
      </c>
      <c r="E290" s="121" t="s">
        <v>901</v>
      </c>
      <c r="F290" s="151"/>
      <c r="G290" s="123">
        <v>0</v>
      </c>
      <c r="H290" s="152">
        <v>46226</v>
      </c>
      <c r="I290" s="151"/>
      <c r="J290" s="151"/>
    </row>
    <row r="291" spans="1:10" x14ac:dyDescent="0.25">
      <c r="A291" s="147" t="s">
        <v>176</v>
      </c>
      <c r="B291" s="149" t="s">
        <v>739</v>
      </c>
      <c r="C291" s="149" t="s">
        <v>177</v>
      </c>
      <c r="D291" s="150">
        <v>24174319</v>
      </c>
      <c r="E291" s="121" t="s">
        <v>902</v>
      </c>
      <c r="F291" s="151"/>
      <c r="G291" s="123">
        <v>300</v>
      </c>
      <c r="H291" s="152">
        <v>45716</v>
      </c>
      <c r="I291" s="151"/>
      <c r="J291" s="151"/>
    </row>
    <row r="292" spans="1:10" x14ac:dyDescent="0.25">
      <c r="A292" s="147" t="s">
        <v>210</v>
      </c>
      <c r="B292" s="148" t="s">
        <v>739</v>
      </c>
      <c r="C292" s="149" t="s">
        <v>211</v>
      </c>
      <c r="D292" s="150">
        <v>19012161</v>
      </c>
      <c r="E292" s="149" t="s">
        <v>904</v>
      </c>
      <c r="F292" s="151"/>
      <c r="G292" s="123" t="s">
        <v>1460</v>
      </c>
      <c r="H292" s="152">
        <v>2958465</v>
      </c>
      <c r="I292" s="151"/>
      <c r="J292" s="151"/>
    </row>
    <row r="293" spans="1:10" x14ac:dyDescent="0.25">
      <c r="A293" s="147" t="s">
        <v>66</v>
      </c>
      <c r="B293" s="149" t="s">
        <v>739</v>
      </c>
      <c r="C293" s="149" t="s">
        <v>67</v>
      </c>
      <c r="D293" s="150">
        <v>16977424</v>
      </c>
      <c r="E293" s="121" t="s">
        <v>905</v>
      </c>
      <c r="F293" s="151"/>
      <c r="G293" s="123"/>
      <c r="H293" s="152">
        <v>46326</v>
      </c>
      <c r="I293" s="151"/>
      <c r="J293" s="151"/>
    </row>
    <row r="294" spans="1:10" x14ac:dyDescent="0.25">
      <c r="A294" s="147" t="s">
        <v>495</v>
      </c>
      <c r="B294" s="149" t="s">
        <v>739</v>
      </c>
      <c r="C294" s="149" t="s">
        <v>496</v>
      </c>
      <c r="D294" s="150">
        <v>16949218</v>
      </c>
      <c r="E294" s="121" t="s">
        <v>906</v>
      </c>
      <c r="F294" s="151"/>
      <c r="G294" s="123"/>
      <c r="H294" s="152">
        <v>2958465</v>
      </c>
      <c r="I294" s="151"/>
      <c r="J294" s="151"/>
    </row>
    <row r="295" spans="1:10" x14ac:dyDescent="0.25">
      <c r="A295" s="147" t="s">
        <v>234</v>
      </c>
      <c r="B295" s="153" t="s">
        <v>740</v>
      </c>
      <c r="C295" s="149" t="s">
        <v>235</v>
      </c>
      <c r="D295" s="150">
        <v>13583531</v>
      </c>
      <c r="E295" s="149" t="s">
        <v>907</v>
      </c>
      <c r="F295" s="151"/>
      <c r="G295" s="123">
        <v>338800</v>
      </c>
      <c r="H295" s="152">
        <v>2958465</v>
      </c>
      <c r="I295" s="151"/>
      <c r="J295" s="151"/>
    </row>
    <row r="296" spans="1:10" x14ac:dyDescent="0.25">
      <c r="A296" s="147" t="s">
        <v>70</v>
      </c>
      <c r="B296" s="149" t="s">
        <v>739</v>
      </c>
      <c r="C296" s="149" t="s">
        <v>71</v>
      </c>
      <c r="D296" s="150">
        <v>13215442</v>
      </c>
      <c r="E296" s="121" t="s">
        <v>908</v>
      </c>
      <c r="F296" s="151"/>
      <c r="G296" s="123"/>
      <c r="H296" s="152">
        <v>2958465</v>
      </c>
      <c r="I296" s="151"/>
      <c r="J296" s="151"/>
    </row>
    <row r="297" spans="1:10" x14ac:dyDescent="0.25">
      <c r="A297" s="147" t="s">
        <v>374</v>
      </c>
      <c r="B297" s="149" t="s">
        <v>739</v>
      </c>
      <c r="C297" s="149" t="s">
        <v>375</v>
      </c>
      <c r="D297" s="150">
        <v>12257044</v>
      </c>
      <c r="E297" s="121" t="s">
        <v>909</v>
      </c>
      <c r="F297" s="151"/>
      <c r="G297" s="123">
        <v>0</v>
      </c>
      <c r="H297" s="152">
        <v>2958465</v>
      </c>
      <c r="I297" s="151"/>
      <c r="J297" s="151"/>
    </row>
    <row r="298" spans="1:10" x14ac:dyDescent="0.25">
      <c r="A298" s="147" t="s">
        <v>258</v>
      </c>
      <c r="B298" s="121" t="s">
        <v>749</v>
      </c>
      <c r="C298" s="149" t="s">
        <v>259</v>
      </c>
      <c r="D298" s="150" t="s">
        <v>1809</v>
      </c>
      <c r="E298" s="149" t="s">
        <v>913</v>
      </c>
      <c r="F298" s="151"/>
      <c r="G298" s="123">
        <v>119790</v>
      </c>
      <c r="H298" s="152">
        <v>2958465</v>
      </c>
      <c r="I298" s="151"/>
      <c r="J298" s="151"/>
    </row>
    <row r="299" spans="1:10" x14ac:dyDescent="0.25">
      <c r="A299" s="147" t="s">
        <v>147</v>
      </c>
      <c r="B299" s="149" t="s">
        <v>739</v>
      </c>
      <c r="C299" s="149" t="s">
        <v>148</v>
      </c>
      <c r="D299" s="150" t="s">
        <v>1818</v>
      </c>
      <c r="E299" s="149" t="s">
        <v>914</v>
      </c>
      <c r="F299" s="151"/>
      <c r="G299" s="123">
        <v>22000</v>
      </c>
      <c r="H299" s="152">
        <v>2958465</v>
      </c>
      <c r="I299" s="151"/>
      <c r="J299" s="151"/>
    </row>
    <row r="300" spans="1:10" x14ac:dyDescent="0.25">
      <c r="A300" s="147" t="s">
        <v>194</v>
      </c>
      <c r="B300" s="149" t="s">
        <v>739</v>
      </c>
      <c r="C300" s="149" t="s">
        <v>195</v>
      </c>
      <c r="D300" s="150" t="s">
        <v>1819</v>
      </c>
      <c r="E300" s="149" t="s">
        <v>915</v>
      </c>
      <c r="F300" s="151"/>
      <c r="G300" s="123">
        <v>1200000</v>
      </c>
      <c r="H300" s="167">
        <v>2958465</v>
      </c>
      <c r="I300" s="151"/>
      <c r="J300" s="151"/>
    </row>
    <row r="301" spans="1:10" x14ac:dyDescent="0.25">
      <c r="A301" s="147" t="s">
        <v>356</v>
      </c>
      <c r="B301" s="149" t="s">
        <v>737</v>
      </c>
      <c r="C301" s="149" t="s">
        <v>357</v>
      </c>
      <c r="D301" s="150" t="s">
        <v>1820</v>
      </c>
      <c r="E301" s="149" t="s">
        <v>918</v>
      </c>
      <c r="F301" s="151"/>
      <c r="G301" s="123">
        <v>100000</v>
      </c>
      <c r="H301" s="167">
        <v>46783</v>
      </c>
      <c r="I301" s="151"/>
      <c r="J301" s="151"/>
    </row>
    <row r="302" spans="1:10" x14ac:dyDescent="0.25">
      <c r="A302" s="147" t="s">
        <v>444</v>
      </c>
      <c r="B302" s="121" t="s">
        <v>739</v>
      </c>
      <c r="C302" s="149" t="s">
        <v>445</v>
      </c>
      <c r="D302" s="150" t="s">
        <v>1821</v>
      </c>
      <c r="E302" s="121" t="s">
        <v>920</v>
      </c>
      <c r="F302" s="151"/>
      <c r="G302" s="123">
        <v>29370</v>
      </c>
      <c r="H302" s="152">
        <v>46233</v>
      </c>
      <c r="I302" s="151"/>
      <c r="J302" s="151"/>
    </row>
    <row r="303" spans="1:10" x14ac:dyDescent="0.25">
      <c r="A303" s="147" t="s">
        <v>198</v>
      </c>
      <c r="B303" s="121" t="s">
        <v>739</v>
      </c>
      <c r="C303" s="149" t="s">
        <v>199</v>
      </c>
      <c r="D303" s="150" t="s">
        <v>1822</v>
      </c>
      <c r="E303" s="149" t="s">
        <v>921</v>
      </c>
      <c r="F303" s="151"/>
      <c r="G303" s="123"/>
      <c r="H303" s="128">
        <v>46022</v>
      </c>
      <c r="I303" s="151"/>
      <c r="J303" s="151"/>
    </row>
    <row r="304" spans="1:10" x14ac:dyDescent="0.25">
      <c r="A304" s="147" t="s">
        <v>711</v>
      </c>
      <c r="B304" s="121" t="s">
        <v>739</v>
      </c>
      <c r="C304" s="149" t="s">
        <v>712</v>
      </c>
      <c r="D304" s="150" t="s">
        <v>1823</v>
      </c>
      <c r="E304" s="121" t="s">
        <v>923</v>
      </c>
      <c r="F304" s="151"/>
      <c r="G304" s="123"/>
      <c r="H304" s="128">
        <v>2958465</v>
      </c>
      <c r="I304" s="151"/>
      <c r="J304" s="151"/>
    </row>
    <row r="305" spans="1:10" x14ac:dyDescent="0.25">
      <c r="A305" s="147" t="s">
        <v>271</v>
      </c>
      <c r="B305" s="121" t="s">
        <v>737</v>
      </c>
      <c r="C305" s="149" t="s">
        <v>272</v>
      </c>
      <c r="D305" s="150">
        <v>4602544</v>
      </c>
      <c r="E305" s="149" t="s">
        <v>1173</v>
      </c>
      <c r="F305" s="151"/>
      <c r="G305" s="123">
        <v>420000</v>
      </c>
      <c r="H305" s="152">
        <v>46453</v>
      </c>
      <c r="I305" s="151"/>
      <c r="J305" s="151"/>
    </row>
    <row r="306" spans="1:10" x14ac:dyDescent="0.25">
      <c r="A306" s="147" t="s">
        <v>202</v>
      </c>
      <c r="B306" s="121" t="s">
        <v>739</v>
      </c>
      <c r="C306" s="149" t="s">
        <v>203</v>
      </c>
      <c r="D306" s="150">
        <v>4189825</v>
      </c>
      <c r="E306" s="149" t="s">
        <v>925</v>
      </c>
      <c r="F306" s="151"/>
      <c r="G306" s="123"/>
      <c r="H306" s="128">
        <v>2958465</v>
      </c>
      <c r="I306" s="151"/>
      <c r="J306" s="151"/>
    </row>
    <row r="307" spans="1:10" x14ac:dyDescent="0.25">
      <c r="A307" s="147" t="s">
        <v>392</v>
      </c>
      <c r="B307" s="121" t="s">
        <v>739</v>
      </c>
      <c r="C307" s="149" t="s">
        <v>393</v>
      </c>
      <c r="D307" s="150">
        <v>4084063</v>
      </c>
      <c r="E307" s="121" t="s">
        <v>926</v>
      </c>
      <c r="F307" s="151"/>
      <c r="G307" s="123"/>
      <c r="H307" s="152">
        <v>2958465</v>
      </c>
      <c r="I307" s="151"/>
      <c r="J307" s="151"/>
    </row>
    <row r="308" spans="1:10" x14ac:dyDescent="0.25">
      <c r="A308" s="147" t="s">
        <v>484</v>
      </c>
      <c r="B308" s="121" t="s">
        <v>739</v>
      </c>
      <c r="C308" s="149" t="s">
        <v>485</v>
      </c>
      <c r="D308" s="150">
        <v>4084063</v>
      </c>
      <c r="E308" s="121" t="s">
        <v>926</v>
      </c>
      <c r="F308" s="151"/>
      <c r="G308" s="123"/>
      <c r="H308" s="152">
        <v>2958465</v>
      </c>
      <c r="I308" s="151"/>
      <c r="J308" s="151"/>
    </row>
    <row r="309" spans="1:10" x14ac:dyDescent="0.25">
      <c r="A309" s="147" t="s">
        <v>276</v>
      </c>
      <c r="B309" s="153" t="s">
        <v>740</v>
      </c>
      <c r="C309" s="149" t="s">
        <v>277</v>
      </c>
      <c r="D309" s="150">
        <v>3150143</v>
      </c>
      <c r="E309" s="149" t="s">
        <v>928</v>
      </c>
      <c r="F309" s="151"/>
      <c r="G309" s="123">
        <v>301290</v>
      </c>
      <c r="H309" s="152" t="s">
        <v>929</v>
      </c>
      <c r="I309" s="151"/>
      <c r="J309" s="151"/>
    </row>
    <row r="310" spans="1:10" x14ac:dyDescent="0.25">
      <c r="A310" s="147" t="s">
        <v>26</v>
      </c>
      <c r="B310" s="121" t="s">
        <v>739</v>
      </c>
      <c r="C310" s="149" t="s">
        <v>27</v>
      </c>
      <c r="D310" s="150">
        <v>3038637</v>
      </c>
      <c r="E310" s="121" t="s">
        <v>930</v>
      </c>
      <c r="F310" s="151"/>
      <c r="G310" s="123">
        <v>90000</v>
      </c>
      <c r="H310" s="152">
        <v>2958465</v>
      </c>
      <c r="I310" s="151"/>
      <c r="J310" s="151"/>
    </row>
    <row r="311" spans="1:10" x14ac:dyDescent="0.25">
      <c r="A311" s="147" t="s">
        <v>101</v>
      </c>
      <c r="B311" s="121" t="s">
        <v>740</v>
      </c>
      <c r="C311" s="149" t="s">
        <v>102</v>
      </c>
      <c r="D311" s="150">
        <v>2819678</v>
      </c>
      <c r="E311" s="121" t="s">
        <v>931</v>
      </c>
      <c r="F311" s="151"/>
      <c r="G311" s="123">
        <v>18857</v>
      </c>
      <c r="H311" s="152">
        <v>46057</v>
      </c>
      <c r="I311" s="151"/>
      <c r="J311" s="151"/>
    </row>
    <row r="312" spans="1:10" x14ac:dyDescent="0.25">
      <c r="A312" s="147" t="s">
        <v>103</v>
      </c>
      <c r="B312" s="121" t="s">
        <v>740</v>
      </c>
      <c r="C312" s="149" t="s">
        <v>104</v>
      </c>
      <c r="D312" s="150">
        <v>2819678</v>
      </c>
      <c r="E312" s="121" t="s">
        <v>931</v>
      </c>
      <c r="F312" s="151"/>
      <c r="G312" s="123">
        <v>46875</v>
      </c>
      <c r="H312" s="152">
        <v>46057</v>
      </c>
      <c r="I312" s="151"/>
      <c r="J312" s="151"/>
    </row>
    <row r="313" spans="1:10" x14ac:dyDescent="0.25">
      <c r="A313" s="147" t="s">
        <v>190</v>
      </c>
      <c r="B313" s="121" t="s">
        <v>740</v>
      </c>
      <c r="C313" s="149" t="s">
        <v>191</v>
      </c>
      <c r="D313" s="150">
        <v>2819678</v>
      </c>
      <c r="E313" s="121" t="s">
        <v>931</v>
      </c>
      <c r="F313" s="151"/>
      <c r="G313" s="123">
        <v>226320</v>
      </c>
      <c r="H313" s="152">
        <v>2958465</v>
      </c>
      <c r="I313" s="151"/>
      <c r="J313" s="151"/>
    </row>
    <row r="314" spans="1:10" x14ac:dyDescent="0.25">
      <c r="A314" s="147" t="s">
        <v>605</v>
      </c>
      <c r="B314" s="149" t="s">
        <v>743</v>
      </c>
      <c r="C314" s="149" t="s">
        <v>606</v>
      </c>
      <c r="D314" s="158">
        <v>2366195</v>
      </c>
      <c r="E314" s="121" t="s">
        <v>932</v>
      </c>
      <c r="F314" s="151"/>
      <c r="G314" s="123"/>
      <c r="H314" s="152">
        <v>46549</v>
      </c>
      <c r="I314" s="151"/>
      <c r="J314" s="151"/>
    </row>
    <row r="315" spans="1:10" x14ac:dyDescent="0.25">
      <c r="A315" s="147" t="s">
        <v>2</v>
      </c>
      <c r="B315" s="121" t="s">
        <v>734</v>
      </c>
      <c r="C315" s="149" t="s">
        <v>3</v>
      </c>
      <c r="D315" s="150">
        <v>1571010</v>
      </c>
      <c r="E315" s="121" t="s">
        <v>933</v>
      </c>
      <c r="F315" s="151"/>
      <c r="G315" s="123"/>
      <c r="H315" s="152">
        <v>46403</v>
      </c>
      <c r="I315" s="151"/>
      <c r="J315" s="151"/>
    </row>
    <row r="316" spans="1:10" x14ac:dyDescent="0.25">
      <c r="A316" s="147" t="s">
        <v>42</v>
      </c>
      <c r="B316" s="121" t="s">
        <v>734</v>
      </c>
      <c r="C316" s="149" t="s">
        <v>43</v>
      </c>
      <c r="D316" s="150">
        <v>1571010</v>
      </c>
      <c r="E316" s="121" t="s">
        <v>933</v>
      </c>
      <c r="F316" s="151"/>
      <c r="G316" s="123"/>
      <c r="H316" s="152">
        <v>46089</v>
      </c>
      <c r="I316" s="151"/>
      <c r="J316" s="151"/>
    </row>
    <row r="317" spans="1:10" x14ac:dyDescent="0.25">
      <c r="A317" s="147" t="s">
        <v>707</v>
      </c>
      <c r="B317" s="121" t="s">
        <v>734</v>
      </c>
      <c r="C317" s="149" t="s">
        <v>708</v>
      </c>
      <c r="D317" s="150">
        <v>1571010</v>
      </c>
      <c r="E317" s="121" t="s">
        <v>933</v>
      </c>
      <c r="F317" s="151"/>
      <c r="G317" s="123"/>
      <c r="H317" s="152">
        <v>46160</v>
      </c>
      <c r="I317" s="151"/>
      <c r="J317" s="151"/>
    </row>
    <row r="318" spans="1:10" x14ac:dyDescent="0.25">
      <c r="A318" s="147" t="s">
        <v>715</v>
      </c>
      <c r="B318" s="121" t="s">
        <v>734</v>
      </c>
      <c r="C318" s="149" t="s">
        <v>716</v>
      </c>
      <c r="D318" s="150">
        <v>1571010</v>
      </c>
      <c r="E318" s="121" t="s">
        <v>933</v>
      </c>
      <c r="F318" s="151"/>
      <c r="G318" s="123"/>
      <c r="H318" s="152">
        <v>46230</v>
      </c>
      <c r="I318" s="151"/>
      <c r="J318" s="151"/>
    </row>
    <row r="319" spans="1:10" x14ac:dyDescent="0.25">
      <c r="A319" s="147" t="s">
        <v>169</v>
      </c>
      <c r="B319" s="121" t="s">
        <v>1166</v>
      </c>
      <c r="C319" s="149" t="s">
        <v>170</v>
      </c>
      <c r="D319" s="150">
        <v>1571010</v>
      </c>
      <c r="E319" s="121" t="s">
        <v>933</v>
      </c>
      <c r="F319" s="151"/>
      <c r="G319" s="123"/>
      <c r="H319" s="152">
        <v>45990</v>
      </c>
      <c r="I319" s="151"/>
      <c r="J319" s="151"/>
    </row>
    <row r="320" spans="1:10" x14ac:dyDescent="0.25">
      <c r="A320" s="147" t="s">
        <v>286</v>
      </c>
      <c r="B320" s="121" t="s">
        <v>737</v>
      </c>
      <c r="C320" s="149" t="s">
        <v>287</v>
      </c>
      <c r="D320" s="150">
        <v>1129490</v>
      </c>
      <c r="E320" s="149" t="s">
        <v>935</v>
      </c>
      <c r="F320" s="151"/>
      <c r="G320" s="123">
        <v>0</v>
      </c>
      <c r="H320" s="152">
        <v>46509</v>
      </c>
      <c r="I320" s="151"/>
      <c r="J320" s="151"/>
    </row>
    <row r="321" spans="1:10" x14ac:dyDescent="0.25">
      <c r="A321" s="147" t="s">
        <v>69</v>
      </c>
      <c r="B321" s="121" t="s">
        <v>734</v>
      </c>
      <c r="C321" s="149" t="s">
        <v>55</v>
      </c>
      <c r="D321" s="150">
        <v>875295</v>
      </c>
      <c r="E321" s="121" t="s">
        <v>936</v>
      </c>
      <c r="F321" s="151"/>
      <c r="G321" s="123"/>
      <c r="H321" s="152">
        <v>2958465</v>
      </c>
      <c r="I321" s="151"/>
      <c r="J321" s="151"/>
    </row>
    <row r="322" spans="1:10" x14ac:dyDescent="0.25">
      <c r="A322" s="147" t="s">
        <v>416</v>
      </c>
      <c r="B322" s="121" t="s">
        <v>734</v>
      </c>
      <c r="C322" s="149" t="s">
        <v>417</v>
      </c>
      <c r="D322" s="150">
        <v>873764</v>
      </c>
      <c r="E322" s="121" t="s">
        <v>937</v>
      </c>
      <c r="F322" s="151"/>
      <c r="G322" s="123"/>
      <c r="H322" s="152">
        <v>2958465</v>
      </c>
      <c r="I322" s="151"/>
      <c r="J322" s="151"/>
    </row>
    <row r="323" spans="1:10" x14ac:dyDescent="0.25">
      <c r="A323" s="147" t="s">
        <v>547</v>
      </c>
      <c r="B323" s="153" t="s">
        <v>739</v>
      </c>
      <c r="C323" s="149" t="s">
        <v>548</v>
      </c>
      <c r="D323" s="150">
        <v>873764</v>
      </c>
      <c r="E323" s="121" t="s">
        <v>937</v>
      </c>
      <c r="F323" s="151"/>
      <c r="G323" s="123"/>
      <c r="H323" s="152">
        <v>46203</v>
      </c>
      <c r="I323" s="151"/>
      <c r="J323" s="151"/>
    </row>
    <row r="324" spans="1:10" x14ac:dyDescent="0.25">
      <c r="A324" s="147" t="s">
        <v>68</v>
      </c>
      <c r="B324" s="121" t="s">
        <v>734</v>
      </c>
      <c r="C324" s="149" t="s">
        <v>55</v>
      </c>
      <c r="D324" s="150">
        <v>873764</v>
      </c>
      <c r="E324" s="121" t="s">
        <v>937</v>
      </c>
      <c r="F324" s="151"/>
      <c r="G324" s="123"/>
      <c r="H324" s="152">
        <v>2958465</v>
      </c>
      <c r="I324" s="151"/>
      <c r="J324" s="151"/>
    </row>
    <row r="325" spans="1:10" x14ac:dyDescent="0.25">
      <c r="A325" s="147" t="s">
        <v>599</v>
      </c>
      <c r="B325" s="149" t="s">
        <v>743</v>
      </c>
      <c r="C325" s="149" t="s">
        <v>600</v>
      </c>
      <c r="D325" s="150">
        <v>639966</v>
      </c>
      <c r="E325" s="121" t="s">
        <v>939</v>
      </c>
      <c r="F325" s="151"/>
      <c r="G325" s="123"/>
      <c r="H325" s="152">
        <v>46543</v>
      </c>
      <c r="I325" s="151"/>
      <c r="J325" s="151"/>
    </row>
    <row r="326" spans="1:10" x14ac:dyDescent="0.25">
      <c r="A326" s="147" t="s">
        <v>72</v>
      </c>
      <c r="B326" s="153" t="s">
        <v>739</v>
      </c>
      <c r="C326" s="149" t="s">
        <v>73</v>
      </c>
      <c r="D326" s="150">
        <v>639966</v>
      </c>
      <c r="E326" s="121" t="s">
        <v>939</v>
      </c>
      <c r="F326" s="151"/>
      <c r="G326" s="123">
        <v>2400000</v>
      </c>
      <c r="H326" s="152">
        <v>47098</v>
      </c>
      <c r="I326" s="151"/>
      <c r="J326" s="151"/>
    </row>
    <row r="327" spans="1:10" x14ac:dyDescent="0.25">
      <c r="A327" s="147" t="s">
        <v>10</v>
      </c>
      <c r="B327" s="149" t="s">
        <v>743</v>
      </c>
      <c r="C327" s="149" t="s">
        <v>11</v>
      </c>
      <c r="D327" s="150">
        <v>639869</v>
      </c>
      <c r="E327" s="121" t="s">
        <v>940</v>
      </c>
      <c r="F327" s="151"/>
      <c r="G327" s="123"/>
      <c r="H327" s="152">
        <v>46432</v>
      </c>
      <c r="I327" s="151"/>
      <c r="J327" s="151"/>
    </row>
    <row r="328" spans="1:10" x14ac:dyDescent="0.25">
      <c r="A328" s="147" t="s">
        <v>368</v>
      </c>
      <c r="B328" s="121" t="s">
        <v>734</v>
      </c>
      <c r="C328" s="149" t="s">
        <v>369</v>
      </c>
      <c r="D328" s="150">
        <v>638927</v>
      </c>
      <c r="E328" s="121" t="s">
        <v>941</v>
      </c>
      <c r="F328" s="151"/>
      <c r="G328" s="123"/>
      <c r="H328" s="152">
        <v>2958465</v>
      </c>
      <c r="I328" s="151"/>
      <c r="J328" s="151"/>
    </row>
    <row r="329" spans="1:10" x14ac:dyDescent="0.25">
      <c r="A329" s="147" t="s">
        <v>378</v>
      </c>
      <c r="B329" s="121" t="s">
        <v>734</v>
      </c>
      <c r="C329" s="149" t="s">
        <v>379</v>
      </c>
      <c r="D329" s="150">
        <v>638927</v>
      </c>
      <c r="E329" s="121" t="s">
        <v>941</v>
      </c>
      <c r="F329" s="151"/>
      <c r="G329" s="123"/>
      <c r="H329" s="152">
        <v>2958465</v>
      </c>
      <c r="I329" s="151"/>
      <c r="J329" s="151"/>
    </row>
    <row r="330" spans="1:10" x14ac:dyDescent="0.25">
      <c r="A330" s="147" t="s">
        <v>167</v>
      </c>
      <c r="B330" s="121" t="s">
        <v>734</v>
      </c>
      <c r="C330" s="149" t="s">
        <v>168</v>
      </c>
      <c r="D330" s="150">
        <v>638927</v>
      </c>
      <c r="E330" s="121" t="s">
        <v>941</v>
      </c>
      <c r="F330" s="151"/>
      <c r="G330" s="123"/>
      <c r="H330" s="152">
        <v>45962</v>
      </c>
      <c r="I330" s="151"/>
      <c r="J330" s="151"/>
    </row>
    <row r="331" spans="1:10" x14ac:dyDescent="0.25">
      <c r="A331" s="147" t="s">
        <v>709</v>
      </c>
      <c r="B331" s="121" t="s">
        <v>740</v>
      </c>
      <c r="C331" s="149" t="s">
        <v>710</v>
      </c>
      <c r="D331" s="150">
        <v>562262</v>
      </c>
      <c r="E331" s="121" t="s">
        <v>942</v>
      </c>
      <c r="F331" s="151"/>
      <c r="G331" s="123"/>
      <c r="H331" s="152">
        <v>2958465</v>
      </c>
      <c r="I331" s="151"/>
      <c r="J331" s="151"/>
    </row>
    <row r="332" spans="1:10" x14ac:dyDescent="0.25">
      <c r="A332" s="147" t="s">
        <v>680</v>
      </c>
      <c r="B332" s="149" t="s">
        <v>743</v>
      </c>
      <c r="C332" s="149" t="s">
        <v>681</v>
      </c>
      <c r="D332" s="150">
        <v>508870</v>
      </c>
      <c r="E332" s="121" t="s">
        <v>943</v>
      </c>
      <c r="F332" s="151"/>
      <c r="G332" s="123"/>
      <c r="H332" s="152">
        <v>46033</v>
      </c>
      <c r="I332" s="151"/>
      <c r="J332" s="151"/>
    </row>
    <row r="333" spans="1:10" x14ac:dyDescent="0.25">
      <c r="A333" s="155" t="s">
        <v>82</v>
      </c>
      <c r="B333" s="156" t="s">
        <v>734</v>
      </c>
      <c r="C333" s="156" t="s">
        <v>945</v>
      </c>
      <c r="D333" s="158">
        <v>425826</v>
      </c>
      <c r="E333" s="156" t="s">
        <v>944</v>
      </c>
      <c r="F333" s="151"/>
      <c r="G333" s="123"/>
      <c r="H333" s="167">
        <v>2958465</v>
      </c>
      <c r="I333" s="151"/>
      <c r="J333" s="151"/>
    </row>
    <row r="334" spans="1:10" x14ac:dyDescent="0.25">
      <c r="A334" s="147" t="s">
        <v>131</v>
      </c>
      <c r="B334" s="148" t="s">
        <v>739</v>
      </c>
      <c r="C334" s="149" t="s">
        <v>132</v>
      </c>
      <c r="D334" s="150">
        <v>425826</v>
      </c>
      <c r="E334" s="121" t="s">
        <v>944</v>
      </c>
      <c r="F334" s="151"/>
      <c r="G334" s="123">
        <v>1</v>
      </c>
      <c r="H334" s="152">
        <v>46306</v>
      </c>
      <c r="I334" s="151"/>
      <c r="J334" s="151"/>
    </row>
    <row r="335" spans="1:10" x14ac:dyDescent="0.25">
      <c r="A335" s="147" t="s">
        <v>133</v>
      </c>
      <c r="B335" s="148" t="s">
        <v>739</v>
      </c>
      <c r="C335" s="149" t="s">
        <v>134</v>
      </c>
      <c r="D335" s="150">
        <v>425826</v>
      </c>
      <c r="E335" s="121" t="s">
        <v>944</v>
      </c>
      <c r="F335" s="151"/>
      <c r="G335" s="123">
        <v>1</v>
      </c>
      <c r="H335" s="152">
        <v>46306</v>
      </c>
      <c r="I335" s="151"/>
      <c r="J335" s="151"/>
    </row>
    <row r="336" spans="1:10" x14ac:dyDescent="0.25">
      <c r="A336" s="147" t="s">
        <v>703</v>
      </c>
      <c r="B336" s="153" t="s">
        <v>740</v>
      </c>
      <c r="C336" s="149" t="s">
        <v>704</v>
      </c>
      <c r="D336" s="150">
        <v>346292</v>
      </c>
      <c r="E336" s="121" t="s">
        <v>946</v>
      </c>
      <c r="F336" s="151"/>
      <c r="G336" s="123"/>
      <c r="H336" s="152">
        <v>2958465</v>
      </c>
      <c r="I336" s="151"/>
      <c r="J336" s="151"/>
    </row>
    <row r="337" spans="1:10" x14ac:dyDescent="0.25">
      <c r="A337" s="147" t="s">
        <v>529</v>
      </c>
      <c r="B337" s="148" t="s">
        <v>739</v>
      </c>
      <c r="C337" s="149" t="s">
        <v>530</v>
      </c>
      <c r="D337" s="150">
        <v>244155</v>
      </c>
      <c r="E337" s="121" t="s">
        <v>947</v>
      </c>
      <c r="F337" s="151"/>
      <c r="G337" s="123">
        <v>916300</v>
      </c>
      <c r="H337" s="152">
        <v>2958465</v>
      </c>
      <c r="I337" s="151"/>
      <c r="J337" s="151"/>
    </row>
    <row r="338" spans="1:10" x14ac:dyDescent="0.25">
      <c r="A338" s="147" t="s">
        <v>587</v>
      </c>
      <c r="B338" s="149" t="s">
        <v>743</v>
      </c>
      <c r="C338" s="149" t="s">
        <v>588</v>
      </c>
      <c r="D338" s="150">
        <v>244031</v>
      </c>
      <c r="E338" s="121" t="s">
        <v>948</v>
      </c>
      <c r="F338" s="151"/>
      <c r="G338" s="123"/>
      <c r="H338" s="152">
        <v>46519</v>
      </c>
      <c r="I338" s="151"/>
      <c r="J338" s="151"/>
    </row>
    <row r="339" spans="1:10" x14ac:dyDescent="0.25">
      <c r="A339" s="147" t="s">
        <v>625</v>
      </c>
      <c r="B339" s="149" t="s">
        <v>743</v>
      </c>
      <c r="C339" s="149" t="s">
        <v>626</v>
      </c>
      <c r="D339" s="150">
        <v>243825</v>
      </c>
      <c r="E339" s="121" t="s">
        <v>949</v>
      </c>
      <c r="F339" s="151"/>
      <c r="G339" s="123"/>
      <c r="H339" s="152">
        <v>46479</v>
      </c>
      <c r="I339" s="151"/>
      <c r="J339" s="151"/>
    </row>
    <row r="340" spans="1:10" x14ac:dyDescent="0.25">
      <c r="A340" s="147" t="s">
        <v>323</v>
      </c>
      <c r="B340" s="148" t="s">
        <v>739</v>
      </c>
      <c r="C340" s="149" t="s">
        <v>324</v>
      </c>
      <c r="D340" s="150">
        <v>243825</v>
      </c>
      <c r="E340" s="121" t="s">
        <v>949</v>
      </c>
      <c r="F340" s="151"/>
      <c r="G340" s="123" t="s">
        <v>950</v>
      </c>
      <c r="H340" s="152">
        <v>51831</v>
      </c>
      <c r="I340" s="151"/>
      <c r="J340" s="151"/>
    </row>
    <row r="341" spans="1:10" x14ac:dyDescent="0.25">
      <c r="A341" s="147" t="s">
        <v>251</v>
      </c>
      <c r="B341" s="149" t="s">
        <v>739</v>
      </c>
      <c r="C341" s="149" t="s">
        <v>252</v>
      </c>
      <c r="D341" s="150">
        <v>243825</v>
      </c>
      <c r="E341" s="121" t="s">
        <v>949</v>
      </c>
      <c r="F341" s="151"/>
      <c r="G341" s="123"/>
      <c r="H341" s="152"/>
      <c r="I341" s="151"/>
      <c r="J341" s="151"/>
    </row>
    <row r="342" spans="1:10" x14ac:dyDescent="0.25">
      <c r="A342" s="147" t="s">
        <v>613</v>
      </c>
      <c r="B342" s="149" t="s">
        <v>743</v>
      </c>
      <c r="C342" s="149" t="s">
        <v>614</v>
      </c>
      <c r="D342" s="150">
        <v>243272</v>
      </c>
      <c r="E342" s="121" t="s">
        <v>951</v>
      </c>
      <c r="F342" s="151"/>
      <c r="G342" s="123"/>
      <c r="H342" s="152">
        <v>46568</v>
      </c>
      <c r="I342" s="151"/>
      <c r="J342" s="151"/>
    </row>
    <row r="343" spans="1:10" x14ac:dyDescent="0.25">
      <c r="A343" s="147" t="s">
        <v>617</v>
      </c>
      <c r="B343" s="121" t="s">
        <v>739</v>
      </c>
      <c r="C343" s="149" t="s">
        <v>618</v>
      </c>
      <c r="D343" s="150">
        <v>243272</v>
      </c>
      <c r="E343" s="121" t="s">
        <v>951</v>
      </c>
      <c r="F343" s="151"/>
      <c r="G343" s="123">
        <v>75000</v>
      </c>
      <c r="H343" s="152">
        <v>46752</v>
      </c>
      <c r="I343" s="151"/>
      <c r="J343" s="151"/>
    </row>
    <row r="344" spans="1:10" x14ac:dyDescent="0.25">
      <c r="A344" s="147" t="s">
        <v>678</v>
      </c>
      <c r="B344" s="121" t="s">
        <v>739</v>
      </c>
      <c r="C344" s="149" t="s">
        <v>679</v>
      </c>
      <c r="D344" s="150">
        <v>243272</v>
      </c>
      <c r="E344" s="121" t="s">
        <v>951</v>
      </c>
      <c r="F344" s="151"/>
      <c r="G344" s="123"/>
      <c r="H344" s="152" t="s">
        <v>952</v>
      </c>
      <c r="I344" s="151"/>
      <c r="J344" s="151"/>
    </row>
    <row r="345" spans="1:10" x14ac:dyDescent="0.25">
      <c r="A345" s="147" t="s">
        <v>699</v>
      </c>
      <c r="B345" s="121" t="s">
        <v>739</v>
      </c>
      <c r="C345" s="149" t="s">
        <v>700</v>
      </c>
      <c r="D345" s="150">
        <v>243272</v>
      </c>
      <c r="E345" s="121" t="s">
        <v>951</v>
      </c>
      <c r="F345" s="151"/>
      <c r="G345" s="123"/>
      <c r="H345" s="152">
        <v>2958465</v>
      </c>
      <c r="I345" s="151"/>
      <c r="J345" s="151"/>
    </row>
    <row r="346" spans="1:10" x14ac:dyDescent="0.25">
      <c r="A346" s="147" t="s">
        <v>591</v>
      </c>
      <c r="B346" s="149" t="s">
        <v>743</v>
      </c>
      <c r="C346" s="149" t="s">
        <v>592</v>
      </c>
      <c r="D346" s="150">
        <v>243221</v>
      </c>
      <c r="E346" s="121" t="s">
        <v>953</v>
      </c>
      <c r="F346" s="151"/>
      <c r="G346" s="123"/>
      <c r="H346" s="152">
        <v>46518</v>
      </c>
      <c r="I346" s="151"/>
      <c r="J346" s="151"/>
    </row>
    <row r="347" spans="1:10" x14ac:dyDescent="0.25">
      <c r="A347" s="147" t="s">
        <v>418</v>
      </c>
      <c r="B347" s="121" t="s">
        <v>739</v>
      </c>
      <c r="C347" s="149" t="s">
        <v>419</v>
      </c>
      <c r="D347" s="150">
        <v>242535</v>
      </c>
      <c r="E347" s="121" t="s">
        <v>954</v>
      </c>
      <c r="F347" s="151"/>
      <c r="G347" s="123"/>
      <c r="H347" s="152">
        <v>46264</v>
      </c>
      <c r="I347" s="151"/>
      <c r="J347" s="151"/>
    </row>
    <row r="348" spans="1:10" x14ac:dyDescent="0.25">
      <c r="A348" s="147" t="s">
        <v>579</v>
      </c>
      <c r="B348" s="149" t="s">
        <v>743</v>
      </c>
      <c r="C348" s="149" t="s">
        <v>580</v>
      </c>
      <c r="D348" s="150">
        <v>242098</v>
      </c>
      <c r="E348" s="121" t="s">
        <v>955</v>
      </c>
      <c r="F348" s="151"/>
      <c r="G348" s="123"/>
      <c r="H348" s="152">
        <v>46535</v>
      </c>
      <c r="I348" s="151"/>
      <c r="J348" s="151"/>
    </row>
    <row r="349" spans="1:10" x14ac:dyDescent="0.25">
      <c r="A349" s="147" t="s">
        <v>8</v>
      </c>
      <c r="B349" s="149" t="s">
        <v>743</v>
      </c>
      <c r="C349" s="149" t="s">
        <v>9</v>
      </c>
      <c r="D349" s="150">
        <v>242004</v>
      </c>
      <c r="E349" s="121" t="s">
        <v>956</v>
      </c>
      <c r="F349" s="151"/>
      <c r="G349" s="123"/>
      <c r="H349" s="152">
        <v>46431</v>
      </c>
      <c r="I349" s="151"/>
      <c r="J349" s="151"/>
    </row>
    <row r="350" spans="1:10" x14ac:dyDescent="0.25">
      <c r="A350" s="147" t="s">
        <v>454</v>
      </c>
      <c r="B350" s="121" t="s">
        <v>739</v>
      </c>
      <c r="C350" s="149" t="s">
        <v>455</v>
      </c>
      <c r="D350" s="150">
        <v>242004</v>
      </c>
      <c r="E350" s="121" t="s">
        <v>956</v>
      </c>
      <c r="F350" s="151"/>
      <c r="G350" s="123"/>
      <c r="H350" s="152">
        <v>2958465</v>
      </c>
      <c r="I350" s="151"/>
      <c r="J350" s="151"/>
    </row>
    <row r="351" spans="1:10" x14ac:dyDescent="0.25">
      <c r="A351" s="147" t="s">
        <v>394</v>
      </c>
      <c r="B351" s="121" t="s">
        <v>739</v>
      </c>
      <c r="C351" s="149" t="s">
        <v>395</v>
      </c>
      <c r="D351" s="150">
        <v>241318</v>
      </c>
      <c r="E351" s="121" t="s">
        <v>957</v>
      </c>
      <c r="F351" s="151"/>
      <c r="G351" s="123">
        <v>222396</v>
      </c>
      <c r="H351" s="152">
        <v>46265</v>
      </c>
      <c r="I351" s="151"/>
      <c r="J351" s="151"/>
    </row>
    <row r="352" spans="1:10" x14ac:dyDescent="0.25">
      <c r="A352" s="147" t="s">
        <v>693</v>
      </c>
      <c r="B352" s="149" t="s">
        <v>743</v>
      </c>
      <c r="C352" s="149" t="s">
        <v>694</v>
      </c>
      <c r="D352" s="150">
        <v>241318</v>
      </c>
      <c r="E352" s="121" t="s">
        <v>957</v>
      </c>
      <c r="F352" s="151"/>
      <c r="G352" s="123"/>
      <c r="H352" s="152">
        <v>46041</v>
      </c>
      <c r="I352" s="151"/>
      <c r="J352" s="151"/>
    </row>
    <row r="353" spans="1:10" x14ac:dyDescent="0.25">
      <c r="A353" s="147" t="s">
        <v>619</v>
      </c>
      <c r="B353" s="149" t="s">
        <v>743</v>
      </c>
      <c r="C353" s="149" t="s">
        <v>620</v>
      </c>
      <c r="D353" s="150">
        <v>241237</v>
      </c>
      <c r="E353" s="121" t="s">
        <v>958</v>
      </c>
      <c r="F353" s="151"/>
      <c r="G353" s="123"/>
      <c r="H353" s="152">
        <v>46423</v>
      </c>
      <c r="I353" s="151"/>
      <c r="J353" s="151"/>
    </row>
    <row r="354" spans="1:10" x14ac:dyDescent="0.25">
      <c r="A354" s="147" t="s">
        <v>661</v>
      </c>
      <c r="B354" s="149" t="s">
        <v>743</v>
      </c>
      <c r="C354" s="149" t="s">
        <v>662</v>
      </c>
      <c r="D354" s="150">
        <v>241121</v>
      </c>
      <c r="E354" s="121" t="s">
        <v>959</v>
      </c>
      <c r="F354" s="151"/>
      <c r="G354" s="123"/>
      <c r="H354" s="152">
        <v>46574</v>
      </c>
      <c r="I354" s="151"/>
      <c r="J354" s="151"/>
    </row>
    <row r="355" spans="1:10" x14ac:dyDescent="0.25">
      <c r="A355" s="147" t="s">
        <v>20</v>
      </c>
      <c r="B355" s="149" t="s">
        <v>743</v>
      </c>
      <c r="C355" s="149" t="s">
        <v>21</v>
      </c>
      <c r="D355" s="150">
        <v>240559</v>
      </c>
      <c r="E355" s="121" t="s">
        <v>961</v>
      </c>
      <c r="F355" s="151"/>
      <c r="G355" s="123"/>
      <c r="H355" s="152">
        <v>46453</v>
      </c>
      <c r="I355" s="151"/>
      <c r="J355" s="151"/>
    </row>
    <row r="356" spans="1:10" x14ac:dyDescent="0.25">
      <c r="A356" s="147" t="s">
        <v>683</v>
      </c>
      <c r="B356" s="149" t="s">
        <v>743</v>
      </c>
      <c r="C356" s="149" t="s">
        <v>684</v>
      </c>
      <c r="D356" s="150">
        <v>240427</v>
      </c>
      <c r="E356" s="121" t="s">
        <v>962</v>
      </c>
      <c r="F356" s="151"/>
      <c r="G356" s="123"/>
      <c r="H356" s="152">
        <v>46035</v>
      </c>
      <c r="I356" s="151"/>
      <c r="J356" s="151"/>
    </row>
    <row r="357" spans="1:10" x14ac:dyDescent="0.25">
      <c r="A357" s="147" t="s">
        <v>603</v>
      </c>
      <c r="B357" s="149" t="s">
        <v>743</v>
      </c>
      <c r="C357" s="149" t="s">
        <v>604</v>
      </c>
      <c r="D357" s="150">
        <v>240079</v>
      </c>
      <c r="E357" s="121" t="s">
        <v>963</v>
      </c>
      <c r="F357" s="151"/>
      <c r="G357" s="123"/>
      <c r="H357" s="152">
        <v>46548</v>
      </c>
      <c r="I357" s="151"/>
      <c r="J357" s="151"/>
    </row>
    <row r="358" spans="1:10" x14ac:dyDescent="0.25">
      <c r="A358" s="147" t="s">
        <v>6</v>
      </c>
      <c r="B358" s="149" t="s">
        <v>743</v>
      </c>
      <c r="C358" s="149" t="s">
        <v>7</v>
      </c>
      <c r="D358" s="150">
        <v>239721</v>
      </c>
      <c r="E358" s="121" t="s">
        <v>964</v>
      </c>
      <c r="F358" s="151"/>
      <c r="G358" s="123">
        <v>39325</v>
      </c>
      <c r="H358" s="152">
        <v>46423</v>
      </c>
      <c r="I358" s="151"/>
      <c r="J358" s="151"/>
    </row>
    <row r="359" spans="1:10" x14ac:dyDescent="0.25">
      <c r="A359" s="147" t="s">
        <v>376</v>
      </c>
      <c r="B359" s="121" t="s">
        <v>739</v>
      </c>
      <c r="C359" s="149" t="s">
        <v>377</v>
      </c>
      <c r="D359" s="150">
        <v>239500</v>
      </c>
      <c r="E359" s="121" t="s">
        <v>965</v>
      </c>
      <c r="F359" s="151"/>
      <c r="G359" s="123">
        <v>1999660</v>
      </c>
      <c r="H359" s="152">
        <v>2958465</v>
      </c>
      <c r="I359" s="151"/>
      <c r="J359" s="151"/>
    </row>
    <row r="360" spans="1:10" x14ac:dyDescent="0.25">
      <c r="A360" s="147" t="s">
        <v>593</v>
      </c>
      <c r="B360" s="149" t="s">
        <v>743</v>
      </c>
      <c r="C360" s="149" t="s">
        <v>594</v>
      </c>
      <c r="D360" s="150">
        <v>239453</v>
      </c>
      <c r="E360" s="121" t="s">
        <v>966</v>
      </c>
      <c r="F360" s="151"/>
      <c r="G360" s="123"/>
      <c r="H360" s="152">
        <v>46513</v>
      </c>
      <c r="I360" s="151"/>
      <c r="J360" s="151"/>
    </row>
    <row r="361" spans="1:10" x14ac:dyDescent="0.25">
      <c r="A361" s="147" t="s">
        <v>366</v>
      </c>
      <c r="B361" s="121" t="s">
        <v>739</v>
      </c>
      <c r="C361" s="149" t="s">
        <v>367</v>
      </c>
      <c r="D361" s="150">
        <v>239437</v>
      </c>
      <c r="E361" s="121" t="s">
        <v>967</v>
      </c>
      <c r="F361" s="151"/>
      <c r="G361" s="123"/>
      <c r="H361" s="152">
        <v>45909</v>
      </c>
      <c r="I361" s="151"/>
      <c r="J361" s="151"/>
    </row>
    <row r="362" spans="1:10" x14ac:dyDescent="0.25">
      <c r="A362" s="147" t="s">
        <v>125</v>
      </c>
      <c r="B362" s="121" t="s">
        <v>739</v>
      </c>
      <c r="C362" s="149" t="s">
        <v>126</v>
      </c>
      <c r="D362" s="150">
        <v>239402</v>
      </c>
      <c r="E362" s="121" t="s">
        <v>968</v>
      </c>
      <c r="F362" s="151"/>
      <c r="G362" s="123">
        <v>26692</v>
      </c>
      <c r="H362" s="152">
        <v>2958465</v>
      </c>
      <c r="I362" s="151"/>
      <c r="J362" s="151"/>
    </row>
    <row r="363" spans="1:10" x14ac:dyDescent="0.25">
      <c r="A363" s="147" t="s">
        <v>595</v>
      </c>
      <c r="B363" s="149" t="s">
        <v>743</v>
      </c>
      <c r="C363" s="149" t="s">
        <v>596</v>
      </c>
      <c r="D363" s="150">
        <v>238309</v>
      </c>
      <c r="E363" s="121" t="s">
        <v>969</v>
      </c>
      <c r="F363" s="151"/>
      <c r="G363" s="123"/>
      <c r="H363" s="152">
        <v>46540</v>
      </c>
      <c r="I363" s="151"/>
      <c r="J363" s="151"/>
    </row>
    <row r="364" spans="1:10" x14ac:dyDescent="0.25">
      <c r="A364" s="147" t="s">
        <v>629</v>
      </c>
      <c r="B364" s="149" t="s">
        <v>743</v>
      </c>
      <c r="C364" s="149" t="s">
        <v>630</v>
      </c>
      <c r="D364" s="150">
        <v>238295</v>
      </c>
      <c r="E364" s="121" t="s">
        <v>970</v>
      </c>
      <c r="F364" s="151"/>
      <c r="G364" s="123">
        <v>96313</v>
      </c>
      <c r="H364" s="152">
        <v>46436</v>
      </c>
      <c r="I364" s="151"/>
      <c r="J364" s="151"/>
    </row>
    <row r="365" spans="1:10" x14ac:dyDescent="0.25">
      <c r="A365" s="147" t="s">
        <v>581</v>
      </c>
      <c r="B365" s="149" t="s">
        <v>743</v>
      </c>
      <c r="C365" s="149" t="s">
        <v>582</v>
      </c>
      <c r="D365" s="150">
        <v>237663</v>
      </c>
      <c r="E365" s="121" t="s">
        <v>971</v>
      </c>
      <c r="F365" s="151"/>
      <c r="G365" s="123"/>
      <c r="H365" s="152">
        <v>46533</v>
      </c>
      <c r="I365" s="151"/>
      <c r="J365" s="151"/>
    </row>
    <row r="366" spans="1:10" x14ac:dyDescent="0.25">
      <c r="A366" s="147" t="s">
        <v>362</v>
      </c>
      <c r="B366" s="121" t="s">
        <v>739</v>
      </c>
      <c r="C366" s="149" t="s">
        <v>363</v>
      </c>
      <c r="D366" s="150">
        <v>237442</v>
      </c>
      <c r="E366" s="121" t="s">
        <v>972</v>
      </c>
      <c r="F366" s="151"/>
      <c r="G366" s="123">
        <v>1197690</v>
      </c>
      <c r="H366" s="152">
        <v>2958465</v>
      </c>
      <c r="I366" s="151"/>
      <c r="J366" s="151"/>
    </row>
    <row r="367" spans="1:10" x14ac:dyDescent="0.25">
      <c r="A367" s="147" t="s">
        <v>601</v>
      </c>
      <c r="B367" s="149" t="s">
        <v>743</v>
      </c>
      <c r="C367" s="149" t="s">
        <v>602</v>
      </c>
      <c r="D367" s="150">
        <v>237418</v>
      </c>
      <c r="E367" s="121" t="s">
        <v>973</v>
      </c>
      <c r="F367" s="151"/>
      <c r="G367" s="123"/>
      <c r="H367" s="152">
        <v>46546</v>
      </c>
      <c r="I367" s="151"/>
      <c r="J367" s="151"/>
    </row>
    <row r="368" spans="1:10" x14ac:dyDescent="0.25">
      <c r="A368" s="147" t="s">
        <v>687</v>
      </c>
      <c r="B368" s="149" t="s">
        <v>743</v>
      </c>
      <c r="C368" s="149" t="s">
        <v>688</v>
      </c>
      <c r="D368" s="150">
        <v>237272</v>
      </c>
      <c r="E368" s="121" t="s">
        <v>974</v>
      </c>
      <c r="F368" s="151"/>
      <c r="G368" s="123"/>
      <c r="H368" s="152">
        <v>46039</v>
      </c>
      <c r="I368" s="151"/>
      <c r="J368" s="151"/>
    </row>
    <row r="369" spans="1:10" x14ac:dyDescent="0.25">
      <c r="A369" s="147" t="s">
        <v>180</v>
      </c>
      <c r="B369" s="149" t="s">
        <v>743</v>
      </c>
      <c r="C369" s="149" t="s">
        <v>181</v>
      </c>
      <c r="D369" s="150">
        <v>237078</v>
      </c>
      <c r="E369" s="121" t="s">
        <v>975</v>
      </c>
      <c r="F369" s="151"/>
      <c r="G369" s="123"/>
      <c r="H369" s="152">
        <v>46035</v>
      </c>
      <c r="I369" s="151"/>
      <c r="J369" s="151"/>
    </row>
    <row r="370" spans="1:10" x14ac:dyDescent="0.25">
      <c r="A370" s="147" t="s">
        <v>621</v>
      </c>
      <c r="B370" s="149" t="s">
        <v>743</v>
      </c>
      <c r="C370" s="149" t="s">
        <v>622</v>
      </c>
      <c r="D370" s="150">
        <v>237051</v>
      </c>
      <c r="E370" s="121" t="s">
        <v>976</v>
      </c>
      <c r="F370" s="151"/>
      <c r="G370" s="123"/>
      <c r="H370" s="152">
        <v>46426</v>
      </c>
      <c r="I370" s="151"/>
      <c r="J370" s="151"/>
    </row>
    <row r="371" spans="1:10" x14ac:dyDescent="0.25">
      <c r="A371" s="147" t="s">
        <v>583</v>
      </c>
      <c r="B371" s="149" t="s">
        <v>743</v>
      </c>
      <c r="C371" s="149" t="s">
        <v>584</v>
      </c>
      <c r="D371" s="150">
        <v>236977</v>
      </c>
      <c r="E371" s="121" t="s">
        <v>977</v>
      </c>
      <c r="F371" s="151"/>
      <c r="G371" s="123"/>
      <c r="H371" s="152">
        <v>46526</v>
      </c>
      <c r="I371" s="151"/>
      <c r="J371" s="151"/>
    </row>
    <row r="372" spans="1:10" x14ac:dyDescent="0.25">
      <c r="A372" s="147" t="s">
        <v>637</v>
      </c>
      <c r="B372" s="149" t="s">
        <v>743</v>
      </c>
      <c r="C372" s="149" t="s">
        <v>638</v>
      </c>
      <c r="D372" s="150">
        <v>236667</v>
      </c>
      <c r="E372" s="121" t="s">
        <v>978</v>
      </c>
      <c r="F372" s="151"/>
      <c r="G372" s="123"/>
      <c r="H372" s="152">
        <v>46447</v>
      </c>
      <c r="I372" s="151"/>
      <c r="J372" s="151"/>
    </row>
    <row r="373" spans="1:10" x14ac:dyDescent="0.25">
      <c r="A373" s="147" t="s">
        <v>216</v>
      </c>
      <c r="B373" s="121" t="s">
        <v>739</v>
      </c>
      <c r="C373" s="149" t="s">
        <v>217</v>
      </c>
      <c r="D373" s="150">
        <v>236641</v>
      </c>
      <c r="E373" s="121" t="s">
        <v>979</v>
      </c>
      <c r="F373" s="151"/>
      <c r="G373" s="123">
        <v>490416</v>
      </c>
      <c r="H373" s="152">
        <v>47024</v>
      </c>
      <c r="I373" s="151"/>
      <c r="J373" s="151"/>
    </row>
    <row r="374" spans="1:10" x14ac:dyDescent="0.25">
      <c r="A374" s="147" t="s">
        <v>705</v>
      </c>
      <c r="B374" s="121" t="s">
        <v>739</v>
      </c>
      <c r="C374" s="149" t="s">
        <v>706</v>
      </c>
      <c r="D374" s="150">
        <v>236527</v>
      </c>
      <c r="E374" s="121" t="s">
        <v>980</v>
      </c>
      <c r="F374" s="151"/>
      <c r="G374" s="123"/>
      <c r="H374" s="152">
        <v>53624</v>
      </c>
      <c r="I374" s="151"/>
      <c r="J374" s="151"/>
    </row>
    <row r="375" spans="1:10" x14ac:dyDescent="0.25">
      <c r="A375" s="147" t="s">
        <v>725</v>
      </c>
      <c r="B375" s="121" t="s">
        <v>739</v>
      </c>
      <c r="C375" s="149" t="s">
        <v>726</v>
      </c>
      <c r="D375" s="150">
        <v>236527</v>
      </c>
      <c r="E375" s="121" t="s">
        <v>980</v>
      </c>
      <c r="F375" s="151"/>
      <c r="G375" s="123">
        <v>80000</v>
      </c>
      <c r="H375" s="152">
        <v>53624</v>
      </c>
      <c r="I375" s="151"/>
      <c r="J375" s="151"/>
    </row>
    <row r="376" spans="1:10" x14ac:dyDescent="0.25">
      <c r="A376" s="147" t="s">
        <v>727</v>
      </c>
      <c r="B376" s="121" t="s">
        <v>739</v>
      </c>
      <c r="C376" s="149" t="s">
        <v>728</v>
      </c>
      <c r="D376" s="150">
        <v>236527</v>
      </c>
      <c r="E376" s="121" t="s">
        <v>980</v>
      </c>
      <c r="F376" s="151"/>
      <c r="G376" s="123"/>
      <c r="H376" s="152">
        <v>54357</v>
      </c>
      <c r="I376" s="151"/>
      <c r="J376" s="151"/>
    </row>
    <row r="377" spans="1:10" x14ac:dyDescent="0.25">
      <c r="A377" s="147" t="s">
        <v>609</v>
      </c>
      <c r="B377" s="149" t="s">
        <v>743</v>
      </c>
      <c r="C377" s="149" t="s">
        <v>610</v>
      </c>
      <c r="D377" s="150">
        <v>235873</v>
      </c>
      <c r="E377" s="121" t="s">
        <v>981</v>
      </c>
      <c r="F377" s="151"/>
      <c r="G377" s="123"/>
      <c r="H377" s="152">
        <v>46563</v>
      </c>
      <c r="I377" s="151"/>
      <c r="J377" s="151"/>
    </row>
    <row r="378" spans="1:10" x14ac:dyDescent="0.25">
      <c r="A378" s="147" t="s">
        <v>627</v>
      </c>
      <c r="B378" s="149" t="s">
        <v>743</v>
      </c>
      <c r="C378" s="149" t="s">
        <v>628</v>
      </c>
      <c r="D378" s="150">
        <v>235440</v>
      </c>
      <c r="E378" s="121" t="s">
        <v>982</v>
      </c>
      <c r="F378" s="151"/>
      <c r="G378" s="123"/>
      <c r="H378" s="152">
        <v>46433</v>
      </c>
      <c r="I378" s="151"/>
      <c r="J378" s="151"/>
    </row>
    <row r="379" spans="1:10" x14ac:dyDescent="0.25">
      <c r="A379" s="147" t="s">
        <v>436</v>
      </c>
      <c r="B379" s="121" t="s">
        <v>739</v>
      </c>
      <c r="C379" s="149" t="s">
        <v>437</v>
      </c>
      <c r="D379" s="150">
        <v>235334</v>
      </c>
      <c r="E379" s="121" t="s">
        <v>983</v>
      </c>
      <c r="F379" s="151"/>
      <c r="G379" s="123"/>
      <c r="H379" s="152">
        <v>2958465</v>
      </c>
      <c r="I379" s="151"/>
      <c r="J379" s="151"/>
    </row>
    <row r="380" spans="1:10" x14ac:dyDescent="0.25">
      <c r="A380" s="147" t="s">
        <v>623</v>
      </c>
      <c r="B380" s="149" t="s">
        <v>743</v>
      </c>
      <c r="C380" s="149" t="s">
        <v>624</v>
      </c>
      <c r="D380" s="150">
        <v>235334</v>
      </c>
      <c r="E380" s="121" t="s">
        <v>983</v>
      </c>
      <c r="F380" s="151"/>
      <c r="G380" s="123"/>
      <c r="H380" s="152">
        <v>46429</v>
      </c>
      <c r="I380" s="151"/>
      <c r="J380" s="151"/>
    </row>
    <row r="381" spans="1:10" x14ac:dyDescent="0.25">
      <c r="A381" s="147" t="s">
        <v>589</v>
      </c>
      <c r="B381" s="149" t="s">
        <v>743</v>
      </c>
      <c r="C381" s="149" t="s">
        <v>590</v>
      </c>
      <c r="D381" s="150">
        <v>234877</v>
      </c>
      <c r="E381" s="121" t="s">
        <v>984</v>
      </c>
      <c r="F381" s="151"/>
      <c r="G381" s="123"/>
      <c r="H381" s="152">
        <v>46518</v>
      </c>
      <c r="I381" s="151"/>
      <c r="J381" s="151"/>
    </row>
    <row r="382" spans="1:10" x14ac:dyDescent="0.25">
      <c r="A382" s="147" t="s">
        <v>438</v>
      </c>
      <c r="B382" s="148" t="s">
        <v>734</v>
      </c>
      <c r="C382" s="149" t="s">
        <v>439</v>
      </c>
      <c r="D382" s="150">
        <v>234516</v>
      </c>
      <c r="E382" s="121" t="s">
        <v>985</v>
      </c>
      <c r="F382" s="151"/>
      <c r="G382" s="123"/>
      <c r="H382" s="152">
        <v>2958465</v>
      </c>
      <c r="I382" s="151"/>
      <c r="J382" s="151"/>
    </row>
    <row r="383" spans="1:10" x14ac:dyDescent="0.25">
      <c r="A383" s="147" t="s">
        <v>607</v>
      </c>
      <c r="B383" s="149" t="s">
        <v>743</v>
      </c>
      <c r="C383" s="149" t="s">
        <v>608</v>
      </c>
      <c r="D383" s="150">
        <v>234073</v>
      </c>
      <c r="E383" s="121" t="s">
        <v>986</v>
      </c>
      <c r="F383" s="151"/>
      <c r="G383" s="123"/>
      <c r="H383" s="152">
        <v>46560</v>
      </c>
      <c r="I383" s="151"/>
      <c r="J383" s="151"/>
    </row>
    <row r="384" spans="1:10" x14ac:dyDescent="0.25">
      <c r="A384" s="147" t="s">
        <v>585</v>
      </c>
      <c r="B384" s="149" t="s">
        <v>743</v>
      </c>
      <c r="C384" s="149" t="s">
        <v>586</v>
      </c>
      <c r="D384" s="150">
        <v>233374</v>
      </c>
      <c r="E384" s="121" t="s">
        <v>987</v>
      </c>
      <c r="F384" s="151"/>
      <c r="G384" s="123"/>
      <c r="H384" s="152">
        <v>46520</v>
      </c>
      <c r="I384" s="151"/>
      <c r="J384" s="151"/>
    </row>
    <row r="385" spans="1:10" x14ac:dyDescent="0.25">
      <c r="A385" s="147" t="s">
        <v>647</v>
      </c>
      <c r="B385" s="149" t="s">
        <v>743</v>
      </c>
      <c r="C385" s="149" t="s">
        <v>648</v>
      </c>
      <c r="D385" s="150">
        <v>233358</v>
      </c>
      <c r="E385" s="121" t="s">
        <v>988</v>
      </c>
      <c r="F385" s="151"/>
      <c r="G385" s="123"/>
      <c r="H385" s="152">
        <v>46501</v>
      </c>
      <c r="I385" s="151"/>
      <c r="J385" s="151"/>
    </row>
    <row r="386" spans="1:10" x14ac:dyDescent="0.25">
      <c r="A386" s="147" t="s">
        <v>695</v>
      </c>
      <c r="B386" s="149" t="s">
        <v>743</v>
      </c>
      <c r="C386" s="149" t="s">
        <v>696</v>
      </c>
      <c r="D386" s="150">
        <v>233242</v>
      </c>
      <c r="E386" s="121" t="s">
        <v>989</v>
      </c>
      <c r="F386" s="151"/>
      <c r="G386" s="123"/>
      <c r="H386" s="152">
        <v>46041</v>
      </c>
      <c r="I386" s="151"/>
      <c r="J386" s="151"/>
    </row>
    <row r="387" spans="1:10" x14ac:dyDescent="0.25">
      <c r="A387" s="147" t="s">
        <v>645</v>
      </c>
      <c r="B387" s="149" t="s">
        <v>743</v>
      </c>
      <c r="C387" s="149" t="s">
        <v>646</v>
      </c>
      <c r="D387" s="150">
        <v>233129</v>
      </c>
      <c r="E387" s="121" t="s">
        <v>990</v>
      </c>
      <c r="F387" s="151"/>
      <c r="G387" s="123"/>
      <c r="H387" s="152">
        <v>46489</v>
      </c>
      <c r="I387" s="151"/>
      <c r="J387" s="151"/>
    </row>
    <row r="388" spans="1:10" x14ac:dyDescent="0.25">
      <c r="A388" s="147" t="s">
        <v>222</v>
      </c>
      <c r="B388" s="121" t="s">
        <v>739</v>
      </c>
      <c r="C388" s="149" t="s">
        <v>223</v>
      </c>
      <c r="D388" s="150">
        <v>232980</v>
      </c>
      <c r="E388" s="121" t="s">
        <v>991</v>
      </c>
      <c r="F388" s="151"/>
      <c r="G388" s="123">
        <v>508200</v>
      </c>
      <c r="H388" s="152">
        <v>47151</v>
      </c>
      <c r="I388" s="151"/>
      <c r="J388" s="151"/>
    </row>
    <row r="389" spans="1:10" x14ac:dyDescent="0.25">
      <c r="A389" s="147" t="s">
        <v>577</v>
      </c>
      <c r="B389" s="149" t="s">
        <v>743</v>
      </c>
      <c r="C389" s="149" t="s">
        <v>578</v>
      </c>
      <c r="D389" s="150">
        <v>232963</v>
      </c>
      <c r="E389" s="121" t="s">
        <v>992</v>
      </c>
      <c r="F389" s="151"/>
      <c r="G389" s="123"/>
      <c r="H389" s="152">
        <v>46529</v>
      </c>
      <c r="I389" s="151"/>
      <c r="J389" s="151"/>
    </row>
    <row r="390" spans="1:10" x14ac:dyDescent="0.25">
      <c r="A390" s="147" t="s">
        <v>364</v>
      </c>
      <c r="B390" s="149" t="s">
        <v>739</v>
      </c>
      <c r="C390" s="149" t="s">
        <v>365</v>
      </c>
      <c r="D390" s="150">
        <v>232947</v>
      </c>
      <c r="E390" s="121" t="s">
        <v>993</v>
      </c>
      <c r="F390" s="151"/>
      <c r="G390" s="123">
        <v>137302</v>
      </c>
      <c r="H390" s="152"/>
      <c r="I390" s="151"/>
      <c r="J390" s="151"/>
    </row>
    <row r="391" spans="1:10" x14ac:dyDescent="0.25">
      <c r="A391" s="147" t="s">
        <v>575</v>
      </c>
      <c r="B391" s="149" t="s">
        <v>743</v>
      </c>
      <c r="C391" s="149" t="s">
        <v>576</v>
      </c>
      <c r="D391" s="150">
        <v>232947</v>
      </c>
      <c r="E391" s="121" t="s">
        <v>993</v>
      </c>
      <c r="F391" s="151"/>
      <c r="G391" s="123"/>
      <c r="H391" s="152">
        <v>46535</v>
      </c>
      <c r="I391" s="151"/>
      <c r="J391" s="151"/>
    </row>
    <row r="392" spans="1:10" x14ac:dyDescent="0.25">
      <c r="A392" s="147" t="s">
        <v>240</v>
      </c>
      <c r="B392" s="121" t="s">
        <v>739</v>
      </c>
      <c r="C392" s="149" t="s">
        <v>241</v>
      </c>
      <c r="D392" s="150">
        <v>232947</v>
      </c>
      <c r="E392" s="121" t="s">
        <v>993</v>
      </c>
      <c r="F392" s="151"/>
      <c r="G392" s="123">
        <v>56600</v>
      </c>
      <c r="H392" s="152">
        <v>46660</v>
      </c>
      <c r="I392" s="151"/>
      <c r="J392" s="151"/>
    </row>
    <row r="393" spans="1:10" x14ac:dyDescent="0.25">
      <c r="A393" s="147" t="s">
        <v>685</v>
      </c>
      <c r="B393" s="149" t="s">
        <v>743</v>
      </c>
      <c r="C393" s="149" t="s">
        <v>686</v>
      </c>
      <c r="D393" s="150">
        <v>232645</v>
      </c>
      <c r="E393" s="121" t="s">
        <v>994</v>
      </c>
      <c r="F393" s="151"/>
      <c r="G393" s="123"/>
      <c r="H393" s="152">
        <v>46039</v>
      </c>
      <c r="I393" s="151"/>
      <c r="J393" s="151"/>
    </row>
    <row r="394" spans="1:10" x14ac:dyDescent="0.25">
      <c r="A394" s="147" t="s">
        <v>682</v>
      </c>
      <c r="B394" s="148" t="s">
        <v>743</v>
      </c>
      <c r="C394" s="149" t="s">
        <v>996</v>
      </c>
      <c r="D394" s="150">
        <v>232386</v>
      </c>
      <c r="E394" s="121" t="s">
        <v>995</v>
      </c>
      <c r="F394" s="151"/>
      <c r="G394" s="123"/>
      <c r="H394" s="152">
        <v>46034</v>
      </c>
      <c r="I394" s="151"/>
      <c r="J394" s="151"/>
    </row>
    <row r="395" spans="1:10" x14ac:dyDescent="0.25">
      <c r="A395" s="147" t="s">
        <v>14</v>
      </c>
      <c r="B395" s="149" t="s">
        <v>743</v>
      </c>
      <c r="C395" s="149" t="s">
        <v>15</v>
      </c>
      <c r="D395" s="150">
        <v>231584</v>
      </c>
      <c r="E395" s="121" t="s">
        <v>997</v>
      </c>
      <c r="F395" s="151"/>
      <c r="G395" s="123"/>
      <c r="H395" s="152">
        <v>46441</v>
      </c>
      <c r="I395" s="151"/>
      <c r="J395" s="151"/>
    </row>
    <row r="396" spans="1:10" x14ac:dyDescent="0.25">
      <c r="A396" s="147" t="s">
        <v>643</v>
      </c>
      <c r="B396" s="149" t="s">
        <v>743</v>
      </c>
      <c r="C396" s="149" t="s">
        <v>644</v>
      </c>
      <c r="D396" s="150">
        <v>231550</v>
      </c>
      <c r="E396" s="121" t="s">
        <v>998</v>
      </c>
      <c r="F396" s="151"/>
      <c r="G396" s="123"/>
      <c r="H396" s="152">
        <v>45756</v>
      </c>
      <c r="I396" s="151"/>
      <c r="J396" s="151"/>
    </row>
    <row r="397" spans="1:10" x14ac:dyDescent="0.25">
      <c r="A397" s="147" t="s">
        <v>611</v>
      </c>
      <c r="B397" s="149" t="s">
        <v>743</v>
      </c>
      <c r="C397" s="149" t="s">
        <v>612</v>
      </c>
      <c r="D397" s="150">
        <v>231525</v>
      </c>
      <c r="E397" s="121" t="s">
        <v>999</v>
      </c>
      <c r="F397" s="151"/>
      <c r="G397" s="123"/>
      <c r="H397" s="152">
        <v>46564</v>
      </c>
      <c r="I397" s="151"/>
      <c r="J397" s="151"/>
    </row>
    <row r="398" spans="1:10" x14ac:dyDescent="0.25">
      <c r="A398" s="147" t="s">
        <v>293</v>
      </c>
      <c r="B398" s="149" t="s">
        <v>743</v>
      </c>
      <c r="C398" s="149" t="s">
        <v>294</v>
      </c>
      <c r="D398" s="150">
        <v>231401</v>
      </c>
      <c r="E398" s="121" t="s">
        <v>1000</v>
      </c>
      <c r="F398" s="151"/>
      <c r="G398" s="123">
        <v>78650</v>
      </c>
      <c r="H398" s="152">
        <v>46546</v>
      </c>
      <c r="I398" s="151"/>
      <c r="J398" s="151"/>
    </row>
    <row r="399" spans="1:10" x14ac:dyDescent="0.25">
      <c r="A399" s="147" t="s">
        <v>135</v>
      </c>
      <c r="B399" s="148" t="s">
        <v>1166</v>
      </c>
      <c r="C399" s="149" t="s">
        <v>136</v>
      </c>
      <c r="D399" s="150">
        <v>231401</v>
      </c>
      <c r="E399" s="121" t="s">
        <v>1000</v>
      </c>
      <c r="F399" s="151"/>
      <c r="G399" s="123">
        <v>1</v>
      </c>
      <c r="H399" s="152">
        <v>2958465</v>
      </c>
      <c r="I399" s="151"/>
      <c r="J399" s="151"/>
    </row>
    <row r="400" spans="1:10" x14ac:dyDescent="0.25">
      <c r="A400" s="147" t="s">
        <v>113</v>
      </c>
      <c r="B400" s="148" t="s">
        <v>734</v>
      </c>
      <c r="C400" s="149" t="s">
        <v>114</v>
      </c>
      <c r="D400" s="150">
        <v>216208</v>
      </c>
      <c r="E400" s="121" t="s">
        <v>1001</v>
      </c>
      <c r="F400" s="151"/>
      <c r="G400" s="123"/>
      <c r="H400" s="152">
        <v>2958465</v>
      </c>
      <c r="I400" s="151"/>
      <c r="J400" s="151"/>
    </row>
    <row r="401" spans="1:10" x14ac:dyDescent="0.25">
      <c r="A401" s="155" t="s">
        <v>486</v>
      </c>
      <c r="B401" s="148" t="s">
        <v>734</v>
      </c>
      <c r="C401" s="157" t="s">
        <v>311</v>
      </c>
      <c r="D401" s="158">
        <v>179906</v>
      </c>
      <c r="E401" s="156" t="s">
        <v>1002</v>
      </c>
      <c r="F401" s="151"/>
      <c r="G401" s="123"/>
      <c r="H401" s="152">
        <v>2958465</v>
      </c>
      <c r="I401" s="151"/>
      <c r="J401" s="151"/>
    </row>
    <row r="402" spans="1:10" x14ac:dyDescent="0.25">
      <c r="A402" s="147" t="s">
        <v>269</v>
      </c>
      <c r="B402" s="148" t="s">
        <v>739</v>
      </c>
      <c r="C402" s="149" t="s">
        <v>270</v>
      </c>
      <c r="D402" s="150">
        <v>177041</v>
      </c>
      <c r="E402" s="149" t="s">
        <v>1003</v>
      </c>
      <c r="F402" s="151"/>
      <c r="G402" s="123"/>
      <c r="H402" s="152">
        <v>2958465</v>
      </c>
      <c r="I402" s="151"/>
      <c r="J402" s="151"/>
    </row>
    <row r="403" spans="1:10" x14ac:dyDescent="0.25">
      <c r="A403" s="147" t="s">
        <v>182</v>
      </c>
      <c r="B403" s="153" t="s">
        <v>740</v>
      </c>
      <c r="C403" s="149" t="s">
        <v>183</v>
      </c>
      <c r="D403" s="150">
        <v>174939</v>
      </c>
      <c r="E403" s="149" t="s">
        <v>1004</v>
      </c>
      <c r="F403" s="151"/>
      <c r="G403" s="123">
        <v>21477000</v>
      </c>
      <c r="H403" s="152">
        <v>2958465</v>
      </c>
      <c r="I403" s="151"/>
      <c r="J403" s="151"/>
    </row>
    <row r="404" spans="1:10" x14ac:dyDescent="0.25">
      <c r="A404" s="147" t="s">
        <v>721</v>
      </c>
      <c r="B404" s="148" t="s">
        <v>739</v>
      </c>
      <c r="C404" s="149" t="s">
        <v>722</v>
      </c>
      <c r="D404" s="150" t="s">
        <v>1894</v>
      </c>
      <c r="E404" s="121" t="s">
        <v>1005</v>
      </c>
      <c r="F404" s="151"/>
      <c r="G404" s="123"/>
      <c r="H404" s="152">
        <v>2958465</v>
      </c>
      <c r="I404" s="151"/>
      <c r="J404" s="151"/>
    </row>
    <row r="405" spans="1:10" x14ac:dyDescent="0.25">
      <c r="A405" s="147" t="s">
        <v>161</v>
      </c>
      <c r="B405" s="148" t="s">
        <v>739</v>
      </c>
      <c r="C405" s="149" t="s">
        <v>162</v>
      </c>
      <c r="D405" s="150" t="s">
        <v>1895</v>
      </c>
      <c r="E405" s="149" t="s">
        <v>1006</v>
      </c>
      <c r="F405" s="151"/>
      <c r="G405" s="123"/>
      <c r="H405" s="152">
        <v>2958465</v>
      </c>
      <c r="I405" s="151"/>
      <c r="J405" s="151"/>
    </row>
    <row r="406" spans="1:10" x14ac:dyDescent="0.25">
      <c r="A406" s="147" t="s">
        <v>139</v>
      </c>
      <c r="B406" s="121" t="s">
        <v>739</v>
      </c>
      <c r="C406" s="149" t="s">
        <v>140</v>
      </c>
      <c r="D406" s="150" t="s">
        <v>1896</v>
      </c>
      <c r="E406" s="121" t="s">
        <v>1007</v>
      </c>
      <c r="F406" s="151"/>
      <c r="G406" s="123" t="s">
        <v>1008</v>
      </c>
      <c r="H406" s="152">
        <v>2958465</v>
      </c>
      <c r="I406" s="151"/>
      <c r="J406" s="151"/>
    </row>
    <row r="407" spans="1:10" x14ac:dyDescent="0.25">
      <c r="A407" s="147" t="s">
        <v>153</v>
      </c>
      <c r="B407" s="121" t="s">
        <v>739</v>
      </c>
      <c r="C407" s="149" t="s">
        <v>154</v>
      </c>
      <c r="D407" s="150" t="s">
        <v>1896</v>
      </c>
      <c r="E407" s="121" t="s">
        <v>1007</v>
      </c>
      <c r="F407" s="151"/>
      <c r="G407" s="123"/>
      <c r="H407" s="152">
        <v>2958465</v>
      </c>
      <c r="I407" s="151"/>
      <c r="J407" s="151"/>
    </row>
    <row r="408" spans="1:10" x14ac:dyDescent="0.25">
      <c r="A408" s="147" t="s">
        <v>123</v>
      </c>
      <c r="B408" s="121" t="s">
        <v>739</v>
      </c>
      <c r="C408" s="149" t="s">
        <v>124</v>
      </c>
      <c r="D408" s="150" t="s">
        <v>1896</v>
      </c>
      <c r="E408" s="121" t="s">
        <v>1007</v>
      </c>
      <c r="F408" s="151"/>
      <c r="G408" s="123"/>
      <c r="H408" s="152">
        <v>2958465</v>
      </c>
      <c r="I408" s="151"/>
      <c r="J408" s="151"/>
    </row>
    <row r="409" spans="1:10" x14ac:dyDescent="0.25">
      <c r="A409" s="147" t="s">
        <v>558</v>
      </c>
      <c r="B409" s="148" t="s">
        <v>734</v>
      </c>
      <c r="C409" s="149" t="s">
        <v>559</v>
      </c>
      <c r="D409" s="150" t="s">
        <v>1897</v>
      </c>
      <c r="E409" s="121" t="s">
        <v>1009</v>
      </c>
      <c r="F409" s="151"/>
      <c r="G409" s="123"/>
      <c r="H409" s="152">
        <v>2958465</v>
      </c>
      <c r="I409" s="151"/>
      <c r="J409" s="151"/>
    </row>
    <row r="410" spans="1:10" x14ac:dyDescent="0.25">
      <c r="A410" s="147" t="s">
        <v>663</v>
      </c>
      <c r="B410" s="148" t="s">
        <v>737</v>
      </c>
      <c r="C410" s="171" t="s">
        <v>664</v>
      </c>
      <c r="D410" s="150" t="s">
        <v>1898</v>
      </c>
      <c r="E410" s="121" t="s">
        <v>1010</v>
      </c>
      <c r="F410" s="151"/>
      <c r="G410" s="123"/>
      <c r="H410" s="152">
        <v>2958465</v>
      </c>
      <c r="I410" s="151"/>
      <c r="J410" s="151"/>
    </row>
    <row r="411" spans="1:10" x14ac:dyDescent="0.25">
      <c r="A411" s="147" t="s">
        <v>665</v>
      </c>
      <c r="B411" s="148" t="s">
        <v>737</v>
      </c>
      <c r="C411" s="171" t="s">
        <v>664</v>
      </c>
      <c r="D411" s="150" t="s">
        <v>1898</v>
      </c>
      <c r="E411" s="121" t="s">
        <v>1010</v>
      </c>
      <c r="F411" s="151"/>
      <c r="G411" s="123"/>
      <c r="H411" s="152">
        <v>2958465</v>
      </c>
      <c r="I411" s="151"/>
      <c r="J411" s="151"/>
    </row>
    <row r="412" spans="1:10" x14ac:dyDescent="0.25">
      <c r="A412" s="147" t="s">
        <v>97</v>
      </c>
      <c r="B412" s="148" t="s">
        <v>737</v>
      </c>
      <c r="C412" s="171" t="s">
        <v>98</v>
      </c>
      <c r="D412" s="150" t="s">
        <v>1898</v>
      </c>
      <c r="E412" s="121" t="s">
        <v>1010</v>
      </c>
      <c r="F412" s="151"/>
      <c r="G412" s="123">
        <v>1</v>
      </c>
      <c r="H412" s="152">
        <v>2958465</v>
      </c>
      <c r="I412" s="151"/>
      <c r="J412" s="151"/>
    </row>
    <row r="413" spans="1:10" x14ac:dyDescent="0.25">
      <c r="A413" s="147" t="s">
        <v>353</v>
      </c>
      <c r="B413" s="121" t="s">
        <v>739</v>
      </c>
      <c r="C413" s="149" t="s">
        <v>354</v>
      </c>
      <c r="D413" s="150" t="s">
        <v>1899</v>
      </c>
      <c r="E413" s="149" t="s">
        <v>1012</v>
      </c>
      <c r="F413" s="151"/>
      <c r="G413" s="123">
        <v>1982648</v>
      </c>
      <c r="H413" s="152">
        <v>2958465</v>
      </c>
      <c r="I413" s="151"/>
      <c r="J413" s="151"/>
    </row>
    <row r="414" spans="1:10" x14ac:dyDescent="0.25">
      <c r="A414" s="173" t="s">
        <v>474</v>
      </c>
      <c r="B414" s="174" t="s">
        <v>737</v>
      </c>
      <c r="C414" s="175" t="s">
        <v>475</v>
      </c>
      <c r="D414" s="176" t="s">
        <v>1900</v>
      </c>
      <c r="E414" s="177" t="s">
        <v>1013</v>
      </c>
      <c r="F414" s="151"/>
      <c r="G414" s="123"/>
      <c r="H414" s="152">
        <v>2958465</v>
      </c>
      <c r="I414" s="151"/>
      <c r="J414" s="151"/>
    </row>
    <row r="415" spans="1:10" x14ac:dyDescent="0.25">
      <c r="A415" s="173" t="s">
        <v>543</v>
      </c>
      <c r="B415" s="178" t="s">
        <v>740</v>
      </c>
      <c r="C415" s="175" t="s">
        <v>544</v>
      </c>
      <c r="D415" s="176" t="s">
        <v>1901</v>
      </c>
      <c r="E415" s="177" t="s">
        <v>1014</v>
      </c>
      <c r="F415" s="151"/>
      <c r="G415" s="123"/>
      <c r="H415" s="152">
        <v>2958465</v>
      </c>
      <c r="I415" s="151"/>
      <c r="J415" s="151"/>
    </row>
    <row r="416" spans="1:10" x14ac:dyDescent="0.25">
      <c r="A416" s="147" t="s">
        <v>219</v>
      </c>
      <c r="B416" s="153" t="s">
        <v>739</v>
      </c>
      <c r="C416" s="149" t="s">
        <v>220</v>
      </c>
      <c r="D416" s="150" t="s">
        <v>1902</v>
      </c>
      <c r="E416" s="149" t="s">
        <v>1016</v>
      </c>
      <c r="F416" s="151"/>
      <c r="G416" s="123">
        <v>203280</v>
      </c>
      <c r="H416" s="152">
        <v>2958465</v>
      </c>
      <c r="I416" s="151"/>
      <c r="J416" s="151"/>
    </row>
    <row r="417" spans="1:10" x14ac:dyDescent="0.25">
      <c r="A417" s="147" t="s">
        <v>672</v>
      </c>
      <c r="B417" s="153" t="s">
        <v>740</v>
      </c>
      <c r="C417" s="149" t="s">
        <v>673</v>
      </c>
      <c r="D417" s="150" t="s">
        <v>1903</v>
      </c>
      <c r="E417" s="121" t="s">
        <v>1017</v>
      </c>
      <c r="F417" s="151"/>
      <c r="G417" s="123"/>
      <c r="H417" s="152">
        <v>2958465</v>
      </c>
      <c r="I417" s="151"/>
      <c r="J417" s="151"/>
    </row>
    <row r="418" spans="1:10" x14ac:dyDescent="0.25">
      <c r="A418" s="147" t="s">
        <v>280</v>
      </c>
      <c r="B418" s="153" t="s">
        <v>740</v>
      </c>
      <c r="C418" s="149" t="s">
        <v>281</v>
      </c>
      <c r="D418" s="150" t="s">
        <v>1903</v>
      </c>
      <c r="E418" s="121" t="s">
        <v>1017</v>
      </c>
      <c r="F418" s="151"/>
      <c r="G418" s="123"/>
      <c r="H418" s="152">
        <v>2958465</v>
      </c>
      <c r="I418" s="151"/>
      <c r="J418" s="151"/>
    </row>
    <row r="419" spans="1:10" x14ac:dyDescent="0.25">
      <c r="A419" s="147" t="s">
        <v>18</v>
      </c>
      <c r="B419" s="149" t="s">
        <v>743</v>
      </c>
      <c r="C419" s="149" t="s">
        <v>19</v>
      </c>
      <c r="D419" s="150" t="s">
        <v>1904</v>
      </c>
      <c r="E419" s="124" t="s">
        <v>735</v>
      </c>
      <c r="F419" s="151"/>
      <c r="G419" s="123">
        <v>196625</v>
      </c>
      <c r="H419" s="152">
        <v>46453</v>
      </c>
      <c r="I419" s="151"/>
      <c r="J419" s="151"/>
    </row>
    <row r="420" spans="1:10" x14ac:dyDescent="0.25">
      <c r="A420" s="147" t="s">
        <v>597</v>
      </c>
      <c r="B420" s="149" t="s">
        <v>743</v>
      </c>
      <c r="C420" s="149" t="s">
        <v>598</v>
      </c>
      <c r="D420" s="150" t="s">
        <v>1904</v>
      </c>
      <c r="E420" s="124" t="s">
        <v>735</v>
      </c>
      <c r="F420" s="151"/>
      <c r="G420" s="123"/>
      <c r="H420" s="152">
        <v>46542</v>
      </c>
      <c r="I420" s="151"/>
      <c r="J420" s="151"/>
    </row>
    <row r="421" spans="1:10" x14ac:dyDescent="0.25">
      <c r="A421" s="147" t="s">
        <v>649</v>
      </c>
      <c r="B421" s="149" t="s">
        <v>743</v>
      </c>
      <c r="C421" s="149" t="s">
        <v>650</v>
      </c>
      <c r="D421" s="150" t="s">
        <v>1904</v>
      </c>
      <c r="E421" s="124" t="s">
        <v>735</v>
      </c>
      <c r="F421" s="151"/>
      <c r="G421" s="123">
        <v>240785</v>
      </c>
      <c r="H421" s="152">
        <v>46492</v>
      </c>
      <c r="I421" s="151"/>
      <c r="J421" s="151"/>
    </row>
    <row r="422" spans="1:10" x14ac:dyDescent="0.25">
      <c r="A422" s="147" t="s">
        <v>651</v>
      </c>
      <c r="B422" s="149" t="s">
        <v>743</v>
      </c>
      <c r="C422" s="149" t="s">
        <v>652</v>
      </c>
      <c r="D422" s="150" t="s">
        <v>1904</v>
      </c>
      <c r="E422" s="124" t="s">
        <v>735</v>
      </c>
      <c r="F422" s="151"/>
      <c r="G422" s="123"/>
      <c r="H422" s="152">
        <v>46531</v>
      </c>
      <c r="I422" s="151"/>
      <c r="J422" s="151"/>
    </row>
    <row r="423" spans="1:10" x14ac:dyDescent="0.25">
      <c r="A423" s="147" t="s">
        <v>34</v>
      </c>
      <c r="B423" s="149" t="s">
        <v>743</v>
      </c>
      <c r="C423" s="149" t="s">
        <v>35</v>
      </c>
      <c r="D423" s="150" t="s">
        <v>1904</v>
      </c>
      <c r="E423" s="124" t="s">
        <v>735</v>
      </c>
      <c r="F423" s="151"/>
      <c r="G423" s="123">
        <v>0</v>
      </c>
      <c r="H423" s="152">
        <v>46597</v>
      </c>
      <c r="I423" s="151"/>
      <c r="J423" s="151"/>
    </row>
    <row r="424" spans="1:10" x14ac:dyDescent="0.25">
      <c r="A424" s="147" t="s">
        <v>697</v>
      </c>
      <c r="B424" s="149" t="s">
        <v>743</v>
      </c>
      <c r="C424" s="149" t="s">
        <v>698</v>
      </c>
      <c r="D424" s="150" t="s">
        <v>1904</v>
      </c>
      <c r="E424" s="124" t="s">
        <v>735</v>
      </c>
      <c r="F424" s="151"/>
      <c r="G424" s="123">
        <v>337097</v>
      </c>
      <c r="H424" s="152">
        <v>46056</v>
      </c>
      <c r="I424" s="151"/>
      <c r="J424" s="151"/>
    </row>
    <row r="425" spans="1:10" x14ac:dyDescent="0.25">
      <c r="A425" s="147" t="s">
        <v>420</v>
      </c>
      <c r="B425" s="121" t="s">
        <v>749</v>
      </c>
      <c r="C425" s="149" t="s">
        <v>421</v>
      </c>
      <c r="D425" s="150" t="s">
        <v>1905</v>
      </c>
      <c r="E425" s="149" t="s">
        <v>1016</v>
      </c>
      <c r="F425" s="151"/>
      <c r="G425" s="123"/>
      <c r="H425" s="152">
        <v>2958465</v>
      </c>
      <c r="I425" s="151"/>
      <c r="J425" s="151"/>
    </row>
    <row r="426" spans="1:10" x14ac:dyDescent="0.25">
      <c r="A426" s="147" t="s">
        <v>422</v>
      </c>
      <c r="B426" s="121" t="s">
        <v>749</v>
      </c>
      <c r="C426" s="149" t="s">
        <v>423</v>
      </c>
      <c r="D426" s="150" t="s">
        <v>1906</v>
      </c>
      <c r="E426" s="149" t="s">
        <v>1016</v>
      </c>
      <c r="F426" s="151"/>
      <c r="G426" s="123"/>
      <c r="H426" s="152">
        <v>2958465</v>
      </c>
      <c r="I426" s="151"/>
      <c r="J426" s="151"/>
    </row>
    <row r="427" spans="1:10" x14ac:dyDescent="0.25">
      <c r="A427" s="147" t="s">
        <v>424</v>
      </c>
      <c r="B427" s="121" t="s">
        <v>749</v>
      </c>
      <c r="C427" s="149" t="s">
        <v>425</v>
      </c>
      <c r="D427" s="150" t="s">
        <v>1906</v>
      </c>
      <c r="E427" s="149" t="s">
        <v>1016</v>
      </c>
      <c r="F427" s="151"/>
      <c r="G427" s="123"/>
      <c r="H427" s="152">
        <v>2958465</v>
      </c>
      <c r="I427" s="151"/>
      <c r="J427" s="151"/>
    </row>
    <row r="428" spans="1:10" x14ac:dyDescent="0.25">
      <c r="A428" s="147" t="s">
        <v>655</v>
      </c>
      <c r="B428" s="148" t="s">
        <v>734</v>
      </c>
      <c r="C428" s="149" t="s">
        <v>656</v>
      </c>
      <c r="D428" s="150" t="s">
        <v>1907</v>
      </c>
      <c r="E428" s="121" t="s">
        <v>1018</v>
      </c>
      <c r="F428" s="151"/>
      <c r="G428" s="123"/>
      <c r="H428" s="152">
        <v>2958465</v>
      </c>
      <c r="I428" s="151"/>
      <c r="J428" s="151"/>
    </row>
    <row r="429" spans="1:10" x14ac:dyDescent="0.25">
      <c r="A429" s="147" t="s">
        <v>657</v>
      </c>
      <c r="B429" s="121" t="s">
        <v>749</v>
      </c>
      <c r="C429" s="149" t="s">
        <v>658</v>
      </c>
      <c r="D429" s="150" t="s">
        <v>1907</v>
      </c>
      <c r="E429" s="121" t="s">
        <v>1019</v>
      </c>
      <c r="F429" s="151"/>
      <c r="G429" s="123"/>
      <c r="H429" s="152">
        <v>2958465</v>
      </c>
      <c r="I429" s="151"/>
      <c r="J429" s="151"/>
    </row>
    <row r="430" spans="1:10" x14ac:dyDescent="0.25">
      <c r="A430" s="147" t="s">
        <v>355</v>
      </c>
      <c r="B430" s="149" t="s">
        <v>743</v>
      </c>
      <c r="C430" s="149" t="s">
        <v>1021</v>
      </c>
      <c r="D430" s="150">
        <v>9645284</v>
      </c>
      <c r="E430" s="149" t="s">
        <v>1020</v>
      </c>
      <c r="F430" s="151"/>
      <c r="G430" s="123">
        <v>1506450</v>
      </c>
      <c r="H430" s="152">
        <v>2958465</v>
      </c>
      <c r="I430" s="151"/>
      <c r="J430" s="151"/>
    </row>
    <row r="431" spans="1:10" x14ac:dyDescent="0.25">
      <c r="A431" s="179" t="s">
        <v>723</v>
      </c>
      <c r="B431" s="149" t="s">
        <v>739</v>
      </c>
      <c r="C431" s="149" t="s">
        <v>1023</v>
      </c>
      <c r="D431" s="150">
        <v>47534532</v>
      </c>
      <c r="E431" s="149" t="s">
        <v>800</v>
      </c>
      <c r="F431" s="151"/>
      <c r="G431" s="123">
        <v>358886</v>
      </c>
      <c r="H431" s="152"/>
      <c r="I431" s="151"/>
      <c r="J431" s="151"/>
    </row>
    <row r="432" spans="1:10" x14ac:dyDescent="0.25">
      <c r="A432" s="147" t="s">
        <v>1024</v>
      </c>
      <c r="B432" s="149" t="s">
        <v>740</v>
      </c>
      <c r="C432" s="149" t="s">
        <v>1026</v>
      </c>
      <c r="D432" s="150" t="s">
        <v>1893</v>
      </c>
      <c r="E432" s="149" t="s">
        <v>1025</v>
      </c>
      <c r="F432" s="151"/>
      <c r="G432" s="123"/>
      <c r="H432" s="152">
        <v>49042</v>
      </c>
      <c r="I432" s="151"/>
      <c r="J432" s="151"/>
    </row>
    <row r="433" spans="1:10" x14ac:dyDescent="0.25">
      <c r="A433" s="147" t="s">
        <v>1027</v>
      </c>
      <c r="B433" s="149" t="s">
        <v>740</v>
      </c>
      <c r="C433" s="149" t="s">
        <v>1028</v>
      </c>
      <c r="D433" s="150" t="s">
        <v>1810</v>
      </c>
      <c r="E433" s="149" t="s">
        <v>912</v>
      </c>
      <c r="F433" s="151"/>
      <c r="G433" s="123"/>
      <c r="H433" s="152">
        <v>2958465</v>
      </c>
      <c r="I433" s="151"/>
      <c r="J433" s="151"/>
    </row>
    <row r="434" spans="1:10" x14ac:dyDescent="0.25">
      <c r="A434" s="180" t="s">
        <v>1029</v>
      </c>
      <c r="B434" s="149" t="s">
        <v>739</v>
      </c>
      <c r="C434" s="149" t="s">
        <v>1263</v>
      </c>
      <c r="D434" s="180" t="s">
        <v>1892</v>
      </c>
      <c r="E434" s="149" t="s">
        <v>955</v>
      </c>
      <c r="F434" s="151"/>
      <c r="G434" s="123">
        <v>3540000</v>
      </c>
      <c r="H434" s="152">
        <v>47208</v>
      </c>
      <c r="I434" s="151"/>
      <c r="J434" s="151"/>
    </row>
    <row r="435" spans="1:10" x14ac:dyDescent="0.25">
      <c r="A435" s="147" t="s">
        <v>1030</v>
      </c>
      <c r="B435" s="149" t="s">
        <v>734</v>
      </c>
      <c r="C435" s="149" t="s">
        <v>1031</v>
      </c>
      <c r="D435" s="150">
        <v>27256456</v>
      </c>
      <c r="E435" s="149" t="s">
        <v>839</v>
      </c>
      <c r="F435" s="151"/>
      <c r="G435" s="123">
        <v>0</v>
      </c>
      <c r="H435" s="152">
        <v>2958465</v>
      </c>
      <c r="I435" s="151"/>
      <c r="J435" s="151"/>
    </row>
    <row r="436" spans="1:10" x14ac:dyDescent="0.25">
      <c r="A436" s="147" t="s">
        <v>1033</v>
      </c>
      <c r="B436" s="149" t="s">
        <v>1166</v>
      </c>
      <c r="C436" s="149" t="s">
        <v>1034</v>
      </c>
      <c r="D436" s="150">
        <v>70099618</v>
      </c>
      <c r="E436" s="149" t="s">
        <v>760</v>
      </c>
      <c r="F436" s="151"/>
      <c r="G436" s="123">
        <v>7968283</v>
      </c>
      <c r="H436" s="152">
        <v>46356</v>
      </c>
      <c r="I436" s="151"/>
      <c r="J436" s="151"/>
    </row>
    <row r="437" spans="1:10" x14ac:dyDescent="0.25">
      <c r="A437" s="147" t="s">
        <v>1035</v>
      </c>
      <c r="B437" s="149" t="s">
        <v>739</v>
      </c>
      <c r="C437" s="149" t="s">
        <v>1036</v>
      </c>
      <c r="D437" s="150" t="s">
        <v>1891</v>
      </c>
      <c r="E437" s="149" t="s">
        <v>992</v>
      </c>
      <c r="F437" s="151"/>
      <c r="G437" s="123">
        <v>883375</v>
      </c>
      <c r="H437" s="152">
        <v>2958465</v>
      </c>
      <c r="I437" s="151"/>
      <c r="J437" s="151"/>
    </row>
    <row r="438" spans="1:10" x14ac:dyDescent="0.25">
      <c r="A438" s="147" t="s">
        <v>1039</v>
      </c>
      <c r="B438" s="149" t="s">
        <v>739</v>
      </c>
      <c r="C438" s="149" t="s">
        <v>1040</v>
      </c>
      <c r="D438" s="150" t="s">
        <v>1890</v>
      </c>
      <c r="E438" s="149" t="s">
        <v>960</v>
      </c>
      <c r="F438" s="151"/>
      <c r="G438" s="123">
        <v>3165800</v>
      </c>
      <c r="H438" s="152">
        <v>46721</v>
      </c>
      <c r="I438" s="151"/>
      <c r="J438" s="151"/>
    </row>
    <row r="439" spans="1:10" x14ac:dyDescent="0.25">
      <c r="A439" s="147" t="s">
        <v>1041</v>
      </c>
      <c r="B439" s="149" t="s">
        <v>739</v>
      </c>
      <c r="C439" s="149" t="s">
        <v>1265</v>
      </c>
      <c r="D439" s="150" t="s">
        <v>1890</v>
      </c>
      <c r="E439" s="149" t="s">
        <v>960</v>
      </c>
      <c r="F439" s="151"/>
      <c r="G439" s="123">
        <v>287800</v>
      </c>
      <c r="H439" s="152">
        <v>46721</v>
      </c>
      <c r="I439" s="151"/>
      <c r="J439" s="151"/>
    </row>
    <row r="440" spans="1:10" x14ac:dyDescent="0.25">
      <c r="A440" s="147" t="s">
        <v>1042</v>
      </c>
      <c r="B440" s="149" t="s">
        <v>743</v>
      </c>
      <c r="C440" s="149" t="s">
        <v>1043</v>
      </c>
      <c r="D440" s="150" t="s">
        <v>1889</v>
      </c>
      <c r="E440" s="149" t="s">
        <v>957</v>
      </c>
      <c r="F440" s="151"/>
      <c r="G440" s="123">
        <v>0</v>
      </c>
      <c r="H440" s="152">
        <v>46108</v>
      </c>
      <c r="I440" s="151"/>
      <c r="J440" s="151"/>
    </row>
    <row r="441" spans="1:10" x14ac:dyDescent="0.25">
      <c r="A441" s="147" t="s">
        <v>1428</v>
      </c>
      <c r="B441" s="149" t="s">
        <v>734</v>
      </c>
      <c r="C441" s="149" t="s">
        <v>1046</v>
      </c>
      <c r="D441" s="150" t="s">
        <v>1842</v>
      </c>
      <c r="E441" s="149" t="s">
        <v>1011</v>
      </c>
      <c r="F441" s="151"/>
      <c r="G441" s="123">
        <v>0</v>
      </c>
      <c r="H441" s="152">
        <v>45390</v>
      </c>
      <c r="I441" s="151"/>
      <c r="J441" s="151"/>
    </row>
    <row r="442" spans="1:10" x14ac:dyDescent="0.25">
      <c r="A442" s="147" t="s">
        <v>1047</v>
      </c>
      <c r="B442" s="149" t="s">
        <v>734</v>
      </c>
      <c r="C442" s="149" t="s">
        <v>1049</v>
      </c>
      <c r="D442" s="150" t="s">
        <v>1888</v>
      </c>
      <c r="E442" s="149" t="s">
        <v>1048</v>
      </c>
      <c r="F442" s="151"/>
      <c r="G442" s="123">
        <v>0</v>
      </c>
      <c r="H442" s="152">
        <v>2958465</v>
      </c>
      <c r="I442" s="151"/>
      <c r="J442" s="151"/>
    </row>
    <row r="443" spans="1:10" x14ac:dyDescent="0.25">
      <c r="A443" s="147" t="s">
        <v>1050</v>
      </c>
      <c r="B443" s="149" t="s">
        <v>734</v>
      </c>
      <c r="C443" s="149" t="s">
        <v>1051</v>
      </c>
      <c r="D443" s="150">
        <v>75030926</v>
      </c>
      <c r="E443" s="149" t="s">
        <v>1010</v>
      </c>
      <c r="F443" s="151"/>
      <c r="G443" s="123">
        <v>0</v>
      </c>
      <c r="H443" s="152">
        <v>2958465</v>
      </c>
      <c r="I443" s="151"/>
      <c r="J443" s="151"/>
    </row>
    <row r="444" spans="1:10" x14ac:dyDescent="0.25">
      <c r="A444" s="147" t="s">
        <v>1052</v>
      </c>
      <c r="B444" s="149" t="s">
        <v>739</v>
      </c>
      <c r="C444" s="149" t="s">
        <v>1053</v>
      </c>
      <c r="D444" s="150" t="s">
        <v>1887</v>
      </c>
      <c r="E444" s="149" t="s">
        <v>1589</v>
      </c>
      <c r="F444" s="151"/>
      <c r="G444" s="123"/>
      <c r="H444" s="152">
        <v>46491</v>
      </c>
      <c r="I444" s="151"/>
      <c r="J444" s="151"/>
    </row>
    <row r="445" spans="1:10" x14ac:dyDescent="0.25">
      <c r="A445" s="147" t="s">
        <v>1054</v>
      </c>
      <c r="B445" s="149" t="s">
        <v>739</v>
      </c>
      <c r="C445" s="149" t="s">
        <v>1056</v>
      </c>
      <c r="D445" s="150" t="s">
        <v>1886</v>
      </c>
      <c r="E445" s="149" t="s">
        <v>1055</v>
      </c>
      <c r="F445" s="151"/>
      <c r="G445" s="123"/>
      <c r="H445" s="152">
        <v>2958465</v>
      </c>
      <c r="I445" s="151"/>
      <c r="J445" s="151"/>
    </row>
    <row r="446" spans="1:10" x14ac:dyDescent="0.25">
      <c r="A446" s="147" t="s">
        <v>1058</v>
      </c>
      <c r="B446" s="149" t="s">
        <v>737</v>
      </c>
      <c r="C446" s="149" t="s">
        <v>1059</v>
      </c>
      <c r="D446" s="150">
        <v>47528371</v>
      </c>
      <c r="E446" s="181" t="s">
        <v>801</v>
      </c>
      <c r="F446" s="151"/>
      <c r="G446" s="123">
        <v>0</v>
      </c>
      <c r="H446" s="152">
        <v>46858</v>
      </c>
      <c r="I446" s="151"/>
      <c r="J446" s="151"/>
    </row>
    <row r="447" spans="1:10" x14ac:dyDescent="0.25">
      <c r="A447" s="147" t="s">
        <v>1060</v>
      </c>
      <c r="B447" s="149" t="s">
        <v>739</v>
      </c>
      <c r="C447" s="149" t="s">
        <v>1061</v>
      </c>
      <c r="D447" s="150">
        <v>70891095</v>
      </c>
      <c r="E447" s="149" t="s">
        <v>750</v>
      </c>
      <c r="F447" s="151"/>
      <c r="G447" s="123"/>
      <c r="H447" s="152">
        <v>46752</v>
      </c>
      <c r="I447" s="151"/>
      <c r="J447" s="151"/>
    </row>
    <row r="448" spans="1:10" x14ac:dyDescent="0.25">
      <c r="A448" s="147" t="s">
        <v>1062</v>
      </c>
      <c r="B448" s="149" t="s">
        <v>737</v>
      </c>
      <c r="C448" s="149" t="s">
        <v>1063</v>
      </c>
      <c r="D448" s="150">
        <v>47013974</v>
      </c>
      <c r="E448" s="181" t="s">
        <v>804</v>
      </c>
      <c r="F448" s="151"/>
      <c r="G448" s="123">
        <v>0</v>
      </c>
      <c r="H448" s="152">
        <v>46022</v>
      </c>
      <c r="I448" s="151"/>
      <c r="J448" s="151"/>
    </row>
    <row r="449" spans="1:10" x14ac:dyDescent="0.25">
      <c r="A449" s="147" t="s">
        <v>1064</v>
      </c>
      <c r="B449" s="149" t="s">
        <v>737</v>
      </c>
      <c r="C449" s="171" t="s">
        <v>1066</v>
      </c>
      <c r="D449" s="150" t="s">
        <v>1885</v>
      </c>
      <c r="E449" s="181" t="s">
        <v>1065</v>
      </c>
      <c r="F449" s="151"/>
      <c r="G449" s="123">
        <v>0</v>
      </c>
      <c r="H449" s="152">
        <v>46815</v>
      </c>
      <c r="I449" s="151"/>
      <c r="J449" s="151"/>
    </row>
    <row r="450" spans="1:10" x14ac:dyDescent="0.25">
      <c r="A450" s="147" t="s">
        <v>1067</v>
      </c>
      <c r="B450" s="149" t="s">
        <v>739</v>
      </c>
      <c r="C450" s="149" t="s">
        <v>1068</v>
      </c>
      <c r="D450" s="150">
        <v>70891095</v>
      </c>
      <c r="E450" s="149" t="s">
        <v>750</v>
      </c>
      <c r="F450" s="151"/>
      <c r="G450" s="123"/>
      <c r="H450" s="152"/>
      <c r="I450" s="151"/>
      <c r="J450" s="151"/>
    </row>
    <row r="451" spans="1:10" x14ac:dyDescent="0.25">
      <c r="A451" s="147" t="s">
        <v>1071</v>
      </c>
      <c r="B451" s="149" t="s">
        <v>739</v>
      </c>
      <c r="C451" s="149" t="s">
        <v>1073</v>
      </c>
      <c r="D451" s="150">
        <v>17323886</v>
      </c>
      <c r="E451" s="149" t="s">
        <v>1072</v>
      </c>
      <c r="F451" s="151"/>
      <c r="G451" s="123"/>
      <c r="H451" s="152">
        <v>46022</v>
      </c>
      <c r="I451" s="151"/>
      <c r="J451" s="151"/>
    </row>
    <row r="452" spans="1:10" x14ac:dyDescent="0.25">
      <c r="A452" s="147" t="s">
        <v>1074</v>
      </c>
      <c r="B452" s="149" t="s">
        <v>739</v>
      </c>
      <c r="C452" s="149" t="s">
        <v>1075</v>
      </c>
      <c r="D452" s="150" t="s">
        <v>1812</v>
      </c>
      <c r="E452" s="149" t="s">
        <v>924</v>
      </c>
      <c r="F452" s="151"/>
      <c r="G452" s="123">
        <v>544500</v>
      </c>
      <c r="H452" s="152">
        <v>46142</v>
      </c>
      <c r="I452" s="151"/>
      <c r="J452" s="151"/>
    </row>
    <row r="453" spans="1:10" x14ac:dyDescent="0.25">
      <c r="A453" s="147" t="s">
        <v>1076</v>
      </c>
      <c r="B453" s="149" t="s">
        <v>737</v>
      </c>
      <c r="C453" s="149" t="s">
        <v>1077</v>
      </c>
      <c r="D453" s="150">
        <v>61383082</v>
      </c>
      <c r="E453" s="149" t="s">
        <v>777</v>
      </c>
      <c r="F453" s="151"/>
      <c r="G453" s="123">
        <v>83000</v>
      </c>
      <c r="H453" s="152">
        <v>45869</v>
      </c>
      <c r="I453" s="151"/>
      <c r="J453" s="151"/>
    </row>
    <row r="454" spans="1:10" x14ac:dyDescent="0.25">
      <c r="A454" s="147" t="s">
        <v>1078</v>
      </c>
      <c r="B454" s="149" t="s">
        <v>740</v>
      </c>
      <c r="C454" s="149" t="s">
        <v>1079</v>
      </c>
      <c r="D454" s="150">
        <v>60193336</v>
      </c>
      <c r="E454" s="149" t="s">
        <v>780</v>
      </c>
      <c r="F454" s="151"/>
      <c r="G454" s="123">
        <v>0</v>
      </c>
      <c r="H454" s="152">
        <v>45782</v>
      </c>
      <c r="I454" s="151"/>
      <c r="J454" s="151"/>
    </row>
    <row r="455" spans="1:10" x14ac:dyDescent="0.25">
      <c r="A455" s="147" t="s">
        <v>1080</v>
      </c>
      <c r="B455" s="149" t="s">
        <v>737</v>
      </c>
      <c r="C455" s="149" t="s">
        <v>1081</v>
      </c>
      <c r="D455" s="150">
        <v>24174319</v>
      </c>
      <c r="E455" s="181" t="s">
        <v>902</v>
      </c>
      <c r="F455" s="151"/>
      <c r="G455" s="123">
        <v>0</v>
      </c>
      <c r="H455" s="152">
        <v>46892</v>
      </c>
      <c r="I455" s="151"/>
      <c r="J455" s="151"/>
    </row>
    <row r="456" spans="1:10" x14ac:dyDescent="0.25">
      <c r="A456" s="147" t="s">
        <v>1082</v>
      </c>
      <c r="B456" s="149" t="s">
        <v>737</v>
      </c>
      <c r="C456" s="149" t="s">
        <v>1083</v>
      </c>
      <c r="D456" s="150">
        <v>27256391</v>
      </c>
      <c r="E456" s="181" t="s">
        <v>841</v>
      </c>
      <c r="F456" s="151"/>
      <c r="G456" s="123">
        <v>0</v>
      </c>
      <c r="H456" s="152">
        <v>46892</v>
      </c>
      <c r="I456" s="151"/>
      <c r="J456" s="151"/>
    </row>
    <row r="457" spans="1:10" x14ac:dyDescent="0.25">
      <c r="A457" s="147" t="s">
        <v>1086</v>
      </c>
      <c r="B457" s="149" t="s">
        <v>740</v>
      </c>
      <c r="C457" s="149" t="s">
        <v>1088</v>
      </c>
      <c r="D457" s="150">
        <v>25112775</v>
      </c>
      <c r="E457" s="149" t="s">
        <v>1087</v>
      </c>
      <c r="F457" s="151"/>
      <c r="G457" s="123">
        <v>543169</v>
      </c>
      <c r="H457" s="152">
        <v>45688</v>
      </c>
      <c r="I457" s="151"/>
      <c r="J457" s="151"/>
    </row>
    <row r="458" spans="1:10" x14ac:dyDescent="0.25">
      <c r="A458" s="147" t="s">
        <v>1332</v>
      </c>
      <c r="B458" s="149" t="s">
        <v>740</v>
      </c>
      <c r="C458" s="149" t="s">
        <v>1333</v>
      </c>
      <c r="D458" s="150">
        <v>25112775</v>
      </c>
      <c r="E458" s="149" t="s">
        <v>1087</v>
      </c>
      <c r="F458" s="151"/>
      <c r="G458" s="123">
        <v>50000</v>
      </c>
      <c r="H458" s="152">
        <v>45688</v>
      </c>
      <c r="I458" s="151"/>
      <c r="J458" s="151"/>
    </row>
    <row r="459" spans="1:10" x14ac:dyDescent="0.25">
      <c r="A459" s="147" t="s">
        <v>1091</v>
      </c>
      <c r="B459" s="149" t="s">
        <v>739</v>
      </c>
      <c r="C459" s="149" t="s">
        <v>1089</v>
      </c>
      <c r="D459" s="150">
        <v>49356089</v>
      </c>
      <c r="E459" s="149" t="s">
        <v>787</v>
      </c>
      <c r="F459" s="151"/>
      <c r="G459" s="123">
        <v>0</v>
      </c>
      <c r="H459" s="152">
        <v>46173</v>
      </c>
      <c r="I459" s="151"/>
      <c r="J459" s="151"/>
    </row>
    <row r="460" spans="1:10" x14ac:dyDescent="0.25">
      <c r="A460" s="147" t="s">
        <v>1092</v>
      </c>
      <c r="B460" s="149" t="s">
        <v>740</v>
      </c>
      <c r="C460" s="149" t="s">
        <v>1093</v>
      </c>
      <c r="D460" s="150" t="s">
        <v>1868</v>
      </c>
      <c r="E460" s="149" t="s">
        <v>1090</v>
      </c>
      <c r="F460" s="151"/>
      <c r="G460" s="123"/>
      <c r="H460" s="152">
        <v>46137</v>
      </c>
      <c r="I460" s="151"/>
      <c r="J460" s="151"/>
    </row>
    <row r="461" spans="1:10" x14ac:dyDescent="0.25">
      <c r="A461" s="147" t="s">
        <v>1094</v>
      </c>
      <c r="B461" s="149" t="s">
        <v>737</v>
      </c>
      <c r="C461" s="149" t="s">
        <v>1096</v>
      </c>
      <c r="D461" s="150">
        <v>75145774</v>
      </c>
      <c r="E461" s="181" t="s">
        <v>1095</v>
      </c>
      <c r="F461" s="151"/>
      <c r="G461" s="123">
        <v>0</v>
      </c>
      <c r="H461" s="152">
        <v>46909</v>
      </c>
      <c r="I461" s="151"/>
      <c r="J461" s="151"/>
    </row>
    <row r="462" spans="1:10" x14ac:dyDescent="0.25">
      <c r="A462" s="147" t="s">
        <v>1097</v>
      </c>
      <c r="B462" s="149" t="s">
        <v>734</v>
      </c>
      <c r="C462" s="149" t="s">
        <v>1099</v>
      </c>
      <c r="D462" s="150">
        <v>70208611</v>
      </c>
      <c r="E462" s="149" t="s">
        <v>1098</v>
      </c>
      <c r="F462" s="151"/>
      <c r="G462" s="123"/>
      <c r="H462" s="152" t="s">
        <v>830</v>
      </c>
      <c r="I462" s="151"/>
      <c r="J462" s="151"/>
    </row>
    <row r="463" spans="1:10" x14ac:dyDescent="0.25">
      <c r="A463" s="147" t="s">
        <v>1100</v>
      </c>
      <c r="B463" s="149" t="s">
        <v>759</v>
      </c>
      <c r="C463" s="149" t="s">
        <v>1101</v>
      </c>
      <c r="D463" s="150">
        <v>47114983</v>
      </c>
      <c r="E463" s="149" t="s">
        <v>802</v>
      </c>
      <c r="F463" s="151"/>
      <c r="G463" s="123">
        <v>0</v>
      </c>
      <c r="H463" s="152">
        <v>2958465</v>
      </c>
      <c r="I463" s="151"/>
      <c r="J463" s="151"/>
    </row>
    <row r="464" spans="1:10" x14ac:dyDescent="0.25">
      <c r="A464" s="147" t="s">
        <v>1102</v>
      </c>
      <c r="B464" s="149" t="s">
        <v>739</v>
      </c>
      <c r="C464" s="149" t="s">
        <v>1103</v>
      </c>
      <c r="D464" s="150">
        <v>27167127</v>
      </c>
      <c r="E464" s="149" t="s">
        <v>849</v>
      </c>
      <c r="F464" s="151"/>
      <c r="G464" s="123">
        <v>190000</v>
      </c>
      <c r="H464" s="152">
        <v>46203</v>
      </c>
      <c r="I464" s="151"/>
      <c r="J464" s="151"/>
    </row>
    <row r="465" spans="1:10" x14ac:dyDescent="0.25">
      <c r="A465" s="147" t="s">
        <v>1104</v>
      </c>
      <c r="B465" s="149" t="s">
        <v>739</v>
      </c>
      <c r="C465" s="149" t="s">
        <v>1105</v>
      </c>
      <c r="D465" s="150">
        <v>25085221</v>
      </c>
      <c r="E465" s="149" t="s">
        <v>886</v>
      </c>
      <c r="F465" s="151"/>
      <c r="G465" s="123"/>
      <c r="H465" s="152">
        <v>46173</v>
      </c>
      <c r="I465" s="151"/>
      <c r="J465" s="151"/>
    </row>
    <row r="466" spans="1:10" x14ac:dyDescent="0.25">
      <c r="A466" s="147" t="s">
        <v>1106</v>
      </c>
      <c r="B466" s="149" t="s">
        <v>739</v>
      </c>
      <c r="C466" s="149" t="s">
        <v>1107</v>
      </c>
      <c r="D466" s="150">
        <v>25458302</v>
      </c>
      <c r="E466" s="149" t="s">
        <v>878</v>
      </c>
      <c r="F466" s="151"/>
      <c r="G466" s="123"/>
      <c r="H466" s="152">
        <v>46022</v>
      </c>
      <c r="I466" s="151"/>
      <c r="J466" s="151"/>
    </row>
    <row r="467" spans="1:10" x14ac:dyDescent="0.25">
      <c r="A467" s="147" t="s">
        <v>1108</v>
      </c>
      <c r="B467" s="149" t="s">
        <v>739</v>
      </c>
      <c r="C467" s="149" t="s">
        <v>1109</v>
      </c>
      <c r="D467" s="150">
        <v>60193492</v>
      </c>
      <c r="E467" s="149" t="s">
        <v>779</v>
      </c>
      <c r="F467" s="151"/>
      <c r="G467" s="123"/>
      <c r="H467" s="152">
        <v>46022</v>
      </c>
      <c r="I467" s="151"/>
      <c r="J467" s="151"/>
    </row>
    <row r="468" spans="1:10" x14ac:dyDescent="0.25">
      <c r="A468" s="147" t="s">
        <v>1110</v>
      </c>
      <c r="B468" s="149" t="s">
        <v>740</v>
      </c>
      <c r="C468" s="149" t="s">
        <v>1112</v>
      </c>
      <c r="D468" s="150" t="s">
        <v>1884</v>
      </c>
      <c r="E468" s="149" t="s">
        <v>1111</v>
      </c>
      <c r="F468" s="151"/>
      <c r="G468" s="123"/>
      <c r="H468" s="152">
        <v>2958465</v>
      </c>
      <c r="I468" s="151"/>
      <c r="J468" s="151"/>
    </row>
    <row r="469" spans="1:10" x14ac:dyDescent="0.25">
      <c r="A469" s="147" t="s">
        <v>1113</v>
      </c>
      <c r="B469" s="149" t="s">
        <v>737</v>
      </c>
      <c r="C469" s="149" t="s">
        <v>1114</v>
      </c>
      <c r="D469" s="150">
        <v>27085031</v>
      </c>
      <c r="E469" s="149" t="s">
        <v>853</v>
      </c>
      <c r="F469" s="151"/>
      <c r="G469" s="123"/>
      <c r="H469" s="152"/>
      <c r="I469" s="151"/>
      <c r="J469" s="151"/>
    </row>
    <row r="470" spans="1:10" x14ac:dyDescent="0.25">
      <c r="A470" s="147" t="s">
        <v>1115</v>
      </c>
      <c r="B470" s="149" t="s">
        <v>737</v>
      </c>
      <c r="C470" s="149" t="s">
        <v>1116</v>
      </c>
      <c r="D470" s="150" t="s">
        <v>1883</v>
      </c>
      <c r="E470" s="181" t="s">
        <v>927</v>
      </c>
      <c r="F470" s="151"/>
      <c r="G470" s="123"/>
      <c r="H470" s="152">
        <v>46971</v>
      </c>
      <c r="I470" s="151"/>
      <c r="J470" s="151"/>
    </row>
    <row r="471" spans="1:10" x14ac:dyDescent="0.25">
      <c r="A471" s="147" t="s">
        <v>1117</v>
      </c>
      <c r="B471" s="149" t="s">
        <v>749</v>
      </c>
      <c r="C471" s="149" t="s">
        <v>1119</v>
      </c>
      <c r="D471" s="150">
        <v>41197518</v>
      </c>
      <c r="E471" s="149" t="s">
        <v>1118</v>
      </c>
      <c r="F471" s="151"/>
      <c r="G471" s="123"/>
      <c r="H471" s="152">
        <v>47118</v>
      </c>
      <c r="I471" s="151"/>
      <c r="J471" s="151"/>
    </row>
    <row r="472" spans="1:10" x14ac:dyDescent="0.25">
      <c r="A472" s="147" t="s">
        <v>1120</v>
      </c>
      <c r="B472" s="149" t="s">
        <v>749</v>
      </c>
      <c r="C472" s="149" t="s">
        <v>1122</v>
      </c>
      <c r="D472" s="150">
        <v>47114975</v>
      </c>
      <c r="E472" s="149" t="s">
        <v>1121</v>
      </c>
      <c r="F472" s="151"/>
      <c r="G472" s="123"/>
      <c r="H472" s="152">
        <v>2958465</v>
      </c>
      <c r="I472" s="151"/>
      <c r="J472" s="151"/>
    </row>
    <row r="473" spans="1:10" x14ac:dyDescent="0.25">
      <c r="A473" s="147" t="s">
        <v>1123</v>
      </c>
      <c r="B473" s="149" t="s">
        <v>749</v>
      </c>
      <c r="C473" s="149" t="s">
        <v>1124</v>
      </c>
      <c r="D473" s="150">
        <v>47114321</v>
      </c>
      <c r="E473" s="124" t="s">
        <v>1019</v>
      </c>
      <c r="F473" s="151"/>
      <c r="G473" s="123"/>
      <c r="H473" s="152">
        <v>2958465</v>
      </c>
      <c r="I473" s="151"/>
      <c r="J473" s="151"/>
    </row>
    <row r="474" spans="1:10" x14ac:dyDescent="0.25">
      <c r="A474" s="147" t="s">
        <v>1125</v>
      </c>
      <c r="B474" s="149" t="s">
        <v>749</v>
      </c>
      <c r="C474" s="149" t="s">
        <v>1126</v>
      </c>
      <c r="D474" s="150">
        <v>46354182</v>
      </c>
      <c r="E474" s="149" t="s">
        <v>1018</v>
      </c>
      <c r="F474" s="151"/>
      <c r="G474" s="123"/>
      <c r="H474" s="152">
        <v>2958465</v>
      </c>
      <c r="I474" s="151"/>
      <c r="J474" s="151"/>
    </row>
    <row r="475" spans="1:10" x14ac:dyDescent="0.25">
      <c r="A475" s="147" t="s">
        <v>1129</v>
      </c>
      <c r="B475" s="149" t="s">
        <v>749</v>
      </c>
      <c r="C475" s="149" t="s">
        <v>1131</v>
      </c>
      <c r="D475" s="150">
        <v>47114304</v>
      </c>
      <c r="E475" s="149" t="s">
        <v>1130</v>
      </c>
      <c r="F475" s="151"/>
      <c r="G475" s="123"/>
      <c r="H475" s="152">
        <v>46752</v>
      </c>
      <c r="I475" s="151"/>
      <c r="J475" s="151"/>
    </row>
    <row r="476" spans="1:10" x14ac:dyDescent="0.25">
      <c r="A476" s="147" t="s">
        <v>1132</v>
      </c>
      <c r="B476" s="149" t="s">
        <v>749</v>
      </c>
      <c r="C476" s="149" t="s">
        <v>1134</v>
      </c>
      <c r="D476" s="150">
        <v>47673036</v>
      </c>
      <c r="E476" s="149" t="s">
        <v>1133</v>
      </c>
      <c r="F476" s="151"/>
      <c r="G476" s="123"/>
      <c r="H476" s="152">
        <v>46904</v>
      </c>
      <c r="I476" s="151"/>
      <c r="J476" s="151"/>
    </row>
    <row r="477" spans="1:10" x14ac:dyDescent="0.25">
      <c r="A477" s="147" t="s">
        <v>1135</v>
      </c>
      <c r="B477" s="149" t="s">
        <v>734</v>
      </c>
      <c r="C477" s="149" t="s">
        <v>1136</v>
      </c>
      <c r="D477" s="150" t="s">
        <v>1882</v>
      </c>
      <c r="E477" s="149" t="s">
        <v>1009</v>
      </c>
      <c r="F477" s="151"/>
      <c r="G477" s="123"/>
      <c r="H477" s="152">
        <v>2958465</v>
      </c>
      <c r="I477" s="151"/>
      <c r="J477" s="151"/>
    </row>
    <row r="478" spans="1:10" x14ac:dyDescent="0.25">
      <c r="A478" s="147" t="s">
        <v>1139</v>
      </c>
      <c r="B478" s="149" t="s">
        <v>740</v>
      </c>
      <c r="C478" s="149" t="s">
        <v>1140</v>
      </c>
      <c r="D478" s="150">
        <v>70891095</v>
      </c>
      <c r="E478" s="149" t="s">
        <v>750</v>
      </c>
      <c r="F478" s="151"/>
      <c r="G478" s="123"/>
      <c r="H478" s="152">
        <v>47848</v>
      </c>
      <c r="I478" s="151"/>
      <c r="J478" s="151"/>
    </row>
    <row r="479" spans="1:10" x14ac:dyDescent="0.25">
      <c r="A479" s="147" t="s">
        <v>1141</v>
      </c>
      <c r="B479" s="149" t="s">
        <v>734</v>
      </c>
      <c r="C479" s="149" t="s">
        <v>1142</v>
      </c>
      <c r="D479" s="150">
        <v>25053370</v>
      </c>
      <c r="E479" s="149" t="s">
        <v>888</v>
      </c>
      <c r="F479" s="151"/>
      <c r="G479" s="123">
        <v>412500</v>
      </c>
      <c r="H479" s="152">
        <v>47317</v>
      </c>
      <c r="I479" s="151"/>
      <c r="J479" s="151"/>
    </row>
    <row r="480" spans="1:10" x14ac:dyDescent="0.25">
      <c r="A480" s="147" t="s">
        <v>1144</v>
      </c>
      <c r="B480" s="149" t="s">
        <v>739</v>
      </c>
      <c r="C480" s="149" t="s">
        <v>1145</v>
      </c>
      <c r="D480" s="150">
        <v>27253236</v>
      </c>
      <c r="E480" s="149" t="s">
        <v>843</v>
      </c>
      <c r="F480" s="151"/>
      <c r="G480" s="123"/>
      <c r="H480" s="152">
        <v>2958465</v>
      </c>
      <c r="I480" s="151"/>
      <c r="J480" s="151"/>
    </row>
    <row r="481" spans="1:10" x14ac:dyDescent="0.25">
      <c r="A481" s="147" t="s">
        <v>1150</v>
      </c>
      <c r="B481" s="149" t="s">
        <v>739</v>
      </c>
      <c r="C481" s="149" t="s">
        <v>1152</v>
      </c>
      <c r="D481" s="150">
        <v>19945337</v>
      </c>
      <c r="E481" s="149" t="s">
        <v>1151</v>
      </c>
      <c r="F481" s="151"/>
      <c r="G481" s="123"/>
      <c r="H481" s="152">
        <v>46234</v>
      </c>
      <c r="I481" s="151"/>
      <c r="J481" s="151"/>
    </row>
    <row r="482" spans="1:10" x14ac:dyDescent="0.25">
      <c r="A482" s="147" t="s">
        <v>1153</v>
      </c>
      <c r="B482" s="149" t="s">
        <v>739</v>
      </c>
      <c r="C482" s="121" t="s">
        <v>218</v>
      </c>
      <c r="D482" s="150">
        <v>12235466</v>
      </c>
      <c r="E482" s="149" t="s">
        <v>910</v>
      </c>
      <c r="F482" s="151"/>
      <c r="G482" s="123">
        <v>90000</v>
      </c>
      <c r="H482" s="152">
        <v>46234</v>
      </c>
      <c r="I482" s="151"/>
      <c r="J482" s="151"/>
    </row>
    <row r="483" spans="1:10" x14ac:dyDescent="0.25">
      <c r="A483" s="147" t="s">
        <v>1157</v>
      </c>
      <c r="B483" s="124" t="s">
        <v>737</v>
      </c>
      <c r="C483" s="124" t="s">
        <v>1159</v>
      </c>
      <c r="D483" s="150" t="s">
        <v>1842</v>
      </c>
      <c r="E483" s="149" t="s">
        <v>1158</v>
      </c>
      <c r="F483" s="151"/>
      <c r="G483" s="124"/>
      <c r="H483" s="128">
        <v>2958465</v>
      </c>
      <c r="I483" s="151"/>
      <c r="J483" s="151"/>
    </row>
    <row r="484" spans="1:10" x14ac:dyDescent="0.25">
      <c r="A484" s="147" t="s">
        <v>1160</v>
      </c>
      <c r="B484" s="124" t="s">
        <v>734</v>
      </c>
      <c r="C484" s="124" t="s">
        <v>1162</v>
      </c>
      <c r="D484" s="150" t="s">
        <v>1881</v>
      </c>
      <c r="E484" s="149" t="s">
        <v>1161</v>
      </c>
      <c r="F484" s="151"/>
      <c r="G484" s="123">
        <v>1</v>
      </c>
      <c r="H484" s="128">
        <v>2958465</v>
      </c>
      <c r="I484" s="151"/>
      <c r="J484" s="151"/>
    </row>
    <row r="485" spans="1:10" x14ac:dyDescent="0.25">
      <c r="A485" s="147" t="s">
        <v>1164</v>
      </c>
      <c r="B485" s="124" t="s">
        <v>739</v>
      </c>
      <c r="C485" s="124" t="s">
        <v>1165</v>
      </c>
      <c r="D485" s="150">
        <v>64506592</v>
      </c>
      <c r="E485" s="124" t="s">
        <v>768</v>
      </c>
      <c r="F485" s="151"/>
      <c r="G485" s="126">
        <v>2500000</v>
      </c>
      <c r="H485" s="128">
        <v>2958465</v>
      </c>
      <c r="I485" s="151"/>
      <c r="J485" s="151"/>
    </row>
    <row r="486" spans="1:10" x14ac:dyDescent="0.25">
      <c r="A486" s="127" t="s">
        <v>1167</v>
      </c>
      <c r="B486" s="124" t="s">
        <v>740</v>
      </c>
      <c r="C486" s="124" t="s">
        <v>1168</v>
      </c>
      <c r="D486" s="150">
        <v>60193336</v>
      </c>
      <c r="E486" s="127" t="s">
        <v>780</v>
      </c>
      <c r="F486" s="151"/>
      <c r="G486" s="124"/>
      <c r="H486" s="128">
        <v>2958465</v>
      </c>
      <c r="I486" s="151"/>
      <c r="J486" s="151"/>
    </row>
    <row r="487" spans="1:10" x14ac:dyDescent="0.25">
      <c r="A487" s="124" t="s">
        <v>1170</v>
      </c>
      <c r="B487" s="124" t="s">
        <v>734</v>
      </c>
      <c r="C487" s="124" t="s">
        <v>1169</v>
      </c>
      <c r="D487" s="150">
        <v>24288781</v>
      </c>
      <c r="E487" s="124" t="s">
        <v>897</v>
      </c>
      <c r="F487" s="151"/>
      <c r="G487" s="132">
        <v>1</v>
      </c>
      <c r="H487" s="128">
        <v>46268</v>
      </c>
      <c r="I487" s="151"/>
      <c r="J487" s="151"/>
    </row>
    <row r="488" spans="1:10" x14ac:dyDescent="0.25">
      <c r="A488" s="124" t="s">
        <v>1171</v>
      </c>
      <c r="B488" s="124" t="s">
        <v>734</v>
      </c>
      <c r="C488" s="124" t="s">
        <v>1169</v>
      </c>
      <c r="D488" s="136">
        <v>25053370</v>
      </c>
      <c r="E488" s="124" t="s">
        <v>888</v>
      </c>
      <c r="F488" s="151"/>
      <c r="G488" s="132">
        <v>1</v>
      </c>
      <c r="H488" s="128">
        <v>46268</v>
      </c>
      <c r="I488" s="151"/>
      <c r="J488" s="151"/>
    </row>
    <row r="489" spans="1:10" x14ac:dyDescent="0.25">
      <c r="A489" s="125" t="s">
        <v>1174</v>
      </c>
      <c r="B489" s="124" t="s">
        <v>734</v>
      </c>
      <c r="C489" s="124" t="s">
        <v>1178</v>
      </c>
      <c r="D489" s="136">
        <v>70891095</v>
      </c>
      <c r="E489" s="124" t="s">
        <v>1175</v>
      </c>
      <c r="F489" s="151"/>
      <c r="G489" s="124"/>
      <c r="H489" s="128"/>
      <c r="I489" s="151"/>
      <c r="J489" s="151"/>
    </row>
    <row r="490" spans="1:10" x14ac:dyDescent="0.25">
      <c r="A490" s="124" t="s">
        <v>1181</v>
      </c>
      <c r="B490" s="124" t="s">
        <v>739</v>
      </c>
      <c r="C490" s="124" t="s">
        <v>1182</v>
      </c>
      <c r="D490" s="136">
        <v>64934691</v>
      </c>
      <c r="E490" s="124" t="s">
        <v>1262</v>
      </c>
      <c r="F490" s="151"/>
      <c r="G490" s="132">
        <v>2520000</v>
      </c>
      <c r="H490" s="128">
        <v>2958465</v>
      </c>
      <c r="I490" s="151"/>
      <c r="J490" s="151"/>
    </row>
    <row r="491" spans="1:10" x14ac:dyDescent="0.25">
      <c r="A491" s="124" t="s">
        <v>1183</v>
      </c>
      <c r="B491" s="124" t="s">
        <v>734</v>
      </c>
      <c r="C491" s="124" t="s">
        <v>1185</v>
      </c>
      <c r="D491" s="136" t="s">
        <v>1880</v>
      </c>
      <c r="E491" s="124" t="s">
        <v>1184</v>
      </c>
      <c r="F491" s="151"/>
      <c r="G491" s="124"/>
      <c r="H491" s="128">
        <v>45687</v>
      </c>
      <c r="I491" s="151"/>
      <c r="J491" s="151"/>
    </row>
    <row r="492" spans="1:10" x14ac:dyDescent="0.25">
      <c r="A492" s="124" t="s">
        <v>1186</v>
      </c>
      <c r="B492" s="124" t="s">
        <v>1166</v>
      </c>
      <c r="C492" s="124" t="s">
        <v>1187</v>
      </c>
      <c r="D492" s="136">
        <v>75151481</v>
      </c>
      <c r="E492" s="124" t="s">
        <v>735</v>
      </c>
      <c r="F492" s="151"/>
      <c r="G492" s="132">
        <v>139100</v>
      </c>
      <c r="H492" s="128">
        <v>46283</v>
      </c>
      <c r="I492" s="151"/>
      <c r="J492" s="151"/>
    </row>
    <row r="493" spans="1:10" x14ac:dyDescent="0.25">
      <c r="A493" s="124" t="s">
        <v>1189</v>
      </c>
      <c r="B493" s="124" t="s">
        <v>739</v>
      </c>
      <c r="C493" s="124" t="s">
        <v>1224</v>
      </c>
      <c r="D493" s="136">
        <v>60193913</v>
      </c>
      <c r="E493" s="124" t="s">
        <v>1190</v>
      </c>
      <c r="F493" s="151"/>
      <c r="G493" s="124"/>
      <c r="H493" s="128">
        <v>46265</v>
      </c>
      <c r="I493" s="151"/>
      <c r="J493" s="151"/>
    </row>
    <row r="494" spans="1:10" x14ac:dyDescent="0.25">
      <c r="A494" s="124" t="s">
        <v>1191</v>
      </c>
      <c r="B494" s="124" t="s">
        <v>734</v>
      </c>
      <c r="C494" s="124" t="s">
        <v>1192</v>
      </c>
      <c r="D494" s="136">
        <v>75151481</v>
      </c>
      <c r="E494" s="124" t="s">
        <v>735</v>
      </c>
      <c r="F494" s="151"/>
      <c r="G494" s="132">
        <v>630000</v>
      </c>
      <c r="H494" s="128">
        <v>46063</v>
      </c>
      <c r="I494" s="151"/>
      <c r="J494" s="151"/>
    </row>
    <row r="495" spans="1:10" x14ac:dyDescent="0.25">
      <c r="A495" s="124" t="s">
        <v>1221</v>
      </c>
      <c r="B495" s="124" t="s">
        <v>737</v>
      </c>
      <c r="C495" s="122" t="s">
        <v>1223</v>
      </c>
      <c r="D495" s="136" t="s">
        <v>1879</v>
      </c>
      <c r="E495" s="124" t="s">
        <v>1222</v>
      </c>
      <c r="F495" s="151"/>
      <c r="G495" s="124"/>
      <c r="H495" s="128">
        <v>46295</v>
      </c>
      <c r="I495" s="151"/>
      <c r="J495" s="151"/>
    </row>
    <row r="496" spans="1:10" x14ac:dyDescent="0.25">
      <c r="A496" s="124" t="s">
        <v>1225</v>
      </c>
      <c r="B496" s="124" t="s">
        <v>1166</v>
      </c>
      <c r="C496" s="124" t="s">
        <v>1229</v>
      </c>
      <c r="D496" s="136">
        <v>49516736</v>
      </c>
      <c r="E496" s="124" t="s">
        <v>1226</v>
      </c>
      <c r="F496" s="151"/>
      <c r="G496" s="124"/>
      <c r="H496" s="128">
        <v>46662</v>
      </c>
      <c r="I496" s="151"/>
      <c r="J496" s="151"/>
    </row>
    <row r="497" spans="1:10" x14ac:dyDescent="0.25">
      <c r="A497" s="124" t="s">
        <v>1227</v>
      </c>
      <c r="B497" s="124" t="s">
        <v>739</v>
      </c>
      <c r="C497" s="124" t="s">
        <v>1228</v>
      </c>
      <c r="D497" s="136">
        <v>26214059</v>
      </c>
      <c r="E497" s="124" t="s">
        <v>867</v>
      </c>
      <c r="F497" s="151"/>
      <c r="G497" s="132">
        <v>158400</v>
      </c>
      <c r="H497" s="128">
        <v>46265</v>
      </c>
      <c r="I497" s="151"/>
      <c r="J497" s="151"/>
    </row>
    <row r="498" spans="1:10" x14ac:dyDescent="0.25">
      <c r="A498" s="124" t="s">
        <v>1230</v>
      </c>
      <c r="B498" s="124" t="s">
        <v>737</v>
      </c>
      <c r="C498" s="127" t="s">
        <v>1231</v>
      </c>
      <c r="D498" s="136" t="s">
        <v>1879</v>
      </c>
      <c r="E498" s="124" t="s">
        <v>1222</v>
      </c>
      <c r="F498" s="151"/>
      <c r="G498" s="124" t="s">
        <v>1235</v>
      </c>
      <c r="H498" s="128">
        <v>2958465</v>
      </c>
      <c r="I498" s="151"/>
      <c r="J498" s="151"/>
    </row>
    <row r="499" spans="1:10" x14ac:dyDescent="0.25">
      <c r="A499" s="124" t="s">
        <v>1233</v>
      </c>
      <c r="B499" s="124" t="s">
        <v>739</v>
      </c>
      <c r="C499" s="124" t="s">
        <v>1234</v>
      </c>
      <c r="D499" s="136">
        <v>60193913</v>
      </c>
      <c r="E499" s="124" t="s">
        <v>1190</v>
      </c>
      <c r="F499" s="151"/>
      <c r="G499" s="132">
        <v>72000</v>
      </c>
      <c r="H499" s="128">
        <v>46295</v>
      </c>
      <c r="I499" s="151"/>
      <c r="J499" s="151"/>
    </row>
    <row r="500" spans="1:10" x14ac:dyDescent="0.25">
      <c r="A500" s="124" t="s">
        <v>1240</v>
      </c>
      <c r="B500" s="124" t="s">
        <v>739</v>
      </c>
      <c r="C500" s="124" t="s">
        <v>1242</v>
      </c>
      <c r="D500" s="136">
        <v>26576279</v>
      </c>
      <c r="E500" s="124" t="s">
        <v>1241</v>
      </c>
      <c r="F500" s="151"/>
      <c r="G500" s="132">
        <v>92000</v>
      </c>
      <c r="H500" s="128"/>
      <c r="I500" s="151"/>
      <c r="J500" s="151"/>
    </row>
    <row r="501" spans="1:10" x14ac:dyDescent="0.25">
      <c r="A501" s="124" t="s">
        <v>1243</v>
      </c>
      <c r="B501" s="124" t="s">
        <v>739</v>
      </c>
      <c r="C501" s="124" t="s">
        <v>1244</v>
      </c>
      <c r="D501" s="136" t="s">
        <v>1878</v>
      </c>
      <c r="E501" s="124" t="s">
        <v>1010</v>
      </c>
      <c r="F501" s="151"/>
      <c r="G501" s="132">
        <v>259000</v>
      </c>
      <c r="H501" s="128"/>
      <c r="I501" s="151"/>
      <c r="J501" s="151"/>
    </row>
    <row r="502" spans="1:10" x14ac:dyDescent="0.25">
      <c r="A502" s="124" t="s">
        <v>1245</v>
      </c>
      <c r="B502" s="124" t="s">
        <v>739</v>
      </c>
      <c r="C502" s="124" t="s">
        <v>1247</v>
      </c>
      <c r="D502" s="136" t="s">
        <v>1877</v>
      </c>
      <c r="E502" s="124" t="s">
        <v>1246</v>
      </c>
      <c r="F502" s="151"/>
      <c r="G502" s="132">
        <v>92000</v>
      </c>
      <c r="H502" s="128">
        <v>2958465</v>
      </c>
      <c r="I502" s="151"/>
      <c r="J502" s="151"/>
    </row>
    <row r="503" spans="1:10" x14ac:dyDescent="0.25">
      <c r="A503" s="124" t="s">
        <v>1248</v>
      </c>
      <c r="B503" s="124" t="s">
        <v>739</v>
      </c>
      <c r="C503" s="124" t="s">
        <v>1250</v>
      </c>
      <c r="D503" s="136" t="s">
        <v>1876</v>
      </c>
      <c r="E503" s="124" t="s">
        <v>1249</v>
      </c>
      <c r="F503" s="151"/>
      <c r="G503" s="132">
        <v>746000</v>
      </c>
      <c r="H503" s="128"/>
      <c r="I503" s="151"/>
      <c r="J503" s="151"/>
    </row>
    <row r="504" spans="1:10" x14ac:dyDescent="0.25">
      <c r="A504" s="124" t="s">
        <v>1257</v>
      </c>
      <c r="B504" s="124" t="s">
        <v>739</v>
      </c>
      <c r="C504" s="124" t="s">
        <v>1251</v>
      </c>
      <c r="D504" s="136">
        <v>24729035</v>
      </c>
      <c r="E504" s="124" t="s">
        <v>1252</v>
      </c>
      <c r="F504" s="151"/>
      <c r="G504" s="124"/>
      <c r="H504" s="128">
        <v>2958465</v>
      </c>
      <c r="I504" s="151"/>
      <c r="J504" s="151"/>
    </row>
    <row r="505" spans="1:10" x14ac:dyDescent="0.25">
      <c r="A505" s="124" t="s">
        <v>1253</v>
      </c>
      <c r="B505" s="124" t="s">
        <v>1166</v>
      </c>
      <c r="C505" s="124" t="s">
        <v>1254</v>
      </c>
      <c r="D505" s="136">
        <v>75151481</v>
      </c>
      <c r="E505" s="124" t="s">
        <v>1255</v>
      </c>
      <c r="F505" s="151"/>
      <c r="G505" s="132">
        <v>161535</v>
      </c>
      <c r="H505" s="128">
        <v>47046</v>
      </c>
      <c r="I505" s="151"/>
      <c r="J505" s="151"/>
    </row>
    <row r="506" spans="1:10" x14ac:dyDescent="0.25">
      <c r="A506" s="124" t="s">
        <v>1258</v>
      </c>
      <c r="B506" s="124" t="s">
        <v>739</v>
      </c>
      <c r="C506" s="124" t="s">
        <v>1256</v>
      </c>
      <c r="D506" s="136">
        <v>24729035</v>
      </c>
      <c r="E506" s="124" t="s">
        <v>1252</v>
      </c>
      <c r="F506" s="151"/>
      <c r="G506" s="124"/>
      <c r="H506" s="128"/>
      <c r="I506" s="151"/>
      <c r="J506" s="151"/>
    </row>
    <row r="507" spans="1:10" x14ac:dyDescent="0.25">
      <c r="A507" s="124" t="s">
        <v>1259</v>
      </c>
      <c r="B507" s="124" t="s">
        <v>1166</v>
      </c>
      <c r="C507" s="124" t="s">
        <v>1261</v>
      </c>
      <c r="D507" s="136">
        <v>48134821</v>
      </c>
      <c r="E507" s="124" t="s">
        <v>1260</v>
      </c>
      <c r="F507" s="151"/>
      <c r="G507" s="124"/>
      <c r="H507" s="128">
        <v>46696</v>
      </c>
      <c r="I507" s="151"/>
      <c r="J507" s="151"/>
    </row>
    <row r="508" spans="1:10" x14ac:dyDescent="0.25">
      <c r="A508" s="124" t="s">
        <v>1266</v>
      </c>
      <c r="B508" s="124" t="s">
        <v>739</v>
      </c>
      <c r="C508" s="124" t="s">
        <v>1269</v>
      </c>
      <c r="D508" s="136">
        <v>25085221</v>
      </c>
      <c r="E508" s="124" t="s">
        <v>886</v>
      </c>
      <c r="F508" s="151"/>
      <c r="G508" s="132">
        <v>825000</v>
      </c>
      <c r="H508" s="128">
        <v>2958465</v>
      </c>
      <c r="I508" s="151"/>
      <c r="J508" s="151"/>
    </row>
    <row r="509" spans="1:10" x14ac:dyDescent="0.25">
      <c r="A509" s="124" t="s">
        <v>1267</v>
      </c>
      <c r="B509" s="124" t="s">
        <v>739</v>
      </c>
      <c r="C509" s="124" t="s">
        <v>1270</v>
      </c>
      <c r="D509" s="136">
        <v>65249691</v>
      </c>
      <c r="E509" s="124" t="s">
        <v>1271</v>
      </c>
      <c r="F509" s="151"/>
      <c r="G509" s="132">
        <v>181500</v>
      </c>
      <c r="H509" s="128">
        <v>46331</v>
      </c>
      <c r="I509" s="151"/>
      <c r="J509" s="151"/>
    </row>
    <row r="510" spans="1:10" x14ac:dyDescent="0.25">
      <c r="A510" s="124" t="s">
        <v>1268</v>
      </c>
      <c r="B510" s="124" t="s">
        <v>739</v>
      </c>
      <c r="C510" s="124" t="s">
        <v>1272</v>
      </c>
      <c r="D510" s="136">
        <v>25605984</v>
      </c>
      <c r="E510" s="124" t="s">
        <v>1273</v>
      </c>
      <c r="F510" s="151"/>
      <c r="G510" s="132">
        <v>160000</v>
      </c>
      <c r="H510" s="128">
        <v>46330</v>
      </c>
      <c r="I510" s="151"/>
      <c r="J510" s="151"/>
    </row>
    <row r="511" spans="1:10" x14ac:dyDescent="0.25">
      <c r="A511" s="124" t="s">
        <v>1274</v>
      </c>
      <c r="B511" s="124" t="s">
        <v>739</v>
      </c>
      <c r="C511" s="124" t="s">
        <v>1276</v>
      </c>
      <c r="D511" s="136" t="s">
        <v>1875</v>
      </c>
      <c r="E511" s="124" t="s">
        <v>1275</v>
      </c>
      <c r="F511" s="151"/>
      <c r="G511" s="182">
        <v>233195</v>
      </c>
      <c r="H511" s="128"/>
      <c r="I511" s="151"/>
      <c r="J511" s="151"/>
    </row>
    <row r="512" spans="1:10" x14ac:dyDescent="0.25">
      <c r="A512" s="124" t="s">
        <v>1279</v>
      </c>
      <c r="B512" s="124" t="s">
        <v>737</v>
      </c>
      <c r="C512" s="124" t="s">
        <v>1325</v>
      </c>
      <c r="D512" s="136" t="s">
        <v>1874</v>
      </c>
      <c r="E512" s="124" t="s">
        <v>934</v>
      </c>
      <c r="F512" s="151"/>
      <c r="G512" s="132">
        <v>60000</v>
      </c>
      <c r="H512" s="128">
        <v>47110</v>
      </c>
      <c r="I512" s="151"/>
      <c r="J512" s="151"/>
    </row>
    <row r="513" spans="1:10" x14ac:dyDescent="0.25">
      <c r="A513" s="124" t="s">
        <v>1281</v>
      </c>
      <c r="B513" s="124" t="s">
        <v>739</v>
      </c>
      <c r="C513" s="124" t="s">
        <v>208</v>
      </c>
      <c r="D513" s="136">
        <v>25479296</v>
      </c>
      <c r="E513" s="124" t="s">
        <v>877</v>
      </c>
      <c r="F513" s="151"/>
      <c r="G513" s="132">
        <v>200000</v>
      </c>
      <c r="H513" s="128">
        <v>2958465</v>
      </c>
      <c r="I513" s="151"/>
      <c r="J513" s="151"/>
    </row>
    <row r="514" spans="1:10" x14ac:dyDescent="0.25">
      <c r="A514" s="124" t="s">
        <v>1282</v>
      </c>
      <c r="B514" s="124" t="s">
        <v>739</v>
      </c>
      <c r="C514" s="124" t="s">
        <v>209</v>
      </c>
      <c r="D514" s="136">
        <v>25479296</v>
      </c>
      <c r="E514" s="124" t="s">
        <v>877</v>
      </c>
      <c r="F514" s="151"/>
      <c r="G514" s="132">
        <v>250000</v>
      </c>
      <c r="H514" s="128">
        <v>2958465</v>
      </c>
      <c r="I514" s="151"/>
      <c r="J514" s="151"/>
    </row>
    <row r="515" spans="1:10" x14ac:dyDescent="0.25">
      <c r="A515" s="124" t="s">
        <v>1286</v>
      </c>
      <c r="B515" s="124" t="s">
        <v>749</v>
      </c>
      <c r="C515" s="124" t="s">
        <v>1287</v>
      </c>
      <c r="D515" s="136">
        <v>27256456</v>
      </c>
      <c r="E515" s="124" t="s">
        <v>839</v>
      </c>
      <c r="F515" s="151"/>
      <c r="G515" s="132">
        <v>408299.09</v>
      </c>
      <c r="H515" s="128">
        <v>2958465</v>
      </c>
      <c r="I515" s="151"/>
      <c r="J515" s="151"/>
    </row>
    <row r="516" spans="1:10" x14ac:dyDescent="0.25">
      <c r="A516" s="124" t="s">
        <v>1288</v>
      </c>
      <c r="B516" s="124" t="s">
        <v>739</v>
      </c>
      <c r="C516" s="124" t="s">
        <v>1290</v>
      </c>
      <c r="D516" s="136">
        <v>26210134</v>
      </c>
      <c r="E516" s="124" t="s">
        <v>1289</v>
      </c>
      <c r="F516" s="151"/>
      <c r="G516" s="133">
        <v>151250</v>
      </c>
      <c r="H516" s="128">
        <v>46752</v>
      </c>
      <c r="I516" s="151"/>
      <c r="J516" s="151"/>
    </row>
    <row r="517" spans="1:10" x14ac:dyDescent="0.25">
      <c r="A517" s="124" t="s">
        <v>1291</v>
      </c>
      <c r="B517" s="124" t="s">
        <v>734</v>
      </c>
      <c r="C517" s="124" t="s">
        <v>1070</v>
      </c>
      <c r="D517" s="136">
        <v>25277961</v>
      </c>
      <c r="E517" s="124" t="s">
        <v>1292</v>
      </c>
      <c r="F517" s="151"/>
      <c r="G517" s="132">
        <v>113363.29</v>
      </c>
      <c r="H517" s="128"/>
      <c r="I517" s="151"/>
      <c r="J517" s="151"/>
    </row>
    <row r="518" spans="1:10" x14ac:dyDescent="0.25">
      <c r="A518" s="124" t="s">
        <v>1293</v>
      </c>
      <c r="B518" s="124" t="s">
        <v>739</v>
      </c>
      <c r="C518" s="124" t="s">
        <v>1294</v>
      </c>
      <c r="D518" s="136">
        <v>25085221</v>
      </c>
      <c r="E518" s="124" t="s">
        <v>886</v>
      </c>
      <c r="F518" s="151"/>
      <c r="G518" s="132"/>
      <c r="H518" s="128"/>
      <c r="I518" s="151"/>
      <c r="J518" s="151"/>
    </row>
    <row r="519" spans="1:10" x14ac:dyDescent="0.25">
      <c r="A519" s="124" t="s">
        <v>1295</v>
      </c>
      <c r="B519" s="124" t="s">
        <v>739</v>
      </c>
      <c r="C519" s="124" t="s">
        <v>1296</v>
      </c>
      <c r="D519" s="136" t="s">
        <v>1873</v>
      </c>
      <c r="E519" s="124" t="s">
        <v>1007</v>
      </c>
      <c r="F519" s="151"/>
      <c r="G519" s="132">
        <v>474000</v>
      </c>
      <c r="H519" s="128">
        <v>2958465</v>
      </c>
      <c r="I519" s="151"/>
      <c r="J519" s="151"/>
    </row>
    <row r="520" spans="1:10" x14ac:dyDescent="0.25">
      <c r="A520" s="124" t="s">
        <v>1297</v>
      </c>
      <c r="B520" s="124" t="s">
        <v>734</v>
      </c>
      <c r="C520" s="124" t="s">
        <v>1298</v>
      </c>
      <c r="D520" s="136">
        <v>24766356</v>
      </c>
      <c r="E520" s="124" t="s">
        <v>1284</v>
      </c>
      <c r="F520" s="151"/>
      <c r="G520" s="132">
        <v>219796.5</v>
      </c>
      <c r="H520" s="128">
        <v>45661</v>
      </c>
      <c r="I520" s="151"/>
      <c r="J520" s="151"/>
    </row>
    <row r="521" spans="1:10" x14ac:dyDescent="0.25">
      <c r="A521" s="124" t="s">
        <v>1299</v>
      </c>
      <c r="B521" s="124" t="s">
        <v>734</v>
      </c>
      <c r="C521" s="124" t="s">
        <v>1300</v>
      </c>
      <c r="D521" s="136" t="s">
        <v>1872</v>
      </c>
      <c r="E521" s="124" t="s">
        <v>933</v>
      </c>
      <c r="F521" s="151"/>
      <c r="G521" s="183">
        <v>1230000</v>
      </c>
      <c r="H521" s="128">
        <v>46142</v>
      </c>
      <c r="I521" s="151"/>
      <c r="J521" s="151"/>
    </row>
    <row r="522" spans="1:10" x14ac:dyDescent="0.25">
      <c r="A522" s="124" t="s">
        <v>1301</v>
      </c>
      <c r="B522" s="124" t="s">
        <v>734</v>
      </c>
      <c r="C522" s="124" t="s">
        <v>1303</v>
      </c>
      <c r="D522" s="136" t="s">
        <v>1871</v>
      </c>
      <c r="E522" s="124" t="s">
        <v>1302</v>
      </c>
      <c r="F522" s="151"/>
      <c r="G522" s="132"/>
      <c r="H522" s="128">
        <v>45674</v>
      </c>
      <c r="I522" s="151"/>
      <c r="J522" s="151"/>
    </row>
    <row r="523" spans="1:10" x14ac:dyDescent="0.25">
      <c r="A523" s="124" t="s">
        <v>1306</v>
      </c>
      <c r="B523" s="124" t="s">
        <v>734</v>
      </c>
      <c r="C523" s="124" t="s">
        <v>1309</v>
      </c>
      <c r="D523" s="136">
        <v>60162694</v>
      </c>
      <c r="E523" s="124" t="s">
        <v>781</v>
      </c>
      <c r="F523" s="151"/>
      <c r="G523" s="132"/>
      <c r="H523" s="128">
        <v>46022</v>
      </c>
      <c r="I523" s="151"/>
      <c r="J523" s="151"/>
    </row>
    <row r="524" spans="1:10" x14ac:dyDescent="0.25">
      <c r="A524" s="124" t="s">
        <v>1307</v>
      </c>
      <c r="B524" s="124" t="s">
        <v>734</v>
      </c>
      <c r="C524" s="124" t="s">
        <v>1310</v>
      </c>
      <c r="D524" s="136">
        <v>60162694</v>
      </c>
      <c r="E524" s="124" t="s">
        <v>781</v>
      </c>
      <c r="F524" s="151"/>
      <c r="G524" s="132"/>
      <c r="H524" s="128">
        <v>46022</v>
      </c>
      <c r="I524" s="151"/>
      <c r="J524" s="151"/>
    </row>
    <row r="525" spans="1:10" x14ac:dyDescent="0.25">
      <c r="A525" s="124" t="s">
        <v>1308</v>
      </c>
      <c r="B525" s="124" t="s">
        <v>734</v>
      </c>
      <c r="C525" s="124" t="s">
        <v>1311</v>
      </c>
      <c r="D525" s="136">
        <v>42716403</v>
      </c>
      <c r="E525" s="124" t="s">
        <v>819</v>
      </c>
      <c r="F525" s="151"/>
      <c r="G525" s="132"/>
      <c r="H525" s="128">
        <v>45668</v>
      </c>
      <c r="I525" s="151"/>
      <c r="J525" s="151"/>
    </row>
    <row r="526" spans="1:10" x14ac:dyDescent="0.25">
      <c r="A526" s="124" t="s">
        <v>1315</v>
      </c>
      <c r="B526" s="124" t="s">
        <v>734</v>
      </c>
      <c r="C526" s="124" t="s">
        <v>1317</v>
      </c>
      <c r="D526" s="136">
        <v>27094987</v>
      </c>
      <c r="E526" s="124" t="s">
        <v>852</v>
      </c>
      <c r="F526" s="151"/>
      <c r="G526" s="132">
        <v>18000000</v>
      </c>
      <c r="H526" s="128">
        <v>47117</v>
      </c>
      <c r="I526" s="151"/>
      <c r="J526" s="151"/>
    </row>
    <row r="527" spans="1:10" x14ac:dyDescent="0.25">
      <c r="A527" s="124" t="s">
        <v>1335</v>
      </c>
      <c r="B527" s="124" t="s">
        <v>743</v>
      </c>
      <c r="C527" s="124" t="s">
        <v>1319</v>
      </c>
      <c r="D527" s="136" t="s">
        <v>1870</v>
      </c>
      <c r="E527" s="124" t="s">
        <v>1318</v>
      </c>
      <c r="F527" s="151"/>
      <c r="G527" s="132">
        <v>855228</v>
      </c>
      <c r="H527" s="128">
        <v>45687</v>
      </c>
      <c r="I527" s="151"/>
      <c r="J527" s="151"/>
    </row>
    <row r="528" spans="1:10" ht="26.4" x14ac:dyDescent="0.25">
      <c r="A528" s="124" t="s">
        <v>1322</v>
      </c>
      <c r="B528" s="124" t="s">
        <v>739</v>
      </c>
      <c r="C528" s="124" t="s">
        <v>1321</v>
      </c>
      <c r="D528" s="184" t="s">
        <v>1324</v>
      </c>
      <c r="E528" s="124" t="s">
        <v>1323</v>
      </c>
      <c r="F528" s="151"/>
      <c r="G528" s="132">
        <v>1551600</v>
      </c>
      <c r="H528" s="128">
        <v>46053</v>
      </c>
      <c r="I528" s="151"/>
      <c r="J528" s="151"/>
    </row>
    <row r="529" spans="1:10" x14ac:dyDescent="0.25">
      <c r="A529" s="124" t="s">
        <v>1326</v>
      </c>
      <c r="B529" s="124" t="s">
        <v>734</v>
      </c>
      <c r="C529" s="124" t="s">
        <v>1329</v>
      </c>
      <c r="D529" s="136">
        <v>27092887</v>
      </c>
      <c r="E529" s="124" t="s">
        <v>1328</v>
      </c>
      <c r="F529" s="151"/>
      <c r="G529" s="124"/>
      <c r="H529" s="128">
        <v>45679</v>
      </c>
      <c r="I529" s="151"/>
      <c r="J529" s="151"/>
    </row>
    <row r="530" spans="1:10" x14ac:dyDescent="0.25">
      <c r="A530" s="124" t="s">
        <v>1327</v>
      </c>
      <c r="B530" s="124" t="s">
        <v>734</v>
      </c>
      <c r="C530" s="124" t="s">
        <v>1331</v>
      </c>
      <c r="D530" s="136">
        <v>24225452</v>
      </c>
      <c r="E530" s="124" t="s">
        <v>1330</v>
      </c>
      <c r="F530" s="151"/>
      <c r="G530" s="124"/>
      <c r="H530" s="128">
        <v>45688</v>
      </c>
      <c r="I530" s="151"/>
      <c r="J530" s="151"/>
    </row>
    <row r="531" spans="1:10" x14ac:dyDescent="0.25">
      <c r="A531" s="124" t="s">
        <v>1334</v>
      </c>
      <c r="B531" s="124" t="s">
        <v>734</v>
      </c>
      <c r="C531" s="124" t="s">
        <v>1336</v>
      </c>
      <c r="D531" s="136" t="s">
        <v>1869</v>
      </c>
      <c r="E531" s="124" t="s">
        <v>1146</v>
      </c>
      <c r="F531" s="151"/>
      <c r="G531" s="124"/>
      <c r="H531" s="128">
        <v>45678</v>
      </c>
      <c r="I531" s="151"/>
      <c r="J531" s="151"/>
    </row>
    <row r="532" spans="1:10" x14ac:dyDescent="0.25">
      <c r="A532" s="124" t="s">
        <v>1337</v>
      </c>
      <c r="B532" s="124" t="s">
        <v>740</v>
      </c>
      <c r="C532" s="124" t="s">
        <v>1338</v>
      </c>
      <c r="D532" s="136" t="s">
        <v>1868</v>
      </c>
      <c r="E532" s="124" t="s">
        <v>1017</v>
      </c>
      <c r="F532" s="151"/>
      <c r="G532" s="132"/>
      <c r="H532" s="128">
        <v>2958465</v>
      </c>
      <c r="I532" s="151"/>
      <c r="J532" s="151"/>
    </row>
    <row r="533" spans="1:10" x14ac:dyDescent="0.25">
      <c r="A533" s="124" t="s">
        <v>1339</v>
      </c>
      <c r="B533" s="124" t="s">
        <v>734</v>
      </c>
      <c r="C533" s="124" t="s">
        <v>1341</v>
      </c>
      <c r="D533" s="136" t="s">
        <v>1867</v>
      </c>
      <c r="E533" s="124" t="s">
        <v>1340</v>
      </c>
      <c r="F533" s="151"/>
      <c r="G533" s="124"/>
      <c r="H533" s="128">
        <v>45682</v>
      </c>
      <c r="I533" s="151"/>
      <c r="J533" s="151"/>
    </row>
    <row r="534" spans="1:10" x14ac:dyDescent="0.25">
      <c r="A534" s="124" t="s">
        <v>1342</v>
      </c>
      <c r="B534" s="124" t="s">
        <v>737</v>
      </c>
      <c r="C534" s="124" t="s">
        <v>1343</v>
      </c>
      <c r="D534" s="136" t="s">
        <v>1866</v>
      </c>
      <c r="E534" s="124" t="s">
        <v>922</v>
      </c>
      <c r="F534" s="151"/>
      <c r="G534" s="132">
        <v>280000</v>
      </c>
      <c r="H534" s="128">
        <v>47173</v>
      </c>
      <c r="I534" s="151"/>
      <c r="J534" s="151"/>
    </row>
    <row r="535" spans="1:10" x14ac:dyDescent="0.25">
      <c r="A535" s="124" t="s">
        <v>1344</v>
      </c>
      <c r="B535" s="124" t="s">
        <v>734</v>
      </c>
      <c r="C535" s="124" t="s">
        <v>1346</v>
      </c>
      <c r="D535" s="136">
        <v>64506592</v>
      </c>
      <c r="E535" s="124" t="s">
        <v>768</v>
      </c>
      <c r="F535" s="151"/>
      <c r="G535" s="132">
        <v>840950</v>
      </c>
      <c r="H535" s="128">
        <v>46066</v>
      </c>
      <c r="I535" s="151"/>
      <c r="J535" s="151"/>
    </row>
    <row r="536" spans="1:10" x14ac:dyDescent="0.25">
      <c r="A536" s="124" t="s">
        <v>1347</v>
      </c>
      <c r="B536" s="124" t="s">
        <v>739</v>
      </c>
      <c r="C536" s="124" t="s">
        <v>1353</v>
      </c>
      <c r="D536" s="136">
        <v>24729035</v>
      </c>
      <c r="E536" s="124" t="s">
        <v>1252</v>
      </c>
      <c r="F536" s="151"/>
      <c r="G536" s="124"/>
      <c r="H536" s="128">
        <v>2958465</v>
      </c>
      <c r="I536" s="151"/>
      <c r="J536" s="151"/>
    </row>
    <row r="537" spans="1:10" x14ac:dyDescent="0.25">
      <c r="A537" s="124" t="s">
        <v>1349</v>
      </c>
      <c r="B537" s="124" t="s">
        <v>740</v>
      </c>
      <c r="C537" s="124" t="s">
        <v>1351</v>
      </c>
      <c r="D537" s="136">
        <v>28226771</v>
      </c>
      <c r="E537" s="124" t="s">
        <v>1350</v>
      </c>
      <c r="F537" s="151"/>
      <c r="G537" s="132">
        <v>121605</v>
      </c>
      <c r="H537" s="128">
        <v>46022</v>
      </c>
      <c r="I537" s="151"/>
      <c r="J537" s="151"/>
    </row>
    <row r="538" spans="1:10" x14ac:dyDescent="0.25">
      <c r="A538" s="124" t="s">
        <v>1354</v>
      </c>
      <c r="B538" s="124" t="s">
        <v>734</v>
      </c>
      <c r="C538" s="124" t="s">
        <v>1355</v>
      </c>
      <c r="D538" s="136">
        <v>60162694</v>
      </c>
      <c r="E538" s="124" t="s">
        <v>781</v>
      </c>
      <c r="F538" s="151"/>
      <c r="G538" s="124"/>
      <c r="H538" s="128">
        <v>46022</v>
      </c>
      <c r="I538" s="151"/>
      <c r="J538" s="151"/>
    </row>
    <row r="539" spans="1:10" x14ac:dyDescent="0.25">
      <c r="A539" s="124" t="s">
        <v>1358</v>
      </c>
      <c r="B539" s="124" t="s">
        <v>739</v>
      </c>
      <c r="C539" s="124" t="s">
        <v>1360</v>
      </c>
      <c r="D539" s="136">
        <v>61677744</v>
      </c>
      <c r="E539" s="124" t="s">
        <v>1359</v>
      </c>
      <c r="F539" s="151"/>
      <c r="G539" s="124"/>
      <c r="H539" s="128">
        <v>46403</v>
      </c>
      <c r="I539" s="151"/>
      <c r="J539" s="151"/>
    </row>
    <row r="540" spans="1:10" x14ac:dyDescent="0.25">
      <c r="A540" s="124" t="s">
        <v>1362</v>
      </c>
      <c r="B540" s="124" t="s">
        <v>739</v>
      </c>
      <c r="C540" s="124" t="s">
        <v>1364</v>
      </c>
      <c r="D540" s="136" t="s">
        <v>1865</v>
      </c>
      <c r="E540" s="124" t="s">
        <v>1363</v>
      </c>
      <c r="F540" s="151"/>
      <c r="G540" s="132">
        <v>50005</v>
      </c>
      <c r="H540" s="128">
        <v>2958465</v>
      </c>
      <c r="I540" s="151"/>
      <c r="J540" s="151"/>
    </row>
    <row r="541" spans="1:10" x14ac:dyDescent="0.25">
      <c r="A541" s="124" t="s">
        <v>1365</v>
      </c>
      <c r="B541" s="124" t="s">
        <v>759</v>
      </c>
      <c r="C541" s="124" t="s">
        <v>1367</v>
      </c>
      <c r="D541" s="136">
        <v>16979770</v>
      </c>
      <c r="E541" s="124" t="s">
        <v>1366</v>
      </c>
      <c r="F541" s="151"/>
      <c r="G541" s="124"/>
      <c r="H541" s="128">
        <v>2958465</v>
      </c>
      <c r="I541" s="151"/>
      <c r="J541" s="151"/>
    </row>
    <row r="542" spans="1:10" x14ac:dyDescent="0.25">
      <c r="A542" s="124" t="s">
        <v>1368</v>
      </c>
      <c r="B542" s="124" t="s">
        <v>740</v>
      </c>
      <c r="C542" s="124" t="s">
        <v>1369</v>
      </c>
      <c r="D542" s="136">
        <v>27256456</v>
      </c>
      <c r="E542" s="124" t="s">
        <v>839</v>
      </c>
      <c r="F542" s="151"/>
      <c r="G542" s="124"/>
      <c r="H542" s="128">
        <v>2958465</v>
      </c>
      <c r="I542" s="151"/>
      <c r="J542" s="151"/>
    </row>
    <row r="543" spans="1:10" x14ac:dyDescent="0.25">
      <c r="A543" s="124" t="s">
        <v>1370</v>
      </c>
      <c r="B543" s="124" t="s">
        <v>734</v>
      </c>
      <c r="C543" s="124" t="s">
        <v>1372</v>
      </c>
      <c r="D543" s="136" t="s">
        <v>1864</v>
      </c>
      <c r="E543" s="124" t="s">
        <v>1371</v>
      </c>
      <c r="F543" s="151"/>
      <c r="G543" s="124"/>
      <c r="H543" s="128"/>
      <c r="I543" s="151"/>
      <c r="J543" s="151"/>
    </row>
    <row r="544" spans="1:10" x14ac:dyDescent="0.25">
      <c r="A544" s="124" t="s">
        <v>1373</v>
      </c>
      <c r="B544" s="124" t="s">
        <v>737</v>
      </c>
      <c r="C544" s="124" t="s">
        <v>1377</v>
      </c>
      <c r="D544" s="136">
        <v>68407700</v>
      </c>
      <c r="E544" s="124" t="s">
        <v>1376</v>
      </c>
      <c r="F544" s="151"/>
      <c r="G544" s="132">
        <v>5000000</v>
      </c>
      <c r="H544" s="128">
        <v>2958465</v>
      </c>
      <c r="I544" s="151"/>
      <c r="J544" s="151"/>
    </row>
    <row r="545" spans="1:10" x14ac:dyDescent="0.25">
      <c r="A545" s="124" t="s">
        <v>1378</v>
      </c>
      <c r="B545" s="124" t="s">
        <v>739</v>
      </c>
      <c r="C545" s="124" t="s">
        <v>1380</v>
      </c>
      <c r="D545" s="136" t="s">
        <v>1863</v>
      </c>
      <c r="E545" s="124" t="s">
        <v>954</v>
      </c>
      <c r="F545" s="151"/>
      <c r="G545" s="124"/>
      <c r="H545" s="128">
        <v>46022</v>
      </c>
      <c r="I545" s="151"/>
      <c r="J545" s="151"/>
    </row>
    <row r="546" spans="1:10" x14ac:dyDescent="0.25">
      <c r="A546" s="124" t="s">
        <v>1379</v>
      </c>
      <c r="B546" s="124" t="s">
        <v>1166</v>
      </c>
      <c r="C546" s="124" t="s">
        <v>1580</v>
      </c>
      <c r="D546" s="136">
        <v>75151481</v>
      </c>
      <c r="E546" s="124" t="s">
        <v>1381</v>
      </c>
      <c r="F546" s="151"/>
      <c r="G546" s="124"/>
      <c r="H546" s="128">
        <v>2958465</v>
      </c>
      <c r="I546" s="151"/>
      <c r="J546" s="151"/>
    </row>
    <row r="547" spans="1:10" x14ac:dyDescent="0.25">
      <c r="A547" s="124" t="s">
        <v>1382</v>
      </c>
      <c r="B547" s="124" t="s">
        <v>734</v>
      </c>
      <c r="C547" s="124" t="s">
        <v>1385</v>
      </c>
      <c r="D547" s="136" t="s">
        <v>1862</v>
      </c>
      <c r="E547" s="124" t="s">
        <v>1003</v>
      </c>
      <c r="F547" s="151"/>
      <c r="G547" s="132">
        <v>218000</v>
      </c>
      <c r="H547" s="128">
        <v>46022</v>
      </c>
      <c r="I547" s="151"/>
      <c r="J547" s="151"/>
    </row>
    <row r="548" spans="1:10" x14ac:dyDescent="0.25">
      <c r="A548" s="124" t="s">
        <v>1383</v>
      </c>
      <c r="B548" s="124" t="s">
        <v>739</v>
      </c>
      <c r="C548" s="124" t="s">
        <v>1384</v>
      </c>
      <c r="D548" s="136">
        <v>27253236</v>
      </c>
      <c r="E548" s="124" t="s">
        <v>843</v>
      </c>
      <c r="F548" s="151"/>
      <c r="G548" s="124"/>
      <c r="H548" s="128">
        <v>46022</v>
      </c>
      <c r="I548" s="151"/>
      <c r="J548" s="151"/>
    </row>
    <row r="549" spans="1:10" x14ac:dyDescent="0.25">
      <c r="A549" s="124" t="s">
        <v>1386</v>
      </c>
      <c r="B549" s="124" t="s">
        <v>739</v>
      </c>
      <c r="C549" s="124" t="s">
        <v>1388</v>
      </c>
      <c r="D549" s="136">
        <v>49903209</v>
      </c>
      <c r="E549" s="124" t="s">
        <v>1387</v>
      </c>
      <c r="F549" s="151"/>
      <c r="G549" s="132">
        <v>325800</v>
      </c>
      <c r="H549" s="128">
        <v>46022</v>
      </c>
      <c r="I549" s="151"/>
      <c r="J549" s="151"/>
    </row>
    <row r="550" spans="1:10" x14ac:dyDescent="0.25">
      <c r="A550" s="124" t="s">
        <v>1395</v>
      </c>
      <c r="B550" s="124" t="s">
        <v>739</v>
      </c>
      <c r="C550" s="124" t="s">
        <v>1396</v>
      </c>
      <c r="D550" s="136">
        <v>27295567</v>
      </c>
      <c r="E550" s="124" t="s">
        <v>837</v>
      </c>
      <c r="F550" s="151"/>
      <c r="G550" s="124"/>
      <c r="H550" s="128">
        <v>2958465</v>
      </c>
      <c r="I550" s="151"/>
      <c r="J550" s="151"/>
    </row>
    <row r="551" spans="1:10" x14ac:dyDescent="0.25">
      <c r="A551" s="124" t="s">
        <v>1402</v>
      </c>
      <c r="B551" s="124" t="s">
        <v>740</v>
      </c>
      <c r="C551" s="124" t="s">
        <v>1404</v>
      </c>
      <c r="D551" s="136" t="s">
        <v>1861</v>
      </c>
      <c r="E551" s="124" t="s">
        <v>1403</v>
      </c>
      <c r="F551" s="151"/>
      <c r="G551" s="132">
        <v>169185.83</v>
      </c>
      <c r="H551" s="128">
        <v>46022</v>
      </c>
      <c r="I551" s="151"/>
      <c r="J551" s="151"/>
    </row>
    <row r="552" spans="1:10" x14ac:dyDescent="0.25">
      <c r="A552" s="124" t="s">
        <v>1405</v>
      </c>
      <c r="B552" s="124" t="s">
        <v>739</v>
      </c>
      <c r="C552" s="124" t="s">
        <v>1406</v>
      </c>
      <c r="D552" s="136">
        <v>25186434</v>
      </c>
      <c r="E552" s="124" t="s">
        <v>882</v>
      </c>
      <c r="F552" s="151"/>
      <c r="G552" s="130">
        <v>290400</v>
      </c>
      <c r="H552" s="128">
        <v>46484</v>
      </c>
      <c r="I552" s="151"/>
      <c r="J552" s="151"/>
    </row>
    <row r="553" spans="1:10" x14ac:dyDescent="0.25">
      <c r="A553" s="124" t="s">
        <v>1407</v>
      </c>
      <c r="B553" s="124" t="s">
        <v>1166</v>
      </c>
      <c r="C553" s="124" t="s">
        <v>1413</v>
      </c>
      <c r="D553" s="136">
        <v>70099618</v>
      </c>
      <c r="E553" s="124" t="s">
        <v>760</v>
      </c>
      <c r="F553" s="151"/>
      <c r="G553" s="131">
        <v>10011993</v>
      </c>
      <c r="H553" s="128">
        <v>46356</v>
      </c>
      <c r="I553" s="151"/>
      <c r="J553" s="151"/>
    </row>
    <row r="554" spans="1:10" x14ac:dyDescent="0.25">
      <c r="A554" s="124" t="s">
        <v>1408</v>
      </c>
      <c r="B554" s="124" t="s">
        <v>740</v>
      </c>
      <c r="C554" s="124" t="s">
        <v>1409</v>
      </c>
      <c r="D554" s="136">
        <v>70106975</v>
      </c>
      <c r="E554" s="121" t="s">
        <v>758</v>
      </c>
      <c r="F554" s="151"/>
      <c r="G554" s="132"/>
      <c r="H554" s="128">
        <v>47299</v>
      </c>
      <c r="I554" s="151"/>
      <c r="J554" s="151"/>
    </row>
    <row r="555" spans="1:10" x14ac:dyDescent="0.25">
      <c r="A555" s="124" t="s">
        <v>1410</v>
      </c>
      <c r="B555" s="124" t="s">
        <v>734</v>
      </c>
      <c r="C555" s="124" t="s">
        <v>1411</v>
      </c>
      <c r="D555" s="136" t="s">
        <v>1842</v>
      </c>
      <c r="E555" s="124" t="s">
        <v>1158</v>
      </c>
      <c r="F555" s="151"/>
      <c r="G555" s="124"/>
      <c r="H555" s="128">
        <v>2958465</v>
      </c>
      <c r="I555" s="151"/>
      <c r="J555" s="151"/>
    </row>
    <row r="556" spans="1:10" x14ac:dyDescent="0.25">
      <c r="A556" s="124" t="s">
        <v>1414</v>
      </c>
      <c r="B556" s="124" t="s">
        <v>739</v>
      </c>
      <c r="C556" s="124" t="s">
        <v>1415</v>
      </c>
      <c r="D556" s="136" t="s">
        <v>1860</v>
      </c>
      <c r="E556" s="124" t="s">
        <v>1057</v>
      </c>
      <c r="F556" s="151"/>
      <c r="G556" s="132">
        <v>2160000</v>
      </c>
      <c r="H556" s="128">
        <v>47603</v>
      </c>
      <c r="I556" s="151"/>
      <c r="J556" s="151"/>
    </row>
    <row r="557" spans="1:10" x14ac:dyDescent="0.25">
      <c r="A557" s="124" t="s">
        <v>1417</v>
      </c>
      <c r="B557" s="124" t="s">
        <v>739</v>
      </c>
      <c r="C557" s="124" t="s">
        <v>1423</v>
      </c>
      <c r="D557" s="136" t="s">
        <v>1842</v>
      </c>
      <c r="E557" s="124" t="s">
        <v>1158</v>
      </c>
      <c r="F557" s="151"/>
      <c r="G557" s="132">
        <v>17836</v>
      </c>
      <c r="H557" s="128">
        <v>48304</v>
      </c>
      <c r="I557" s="151"/>
      <c r="J557" s="151"/>
    </row>
    <row r="558" spans="1:10" x14ac:dyDescent="0.25">
      <c r="A558" s="124" t="s">
        <v>1418</v>
      </c>
      <c r="B558" s="124" t="s">
        <v>739</v>
      </c>
      <c r="C558" s="124" t="s">
        <v>1420</v>
      </c>
      <c r="D558" s="136" t="s">
        <v>1859</v>
      </c>
      <c r="E558" s="124" t="s">
        <v>1419</v>
      </c>
      <c r="F558" s="151"/>
      <c r="G558" s="132">
        <v>151250</v>
      </c>
      <c r="H558" s="128">
        <v>2958465</v>
      </c>
      <c r="I558" s="151"/>
      <c r="J558" s="151"/>
    </row>
    <row r="559" spans="1:10" x14ac:dyDescent="0.25">
      <c r="A559" s="124" t="s">
        <v>1421</v>
      </c>
      <c r="B559" s="124" t="s">
        <v>739</v>
      </c>
      <c r="C559" s="124" t="s">
        <v>1422</v>
      </c>
      <c r="D559" s="136" t="s">
        <v>1858</v>
      </c>
      <c r="E559" s="124" t="s">
        <v>916</v>
      </c>
      <c r="F559" s="151"/>
      <c r="G559" s="132">
        <v>611400</v>
      </c>
      <c r="H559" s="128">
        <v>2958465</v>
      </c>
      <c r="I559" s="151"/>
      <c r="J559" s="151"/>
    </row>
    <row r="560" spans="1:10" x14ac:dyDescent="0.25">
      <c r="A560" s="124" t="s">
        <v>1424</v>
      </c>
      <c r="B560" s="124" t="s">
        <v>739</v>
      </c>
      <c r="C560" s="124" t="s">
        <v>1426</v>
      </c>
      <c r="D560" s="136" t="s">
        <v>1856</v>
      </c>
      <c r="E560" s="124" t="s">
        <v>1425</v>
      </c>
      <c r="F560" s="151"/>
      <c r="G560" s="132">
        <v>2994000</v>
      </c>
      <c r="H560" s="128">
        <v>47608</v>
      </c>
      <c r="I560" s="151"/>
      <c r="J560" s="151"/>
    </row>
    <row r="561" spans="1:10" x14ac:dyDescent="0.25">
      <c r="A561" s="124" t="s">
        <v>1434</v>
      </c>
      <c r="B561" s="124" t="s">
        <v>737</v>
      </c>
      <c r="C561" s="124" t="s">
        <v>1468</v>
      </c>
      <c r="D561" s="136" t="s">
        <v>1857</v>
      </c>
      <c r="E561" s="124" t="s">
        <v>1172</v>
      </c>
      <c r="F561" s="151"/>
      <c r="G561" s="133">
        <v>1</v>
      </c>
      <c r="H561" s="128">
        <v>47300</v>
      </c>
      <c r="I561" s="151"/>
      <c r="J561" s="151"/>
    </row>
    <row r="562" spans="1:10" x14ac:dyDescent="0.25">
      <c r="A562" s="124" t="s">
        <v>1435</v>
      </c>
      <c r="B562" s="124" t="s">
        <v>739</v>
      </c>
      <c r="C562" s="124" t="s">
        <v>1436</v>
      </c>
      <c r="D562" s="136">
        <v>27256456</v>
      </c>
      <c r="E562" s="124" t="s">
        <v>839</v>
      </c>
      <c r="F562" s="151"/>
      <c r="G562" s="182">
        <v>82000</v>
      </c>
      <c r="H562" s="128">
        <v>2958465</v>
      </c>
      <c r="I562" s="151"/>
      <c r="J562" s="151"/>
    </row>
    <row r="563" spans="1:10" x14ac:dyDescent="0.25">
      <c r="A563" s="124" t="s">
        <v>1437</v>
      </c>
      <c r="B563" s="124" t="s">
        <v>739</v>
      </c>
      <c r="C563" s="124" t="s">
        <v>1438</v>
      </c>
      <c r="D563" s="136">
        <v>45272956</v>
      </c>
      <c r="E563" s="124" t="s">
        <v>812</v>
      </c>
      <c r="F563" s="151"/>
      <c r="G563" s="133">
        <v>132640</v>
      </c>
      <c r="H563" s="128">
        <v>46173</v>
      </c>
      <c r="I563" s="151"/>
      <c r="J563" s="151"/>
    </row>
    <row r="564" spans="1:10" x14ac:dyDescent="0.25">
      <c r="A564" s="124" t="s">
        <v>1439</v>
      </c>
      <c r="B564" s="124" t="s">
        <v>759</v>
      </c>
      <c r="C564" s="124" t="s">
        <v>1444</v>
      </c>
      <c r="D564" s="136">
        <v>45244782</v>
      </c>
      <c r="E564" s="124" t="s">
        <v>813</v>
      </c>
      <c r="F564" s="151"/>
      <c r="G564" s="124" t="s">
        <v>1449</v>
      </c>
      <c r="H564" s="128"/>
      <c r="I564" s="151"/>
      <c r="J564" s="151"/>
    </row>
    <row r="565" spans="1:10" x14ac:dyDescent="0.25">
      <c r="A565" s="124" t="s">
        <v>1440</v>
      </c>
      <c r="B565" s="124" t="s">
        <v>759</v>
      </c>
      <c r="C565" s="124" t="s">
        <v>1445</v>
      </c>
      <c r="D565" s="136">
        <v>45244782</v>
      </c>
      <c r="E565" s="124" t="s">
        <v>813</v>
      </c>
      <c r="F565" s="151"/>
      <c r="G565" s="124" t="s">
        <v>1450</v>
      </c>
      <c r="H565" s="128"/>
      <c r="I565" s="151"/>
      <c r="J565" s="151"/>
    </row>
    <row r="566" spans="1:10" x14ac:dyDescent="0.25">
      <c r="A566" s="124" t="s">
        <v>1441</v>
      </c>
      <c r="B566" s="124" t="s">
        <v>759</v>
      </c>
      <c r="C566" s="124" t="s">
        <v>1446</v>
      </c>
      <c r="D566" s="136">
        <v>45244782</v>
      </c>
      <c r="E566" s="124" t="s">
        <v>813</v>
      </c>
      <c r="F566" s="151"/>
      <c r="G566" s="124" t="s">
        <v>1451</v>
      </c>
      <c r="H566" s="128"/>
      <c r="I566" s="151"/>
      <c r="J566" s="151"/>
    </row>
    <row r="567" spans="1:10" x14ac:dyDescent="0.25">
      <c r="A567" s="124" t="s">
        <v>1442</v>
      </c>
      <c r="B567" s="124" t="s">
        <v>759</v>
      </c>
      <c r="C567" s="124" t="s">
        <v>1447</v>
      </c>
      <c r="D567" s="136">
        <v>45244782</v>
      </c>
      <c r="E567" s="124" t="s">
        <v>813</v>
      </c>
      <c r="F567" s="151"/>
      <c r="G567" s="124" t="s">
        <v>1452</v>
      </c>
      <c r="H567" s="128"/>
      <c r="I567" s="151"/>
      <c r="J567" s="151"/>
    </row>
    <row r="568" spans="1:10" x14ac:dyDescent="0.25">
      <c r="A568" s="124" t="s">
        <v>1443</v>
      </c>
      <c r="B568" s="124" t="s">
        <v>759</v>
      </c>
      <c r="C568" s="124" t="s">
        <v>1448</v>
      </c>
      <c r="D568" s="136">
        <v>45244782</v>
      </c>
      <c r="E568" s="124" t="s">
        <v>813</v>
      </c>
      <c r="F568" s="151"/>
      <c r="G568" s="124" t="s">
        <v>1453</v>
      </c>
      <c r="H568" s="128"/>
      <c r="I568" s="151"/>
      <c r="J568" s="151"/>
    </row>
    <row r="569" spans="1:10" x14ac:dyDescent="0.25">
      <c r="A569" s="124" t="s">
        <v>1454</v>
      </c>
      <c r="B569" s="124" t="s">
        <v>739</v>
      </c>
      <c r="C569" s="124" t="s">
        <v>1456</v>
      </c>
      <c r="D569" s="136" t="s">
        <v>1855</v>
      </c>
      <c r="E569" s="124" t="s">
        <v>1455</v>
      </c>
      <c r="F569" s="151"/>
      <c r="G569" s="132">
        <v>213000</v>
      </c>
      <c r="H569" s="128">
        <v>46187</v>
      </c>
      <c r="I569" s="151"/>
      <c r="J569" s="151"/>
    </row>
    <row r="570" spans="1:10" x14ac:dyDescent="0.25">
      <c r="A570" s="124" t="s">
        <v>1457</v>
      </c>
      <c r="B570" s="124" t="s">
        <v>739</v>
      </c>
      <c r="C570" s="124" t="s">
        <v>1458</v>
      </c>
      <c r="D570" s="136">
        <v>28404971</v>
      </c>
      <c r="E570" s="124" t="s">
        <v>1313</v>
      </c>
      <c r="F570" s="151"/>
      <c r="G570" s="130">
        <v>886453.26</v>
      </c>
      <c r="H570" s="128">
        <v>45914</v>
      </c>
      <c r="I570" s="151"/>
      <c r="J570" s="151"/>
    </row>
    <row r="571" spans="1:10" x14ac:dyDescent="0.25">
      <c r="A571" s="124" t="s">
        <v>1461</v>
      </c>
      <c r="B571" s="124" t="s">
        <v>737</v>
      </c>
      <c r="C571" s="124" t="s">
        <v>1464</v>
      </c>
      <c r="D571" s="136">
        <v>48199931</v>
      </c>
      <c r="E571" s="124" t="s">
        <v>1462</v>
      </c>
      <c r="F571" s="151"/>
      <c r="G571" s="132">
        <v>1</v>
      </c>
      <c r="H571" s="128">
        <v>2958465</v>
      </c>
      <c r="I571" s="151"/>
      <c r="J571" s="151"/>
    </row>
    <row r="572" spans="1:10" x14ac:dyDescent="0.25">
      <c r="A572" s="124" t="s">
        <v>1465</v>
      </c>
      <c r="B572" s="124" t="s">
        <v>739</v>
      </c>
      <c r="C572" s="124" t="s">
        <v>1467</v>
      </c>
      <c r="D572" s="136">
        <v>61680419</v>
      </c>
      <c r="E572" s="124" t="s">
        <v>1466</v>
      </c>
      <c r="F572" s="151"/>
      <c r="G572" s="132">
        <v>125000</v>
      </c>
      <c r="H572" s="128">
        <v>2958465</v>
      </c>
      <c r="I572" s="151"/>
      <c r="J572" s="151"/>
    </row>
    <row r="573" spans="1:10" x14ac:dyDescent="0.25">
      <c r="A573" s="124" t="s">
        <v>1473</v>
      </c>
      <c r="B573" s="124" t="s">
        <v>734</v>
      </c>
      <c r="C573" s="124" t="s">
        <v>1475</v>
      </c>
      <c r="D573" s="136">
        <v>27235530</v>
      </c>
      <c r="E573" s="124" t="s">
        <v>845</v>
      </c>
      <c r="F573" s="151"/>
      <c r="G573" s="132">
        <v>145000</v>
      </c>
      <c r="H573" s="128">
        <v>46203</v>
      </c>
      <c r="I573" s="151"/>
      <c r="J573" s="151"/>
    </row>
    <row r="574" spans="1:10" x14ac:dyDescent="0.25">
      <c r="A574" s="124" t="s">
        <v>1476</v>
      </c>
      <c r="B574" s="124" t="s">
        <v>739</v>
      </c>
      <c r="C574" s="124" t="s">
        <v>1478</v>
      </c>
      <c r="D574" s="136">
        <v>27958639</v>
      </c>
      <c r="E574" s="124" t="s">
        <v>1477</v>
      </c>
      <c r="F574" s="151"/>
      <c r="G574" s="132">
        <v>6.05</v>
      </c>
      <c r="H574" s="128">
        <v>2958465</v>
      </c>
      <c r="I574" s="151"/>
      <c r="J574" s="151"/>
    </row>
    <row r="575" spans="1:10" x14ac:dyDescent="0.25">
      <c r="A575" s="124" t="s">
        <v>1481</v>
      </c>
      <c r="B575" s="124" t="s">
        <v>734</v>
      </c>
      <c r="C575" s="124" t="s">
        <v>1482</v>
      </c>
      <c r="D575" s="136">
        <v>27235530</v>
      </c>
      <c r="E575" s="124" t="s">
        <v>845</v>
      </c>
      <c r="F575" s="151"/>
      <c r="G575" s="124"/>
      <c r="H575" s="128">
        <v>46203</v>
      </c>
      <c r="I575" s="151"/>
      <c r="J575" s="151"/>
    </row>
    <row r="576" spans="1:10" x14ac:dyDescent="0.25">
      <c r="A576" s="124" t="s">
        <v>1484</v>
      </c>
      <c r="B576" s="124" t="s">
        <v>1166</v>
      </c>
      <c r="C576" s="124" t="s">
        <v>1486</v>
      </c>
      <c r="D576" s="136" t="s">
        <v>1854</v>
      </c>
      <c r="E576" s="124" t="s">
        <v>1485</v>
      </c>
      <c r="F576" s="151"/>
      <c r="G576" s="133">
        <v>427280</v>
      </c>
      <c r="H576" s="128">
        <v>46081</v>
      </c>
      <c r="I576" s="151"/>
      <c r="J576" s="151"/>
    </row>
    <row r="577" spans="1:10" x14ac:dyDescent="0.25">
      <c r="A577" s="124" t="s">
        <v>1490</v>
      </c>
      <c r="B577" s="124" t="s">
        <v>740</v>
      </c>
      <c r="C577" s="124" t="s">
        <v>1491</v>
      </c>
      <c r="D577" s="136" t="s">
        <v>1853</v>
      </c>
      <c r="E577" s="124" t="s">
        <v>1489</v>
      </c>
      <c r="F577" s="151"/>
      <c r="G577" s="133">
        <v>885313.44</v>
      </c>
      <c r="H577" s="135" t="s">
        <v>1524</v>
      </c>
      <c r="I577" s="151"/>
      <c r="J577" s="151"/>
    </row>
    <row r="578" spans="1:10" x14ac:dyDescent="0.25">
      <c r="A578" s="124" t="s">
        <v>1495</v>
      </c>
      <c r="B578" s="124" t="s">
        <v>734</v>
      </c>
      <c r="C578" s="124" t="s">
        <v>1498</v>
      </c>
      <c r="D578" s="136" t="s">
        <v>1852</v>
      </c>
      <c r="E578" s="124" t="s">
        <v>1499</v>
      </c>
      <c r="F578" s="151"/>
      <c r="G578" s="124"/>
      <c r="H578" s="128">
        <v>46022</v>
      </c>
      <c r="I578" s="151"/>
      <c r="J578" s="151"/>
    </row>
    <row r="579" spans="1:10" x14ac:dyDescent="0.25">
      <c r="A579" s="124" t="s">
        <v>1496</v>
      </c>
      <c r="B579" s="124" t="s">
        <v>734</v>
      </c>
      <c r="C579" s="124" t="s">
        <v>1497</v>
      </c>
      <c r="D579" s="136" t="s">
        <v>1851</v>
      </c>
      <c r="E579" s="124" t="s">
        <v>1163</v>
      </c>
      <c r="F579" s="151"/>
      <c r="G579" s="124"/>
      <c r="H579" s="128">
        <v>46203</v>
      </c>
      <c r="I579" s="151"/>
      <c r="J579" s="151"/>
    </row>
    <row r="580" spans="1:10" x14ac:dyDescent="0.25">
      <c r="A580" s="124" t="s">
        <v>1503</v>
      </c>
      <c r="B580" s="124" t="s">
        <v>739</v>
      </c>
      <c r="C580" s="124" t="s">
        <v>1504</v>
      </c>
      <c r="D580" s="136">
        <v>25458302</v>
      </c>
      <c r="E580" s="124" t="s">
        <v>878</v>
      </c>
      <c r="F580" s="151"/>
      <c r="G580" s="124"/>
      <c r="H580" s="128">
        <v>46387</v>
      </c>
      <c r="I580" s="151"/>
      <c r="J580" s="151"/>
    </row>
    <row r="581" spans="1:10" x14ac:dyDescent="0.25">
      <c r="A581" s="124" t="s">
        <v>1505</v>
      </c>
      <c r="B581" s="124" t="s">
        <v>739</v>
      </c>
      <c r="C581" s="124" t="s">
        <v>1506</v>
      </c>
      <c r="D581" s="136">
        <v>17323886</v>
      </c>
      <c r="E581" s="124" t="s">
        <v>1072</v>
      </c>
      <c r="F581" s="151"/>
      <c r="G581" s="124"/>
      <c r="H581" s="128">
        <v>46387</v>
      </c>
      <c r="I581" s="151"/>
      <c r="J581" s="151"/>
    </row>
    <row r="582" spans="1:10" x14ac:dyDescent="0.25">
      <c r="A582" s="124" t="s">
        <v>1511</v>
      </c>
      <c r="B582" s="124" t="s">
        <v>739</v>
      </c>
      <c r="C582" s="124" t="s">
        <v>1512</v>
      </c>
      <c r="D582" s="136">
        <v>11305304</v>
      </c>
      <c r="E582" s="124" t="s">
        <v>911</v>
      </c>
      <c r="F582" s="151"/>
      <c r="G582" s="133">
        <v>28800</v>
      </c>
      <c r="H582" s="128">
        <v>46645</v>
      </c>
      <c r="I582" s="151"/>
      <c r="J582" s="151"/>
    </row>
    <row r="583" spans="1:10" x14ac:dyDescent="0.25">
      <c r="A583" s="124" t="s">
        <v>1525</v>
      </c>
      <c r="B583" s="124" t="s">
        <v>734</v>
      </c>
      <c r="C583" s="124" t="s">
        <v>1527</v>
      </c>
      <c r="D583" s="136" t="s">
        <v>1850</v>
      </c>
      <c r="E583" s="124" t="s">
        <v>1526</v>
      </c>
      <c r="F583" s="151"/>
      <c r="G583" s="124"/>
      <c r="H583" s="128">
        <v>46022</v>
      </c>
      <c r="I583" s="151"/>
      <c r="J583" s="151"/>
    </row>
    <row r="584" spans="1:10" x14ac:dyDescent="0.25">
      <c r="A584" s="124" t="s">
        <v>1529</v>
      </c>
      <c r="B584" s="124" t="s">
        <v>739</v>
      </c>
      <c r="C584" s="124" t="s">
        <v>1531</v>
      </c>
      <c r="D584" s="136">
        <v>25479237</v>
      </c>
      <c r="E584" s="124" t="s">
        <v>1530</v>
      </c>
      <c r="F584" s="151"/>
      <c r="G584" s="131">
        <v>1815000</v>
      </c>
      <c r="H584" s="128">
        <v>45987</v>
      </c>
      <c r="I584" s="151"/>
      <c r="J584" s="151"/>
    </row>
    <row r="585" spans="1:10" x14ac:dyDescent="0.25">
      <c r="A585" s="124" t="s">
        <v>1532</v>
      </c>
      <c r="B585" s="124" t="s">
        <v>739</v>
      </c>
      <c r="C585" s="124" t="s">
        <v>1533</v>
      </c>
      <c r="D585" s="136">
        <v>25479237</v>
      </c>
      <c r="E585" s="124" t="s">
        <v>1530</v>
      </c>
      <c r="F585" s="151"/>
      <c r="G585" s="124"/>
      <c r="H585" s="128">
        <v>49542</v>
      </c>
      <c r="I585" s="151"/>
      <c r="J585" s="151"/>
    </row>
    <row r="586" spans="1:10" x14ac:dyDescent="0.25">
      <c r="A586" s="124" t="s">
        <v>1534</v>
      </c>
      <c r="B586" s="124" t="s">
        <v>739</v>
      </c>
      <c r="C586" s="124" t="s">
        <v>1537</v>
      </c>
      <c r="D586" s="136">
        <v>64509214</v>
      </c>
      <c r="E586" s="124" t="s">
        <v>767</v>
      </c>
      <c r="F586" s="151"/>
      <c r="G586" s="133">
        <v>4954950</v>
      </c>
      <c r="H586" s="128">
        <v>45982</v>
      </c>
      <c r="I586" s="151"/>
      <c r="J586" s="151"/>
    </row>
    <row r="587" spans="1:10" x14ac:dyDescent="0.25">
      <c r="A587" s="124" t="s">
        <v>1535</v>
      </c>
      <c r="B587" s="124" t="s">
        <v>734</v>
      </c>
      <c r="C587" s="124" t="s">
        <v>1538</v>
      </c>
      <c r="D587" s="136">
        <v>25765728</v>
      </c>
      <c r="E587" s="124" t="s">
        <v>1536</v>
      </c>
      <c r="F587" s="151"/>
      <c r="G587" s="132">
        <v>384152</v>
      </c>
      <c r="H587" s="128">
        <v>45981</v>
      </c>
      <c r="I587" s="151"/>
      <c r="J587" s="151"/>
    </row>
    <row r="588" spans="1:10" x14ac:dyDescent="0.25">
      <c r="A588" s="124" t="s">
        <v>1541</v>
      </c>
      <c r="B588" s="124" t="s">
        <v>734</v>
      </c>
      <c r="C588" s="124" t="s">
        <v>1542</v>
      </c>
      <c r="D588" s="136">
        <v>60719044</v>
      </c>
      <c r="E588" s="124" t="s">
        <v>1543</v>
      </c>
      <c r="F588" s="151"/>
      <c r="G588" s="132">
        <v>370744</v>
      </c>
      <c r="H588" s="128">
        <v>46105</v>
      </c>
      <c r="I588" s="151"/>
      <c r="J588" s="151"/>
    </row>
    <row r="589" spans="1:10" x14ac:dyDescent="0.25">
      <c r="A589" s="124" t="s">
        <v>1544</v>
      </c>
      <c r="B589" s="124" t="s">
        <v>739</v>
      </c>
      <c r="C589" s="124" t="s">
        <v>1546</v>
      </c>
      <c r="D589" s="136">
        <v>26505525</v>
      </c>
      <c r="E589" s="124" t="s">
        <v>1545</v>
      </c>
      <c r="F589" s="151"/>
      <c r="G589" s="133">
        <v>465850</v>
      </c>
      <c r="H589" s="128">
        <v>46022</v>
      </c>
      <c r="I589" s="151"/>
      <c r="J589" s="151"/>
    </row>
    <row r="590" spans="1:10" x14ac:dyDescent="0.25">
      <c r="A590" s="124" t="s">
        <v>1548</v>
      </c>
      <c r="B590" s="124" t="s">
        <v>737</v>
      </c>
      <c r="C590" s="124" t="s">
        <v>1549</v>
      </c>
      <c r="D590" s="136">
        <v>27256537</v>
      </c>
      <c r="E590" s="124" t="s">
        <v>838</v>
      </c>
      <c r="F590" s="151"/>
      <c r="G590" s="129" t="s">
        <v>1693</v>
      </c>
      <c r="H590" s="128">
        <v>2958465</v>
      </c>
      <c r="I590" s="151"/>
      <c r="J590" s="151"/>
    </row>
    <row r="591" spans="1:10" x14ac:dyDescent="0.25">
      <c r="A591" s="124" t="s">
        <v>1550</v>
      </c>
      <c r="B591" s="124" t="s">
        <v>737</v>
      </c>
      <c r="C591" s="124" t="s">
        <v>1551</v>
      </c>
      <c r="D591" s="136">
        <v>27256537</v>
      </c>
      <c r="E591" s="124" t="s">
        <v>838</v>
      </c>
      <c r="F591" s="151"/>
      <c r="G591" s="129" t="s">
        <v>1693</v>
      </c>
      <c r="H591" s="128">
        <v>2958465</v>
      </c>
      <c r="I591" s="151"/>
      <c r="J591" s="151"/>
    </row>
    <row r="592" spans="1:10" x14ac:dyDescent="0.25">
      <c r="A592" s="124" t="s">
        <v>1552</v>
      </c>
      <c r="B592" s="124" t="s">
        <v>737</v>
      </c>
      <c r="C592" s="124" t="s">
        <v>1549</v>
      </c>
      <c r="D592" s="136">
        <v>27256456</v>
      </c>
      <c r="E592" s="124" t="s">
        <v>839</v>
      </c>
      <c r="F592" s="151"/>
      <c r="G592" s="124"/>
      <c r="H592" s="128">
        <v>2958465</v>
      </c>
      <c r="I592" s="151"/>
      <c r="J592" s="151"/>
    </row>
    <row r="593" spans="1:10" x14ac:dyDescent="0.25">
      <c r="A593" s="124" t="s">
        <v>1553</v>
      </c>
      <c r="B593" s="124" t="s">
        <v>737</v>
      </c>
      <c r="C593" s="124" t="s">
        <v>1551</v>
      </c>
      <c r="D593" s="136">
        <v>27256456</v>
      </c>
      <c r="E593" s="124" t="s">
        <v>839</v>
      </c>
      <c r="F593" s="151"/>
      <c r="G593" s="124"/>
      <c r="H593" s="128">
        <v>2958465</v>
      </c>
      <c r="I593" s="151"/>
      <c r="J593" s="151"/>
    </row>
    <row r="594" spans="1:10" x14ac:dyDescent="0.25">
      <c r="A594" s="124" t="s">
        <v>1554</v>
      </c>
      <c r="B594" s="124" t="s">
        <v>734</v>
      </c>
      <c r="C594" s="124" t="s">
        <v>1555</v>
      </c>
      <c r="D594" s="136">
        <v>26747618</v>
      </c>
      <c r="E594" s="124" t="s">
        <v>857</v>
      </c>
      <c r="F594" s="151"/>
      <c r="G594" s="132">
        <v>101120</v>
      </c>
      <c r="H594" s="128">
        <v>46012</v>
      </c>
      <c r="I594" s="151"/>
      <c r="J594" s="151"/>
    </row>
    <row r="595" spans="1:10" x14ac:dyDescent="0.25">
      <c r="A595" s="124" t="s">
        <v>1558</v>
      </c>
      <c r="B595" s="124" t="s">
        <v>739</v>
      </c>
      <c r="C595" s="124" t="s">
        <v>1559</v>
      </c>
      <c r="D595" s="136">
        <v>61680419</v>
      </c>
      <c r="E595" s="124" t="s">
        <v>1466</v>
      </c>
      <c r="F595" s="151"/>
      <c r="G595" s="133">
        <v>100000</v>
      </c>
      <c r="H595" s="128">
        <v>2958465</v>
      </c>
      <c r="I595" s="151"/>
      <c r="J595" s="151"/>
    </row>
    <row r="596" spans="1:10" x14ac:dyDescent="0.25">
      <c r="A596" s="124" t="s">
        <v>1562</v>
      </c>
      <c r="B596" s="124" t="s">
        <v>739</v>
      </c>
      <c r="C596" s="124" t="s">
        <v>1563</v>
      </c>
      <c r="D596" s="136" t="s">
        <v>1812</v>
      </c>
      <c r="E596" s="124" t="s">
        <v>924</v>
      </c>
      <c r="F596" s="151"/>
      <c r="G596" s="133">
        <v>111745</v>
      </c>
      <c r="H596" s="128"/>
      <c r="I596" s="151"/>
      <c r="J596" s="151"/>
    </row>
    <row r="597" spans="1:10" x14ac:dyDescent="0.25">
      <c r="A597" s="124" t="s">
        <v>1564</v>
      </c>
      <c r="B597" s="124" t="s">
        <v>739</v>
      </c>
      <c r="C597" s="124" t="s">
        <v>268</v>
      </c>
      <c r="D597" s="136" t="s">
        <v>1812</v>
      </c>
      <c r="E597" s="124" t="s">
        <v>924</v>
      </c>
      <c r="F597" s="151"/>
      <c r="G597" s="133">
        <v>302500</v>
      </c>
      <c r="H597" s="128">
        <v>46295</v>
      </c>
      <c r="I597" s="151"/>
      <c r="J597" s="151"/>
    </row>
    <row r="598" spans="1:10" x14ac:dyDescent="0.25">
      <c r="A598" s="124" t="s">
        <v>1565</v>
      </c>
      <c r="B598" s="124" t="s">
        <v>740</v>
      </c>
      <c r="C598" s="124" t="s">
        <v>1566</v>
      </c>
      <c r="D598" s="136">
        <v>60193336</v>
      </c>
      <c r="E598" s="124" t="s">
        <v>780</v>
      </c>
      <c r="F598" s="151"/>
      <c r="G598" s="133">
        <v>2125637.25</v>
      </c>
      <c r="H598" s="128">
        <v>47396</v>
      </c>
      <c r="I598" s="151"/>
      <c r="J598" s="151"/>
    </row>
    <row r="599" spans="1:10" x14ac:dyDescent="0.25">
      <c r="A599" s="124" t="s">
        <v>1573</v>
      </c>
      <c r="B599" s="124" t="s">
        <v>759</v>
      </c>
      <c r="C599" s="124" t="s">
        <v>1574</v>
      </c>
      <c r="D599" s="136">
        <v>24766356</v>
      </c>
      <c r="E599" s="124" t="s">
        <v>890</v>
      </c>
      <c r="F599" s="151"/>
      <c r="G599" s="133">
        <v>2081200</v>
      </c>
      <c r="H599" s="128">
        <v>45961</v>
      </c>
      <c r="I599" s="151"/>
      <c r="J599" s="151"/>
    </row>
    <row r="600" spans="1:10" x14ac:dyDescent="0.25">
      <c r="A600" s="124" t="s">
        <v>1575</v>
      </c>
      <c r="B600" s="124" t="s">
        <v>737</v>
      </c>
      <c r="C600" s="124" t="s">
        <v>1577</v>
      </c>
      <c r="D600" s="136">
        <v>27253236</v>
      </c>
      <c r="E600" s="124" t="s">
        <v>843</v>
      </c>
      <c r="F600" s="151"/>
      <c r="G600" s="133">
        <v>1</v>
      </c>
      <c r="H600" s="128"/>
      <c r="I600" s="151"/>
      <c r="J600" s="151"/>
    </row>
    <row r="601" spans="1:10" x14ac:dyDescent="0.25">
      <c r="A601" s="124" t="s">
        <v>1576</v>
      </c>
      <c r="B601" s="124" t="s">
        <v>1166</v>
      </c>
      <c r="C601" s="124" t="s">
        <v>1578</v>
      </c>
      <c r="D601" s="136">
        <v>28785606</v>
      </c>
      <c r="E601" s="124" t="s">
        <v>1579</v>
      </c>
      <c r="F601" s="151"/>
      <c r="G601" s="132">
        <v>508974.4</v>
      </c>
      <c r="H601" s="128">
        <v>46081</v>
      </c>
      <c r="I601" s="151"/>
      <c r="J601" s="151"/>
    </row>
    <row r="602" spans="1:10" x14ac:dyDescent="0.25">
      <c r="A602" s="124" t="s">
        <v>1582</v>
      </c>
      <c r="B602" s="124" t="s">
        <v>734</v>
      </c>
      <c r="C602" s="124" t="s">
        <v>1583</v>
      </c>
      <c r="D602" s="136" t="s">
        <v>1834</v>
      </c>
      <c r="E602" s="124" t="s">
        <v>1584</v>
      </c>
      <c r="F602" s="151"/>
      <c r="G602" s="124"/>
      <c r="H602" s="128">
        <v>46022</v>
      </c>
      <c r="I602" s="151"/>
      <c r="J602" s="151"/>
    </row>
    <row r="603" spans="1:10" x14ac:dyDescent="0.25">
      <c r="A603" s="124" t="s">
        <v>1585</v>
      </c>
      <c r="B603" s="124" t="s">
        <v>739</v>
      </c>
      <c r="C603" s="124" t="s">
        <v>1586</v>
      </c>
      <c r="D603" s="136">
        <v>25710427</v>
      </c>
      <c r="E603" s="124" t="s">
        <v>875</v>
      </c>
      <c r="F603" s="151"/>
      <c r="G603" s="133">
        <v>50202900</v>
      </c>
      <c r="H603" s="128">
        <v>46412</v>
      </c>
      <c r="I603" s="151"/>
      <c r="J603" s="151"/>
    </row>
    <row r="604" spans="1:10" x14ac:dyDescent="0.25">
      <c r="A604" s="124" t="s">
        <v>1587</v>
      </c>
      <c r="B604" s="124" t="s">
        <v>739</v>
      </c>
      <c r="C604" s="124" t="s">
        <v>1588</v>
      </c>
      <c r="D604" s="136">
        <v>25710427</v>
      </c>
      <c r="E604" s="124" t="s">
        <v>875</v>
      </c>
      <c r="F604" s="151"/>
      <c r="G604" s="133">
        <v>75304350</v>
      </c>
      <c r="H604" s="128"/>
      <c r="I604" s="151"/>
      <c r="J604" s="151"/>
    </row>
    <row r="605" spans="1:10" x14ac:dyDescent="0.25">
      <c r="A605" s="124" t="s">
        <v>1590</v>
      </c>
      <c r="B605" s="124" t="s">
        <v>739</v>
      </c>
      <c r="C605" s="124" t="s">
        <v>1591</v>
      </c>
      <c r="D605" s="136" t="s">
        <v>1849</v>
      </c>
      <c r="E605" s="124" t="s">
        <v>946</v>
      </c>
      <c r="F605" s="151"/>
      <c r="G605" s="124"/>
      <c r="H605" s="128">
        <v>46102</v>
      </c>
      <c r="I605" s="151"/>
      <c r="J605" s="151"/>
    </row>
    <row r="606" spans="1:10" x14ac:dyDescent="0.25">
      <c r="A606" s="124" t="s">
        <v>1592</v>
      </c>
      <c r="B606" s="124" t="s">
        <v>740</v>
      </c>
      <c r="C606" s="124" t="s">
        <v>1593</v>
      </c>
      <c r="D606" s="136">
        <v>64949681</v>
      </c>
      <c r="E606" s="124" t="s">
        <v>765</v>
      </c>
      <c r="F606" s="151"/>
      <c r="G606" s="133">
        <v>35435188.799999997</v>
      </c>
      <c r="H606" s="128">
        <v>45922</v>
      </c>
      <c r="I606" s="151"/>
      <c r="J606" s="151"/>
    </row>
    <row r="607" spans="1:10" x14ac:dyDescent="0.25">
      <c r="A607" s="124" t="s">
        <v>1594</v>
      </c>
      <c r="B607" s="124" t="s">
        <v>734</v>
      </c>
      <c r="C607" s="124" t="s">
        <v>1595</v>
      </c>
      <c r="D607" s="136">
        <v>27301800</v>
      </c>
      <c r="E607" s="124" t="s">
        <v>836</v>
      </c>
      <c r="F607" s="151"/>
      <c r="G607" s="133">
        <v>470924.16</v>
      </c>
      <c r="H607" s="128">
        <v>45996</v>
      </c>
      <c r="I607" s="151"/>
      <c r="J607" s="151"/>
    </row>
    <row r="608" spans="1:10" x14ac:dyDescent="0.25">
      <c r="A608" s="124" t="s">
        <v>1596</v>
      </c>
      <c r="B608" s="124" t="s">
        <v>739</v>
      </c>
      <c r="C608" s="124" t="s">
        <v>1597</v>
      </c>
      <c r="D608" s="136">
        <v>44265778</v>
      </c>
      <c r="E608" s="124" t="s">
        <v>1022</v>
      </c>
      <c r="F608" s="151"/>
      <c r="G608" s="133">
        <v>751404</v>
      </c>
      <c r="H608" s="128">
        <v>45964</v>
      </c>
      <c r="I608" s="151"/>
      <c r="J608" s="151"/>
    </row>
    <row r="609" spans="1:10" x14ac:dyDescent="0.25">
      <c r="A609" s="124" t="s">
        <v>1598</v>
      </c>
      <c r="B609" s="124" t="s">
        <v>739</v>
      </c>
      <c r="C609" s="124" t="s">
        <v>303</v>
      </c>
      <c r="D609" s="136" t="s">
        <v>1848</v>
      </c>
      <c r="E609" s="124" t="s">
        <v>1599</v>
      </c>
      <c r="F609" s="151"/>
      <c r="G609" s="124"/>
      <c r="H609" s="128">
        <v>46295</v>
      </c>
      <c r="I609" s="151"/>
      <c r="J609" s="151"/>
    </row>
    <row r="610" spans="1:10" x14ac:dyDescent="0.25">
      <c r="A610" s="124" t="s">
        <v>1601</v>
      </c>
      <c r="B610" s="124" t="s">
        <v>734</v>
      </c>
      <c r="C610" s="124" t="s">
        <v>1603</v>
      </c>
      <c r="D610" s="136" t="s">
        <v>1847</v>
      </c>
      <c r="E610" s="124" t="s">
        <v>1602</v>
      </c>
      <c r="F610" s="151"/>
      <c r="G610" s="133">
        <v>302500</v>
      </c>
      <c r="H610" s="128">
        <v>2958465</v>
      </c>
      <c r="I610" s="151"/>
      <c r="J610" s="151"/>
    </row>
    <row r="611" spans="1:10" x14ac:dyDescent="0.25">
      <c r="A611" s="124" t="s">
        <v>1604</v>
      </c>
      <c r="B611" s="124" t="s">
        <v>739</v>
      </c>
      <c r="C611" s="124" t="s">
        <v>1605</v>
      </c>
      <c r="D611" s="136">
        <v>48033758</v>
      </c>
      <c r="E611" s="124" t="s">
        <v>792</v>
      </c>
      <c r="F611" s="151"/>
      <c r="G611" s="133">
        <v>1068200.7</v>
      </c>
      <c r="H611" s="128">
        <v>45965</v>
      </c>
      <c r="I611" s="151"/>
      <c r="J611" s="151"/>
    </row>
    <row r="612" spans="1:10" x14ac:dyDescent="0.25">
      <c r="A612" s="124" t="s">
        <v>1606</v>
      </c>
      <c r="B612" s="124" t="s">
        <v>739</v>
      </c>
      <c r="C612" s="124" t="s">
        <v>1608</v>
      </c>
      <c r="D612" s="136">
        <v>26416735</v>
      </c>
      <c r="E612" s="124" t="s">
        <v>1607</v>
      </c>
      <c r="F612" s="151"/>
      <c r="G612" s="133">
        <v>625000</v>
      </c>
      <c r="H612" s="128">
        <v>46722</v>
      </c>
      <c r="I612" s="151"/>
      <c r="J612" s="151"/>
    </row>
    <row r="613" spans="1:10" x14ac:dyDescent="0.25">
      <c r="A613" s="124" t="s">
        <v>1609</v>
      </c>
      <c r="B613" s="124" t="s">
        <v>739</v>
      </c>
      <c r="C613" s="124" t="s">
        <v>1611</v>
      </c>
      <c r="D613" s="136">
        <v>27362361</v>
      </c>
      <c r="E613" s="124" t="s">
        <v>1610</v>
      </c>
      <c r="F613" s="151"/>
      <c r="G613" s="182">
        <v>1</v>
      </c>
      <c r="H613" s="128">
        <v>46022</v>
      </c>
      <c r="I613" s="151"/>
      <c r="J613" s="151"/>
    </row>
    <row r="614" spans="1:10" x14ac:dyDescent="0.25">
      <c r="A614" s="124" t="s">
        <v>1612</v>
      </c>
      <c r="B614" s="124" t="s">
        <v>740</v>
      </c>
      <c r="C614" s="124" t="s">
        <v>1613</v>
      </c>
      <c r="D614" s="136">
        <v>70891095</v>
      </c>
      <c r="E614" s="124" t="s">
        <v>750</v>
      </c>
      <c r="F614" s="151"/>
      <c r="G614" s="133">
        <v>34485.730000000003</v>
      </c>
      <c r="H614" s="128">
        <v>47664</v>
      </c>
      <c r="I614" s="151"/>
      <c r="J614" s="151"/>
    </row>
    <row r="615" spans="1:10" x14ac:dyDescent="0.25">
      <c r="A615" s="124" t="s">
        <v>1614</v>
      </c>
      <c r="B615" s="124" t="s">
        <v>734</v>
      </c>
      <c r="C615" s="124" t="s">
        <v>1615</v>
      </c>
      <c r="D615" s="136">
        <v>49366076</v>
      </c>
      <c r="E615" s="124" t="s">
        <v>786</v>
      </c>
      <c r="F615" s="151"/>
      <c r="G615" s="124"/>
      <c r="H615" s="128">
        <v>47118</v>
      </c>
      <c r="I615" s="151"/>
      <c r="J615" s="151"/>
    </row>
    <row r="616" spans="1:10" x14ac:dyDescent="0.25">
      <c r="A616" s="124" t="s">
        <v>1617</v>
      </c>
      <c r="B616" s="124" t="s">
        <v>737</v>
      </c>
      <c r="C616" s="124" t="s">
        <v>1618</v>
      </c>
      <c r="D616" s="136">
        <v>27256391</v>
      </c>
      <c r="E616" s="124" t="s">
        <v>841</v>
      </c>
      <c r="F616" s="151"/>
      <c r="G616" s="124"/>
      <c r="H616" s="128">
        <v>45991</v>
      </c>
      <c r="I616" s="151"/>
      <c r="J616" s="151"/>
    </row>
    <row r="617" spans="1:10" x14ac:dyDescent="0.25">
      <c r="A617" s="124" t="s">
        <v>1619</v>
      </c>
      <c r="B617" s="124" t="s">
        <v>739</v>
      </c>
      <c r="C617" s="124" t="s">
        <v>1622</v>
      </c>
      <c r="D617" s="136">
        <v>380721908</v>
      </c>
      <c r="E617" s="124" t="s">
        <v>1621</v>
      </c>
      <c r="F617" s="151"/>
      <c r="G617" s="132">
        <v>17343432</v>
      </c>
      <c r="H617" s="128"/>
      <c r="I617" s="151"/>
      <c r="J617" s="151"/>
    </row>
    <row r="618" spans="1:10" x14ac:dyDescent="0.25">
      <c r="A618" s="124" t="s">
        <v>1620</v>
      </c>
      <c r="B618" s="124" t="s">
        <v>739</v>
      </c>
      <c r="C618" s="124" t="s">
        <v>1623</v>
      </c>
      <c r="D618" s="136">
        <v>24201596</v>
      </c>
      <c r="E618" s="124" t="s">
        <v>900</v>
      </c>
      <c r="F618" s="151"/>
      <c r="G618" s="132">
        <v>17460300</v>
      </c>
      <c r="H618" s="128">
        <v>46131</v>
      </c>
      <c r="I618" s="151"/>
      <c r="J618" s="151"/>
    </row>
    <row r="619" spans="1:10" x14ac:dyDescent="0.25">
      <c r="A619" s="124" t="s">
        <v>1625</v>
      </c>
      <c r="B619" s="124" t="s">
        <v>737</v>
      </c>
      <c r="C619" s="124" t="s">
        <v>1627</v>
      </c>
      <c r="D619" s="136">
        <v>24141232</v>
      </c>
      <c r="E619" s="124" t="s">
        <v>1626</v>
      </c>
      <c r="F619" s="151"/>
      <c r="G619" s="132">
        <v>1</v>
      </c>
      <c r="H619" s="128">
        <v>46752</v>
      </c>
      <c r="I619" s="151"/>
      <c r="J619" s="151"/>
    </row>
    <row r="620" spans="1:10" x14ac:dyDescent="0.25">
      <c r="A620" s="124" t="s">
        <v>1629</v>
      </c>
      <c r="B620" s="124" t="s">
        <v>739</v>
      </c>
      <c r="C620" s="124" t="s">
        <v>1631</v>
      </c>
      <c r="D620" s="136">
        <v>46342796</v>
      </c>
      <c r="E620" s="124" t="s">
        <v>1630</v>
      </c>
      <c r="F620" s="151"/>
      <c r="G620" s="133">
        <v>100809129</v>
      </c>
      <c r="H620" s="128">
        <v>46736</v>
      </c>
      <c r="I620" s="151"/>
      <c r="J620" s="151"/>
    </row>
    <row r="621" spans="1:10" x14ac:dyDescent="0.25">
      <c r="A621" s="124" t="s">
        <v>1635</v>
      </c>
      <c r="B621" s="124" t="s">
        <v>759</v>
      </c>
      <c r="C621" s="124" t="s">
        <v>1637</v>
      </c>
      <c r="D621" s="136">
        <v>23797819</v>
      </c>
      <c r="E621" s="124" t="s">
        <v>1639</v>
      </c>
      <c r="F621" s="151"/>
      <c r="G621" s="132">
        <v>1</v>
      </c>
      <c r="H621" s="128">
        <v>2958465</v>
      </c>
      <c r="I621" s="151"/>
      <c r="J621" s="151"/>
    </row>
    <row r="622" spans="1:10" x14ac:dyDescent="0.25">
      <c r="A622" s="124" t="s">
        <v>1636</v>
      </c>
      <c r="B622" s="124" t="s">
        <v>737</v>
      </c>
      <c r="C622" s="124" t="s">
        <v>1638</v>
      </c>
      <c r="D622" s="136">
        <v>3696545</v>
      </c>
      <c r="E622" s="124" t="s">
        <v>1640</v>
      </c>
      <c r="F622" s="151"/>
      <c r="G622" s="132">
        <v>1</v>
      </c>
      <c r="H622" s="128">
        <v>47453</v>
      </c>
      <c r="I622" s="151"/>
      <c r="J622" s="151"/>
    </row>
    <row r="623" spans="1:10" x14ac:dyDescent="0.25">
      <c r="A623" s="124" t="s">
        <v>1641</v>
      </c>
      <c r="B623" s="124" t="s">
        <v>740</v>
      </c>
      <c r="C623" s="124" t="s">
        <v>1659</v>
      </c>
      <c r="D623" s="136">
        <v>26042029</v>
      </c>
      <c r="E623" s="124" t="s">
        <v>1660</v>
      </c>
      <c r="F623" s="151"/>
      <c r="G623" s="132">
        <v>12358925</v>
      </c>
      <c r="H623" s="128">
        <v>47801</v>
      </c>
      <c r="I623" s="151"/>
      <c r="J623" s="151"/>
    </row>
    <row r="624" spans="1:10" x14ac:dyDescent="0.25">
      <c r="A624" s="124" t="s">
        <v>1642</v>
      </c>
      <c r="B624" s="124" t="s">
        <v>739</v>
      </c>
      <c r="C624" s="124" t="s">
        <v>1658</v>
      </c>
      <c r="D624" s="136">
        <v>48033758</v>
      </c>
      <c r="E624" s="124" t="s">
        <v>792</v>
      </c>
      <c r="F624" s="151"/>
      <c r="G624" s="132">
        <v>302000</v>
      </c>
      <c r="H624" s="128">
        <v>45988</v>
      </c>
      <c r="I624" s="151"/>
      <c r="J624" s="151"/>
    </row>
    <row r="625" spans="1:10" x14ac:dyDescent="0.25">
      <c r="A625" s="124" t="s">
        <v>1643</v>
      </c>
      <c r="B625" s="124" t="s">
        <v>734</v>
      </c>
      <c r="C625" s="124" t="s">
        <v>1657</v>
      </c>
      <c r="D625" s="136">
        <v>70565813</v>
      </c>
      <c r="E625" s="124" t="s">
        <v>1188</v>
      </c>
      <c r="F625" s="151"/>
      <c r="G625" s="124"/>
      <c r="H625" s="128">
        <v>45955</v>
      </c>
      <c r="I625" s="151"/>
      <c r="J625" s="151"/>
    </row>
    <row r="626" spans="1:10" x14ac:dyDescent="0.25">
      <c r="A626" s="124" t="s">
        <v>1644</v>
      </c>
      <c r="B626" s="124" t="s">
        <v>734</v>
      </c>
      <c r="C626" s="124" t="s">
        <v>1656</v>
      </c>
      <c r="D626" s="136" t="s">
        <v>1846</v>
      </c>
      <c r="E626" s="124" t="s">
        <v>1661</v>
      </c>
      <c r="F626" s="151"/>
      <c r="G626" s="124"/>
      <c r="H626" s="128">
        <v>46022</v>
      </c>
      <c r="I626" s="151"/>
      <c r="J626" s="151"/>
    </row>
    <row r="627" spans="1:10" x14ac:dyDescent="0.25">
      <c r="A627" s="124" t="s">
        <v>1645</v>
      </c>
      <c r="B627" s="124" t="s">
        <v>734</v>
      </c>
      <c r="C627" s="124" t="s">
        <v>1655</v>
      </c>
      <c r="D627" s="136" t="s">
        <v>1845</v>
      </c>
      <c r="E627" s="124" t="s">
        <v>1662</v>
      </c>
      <c r="F627" s="151"/>
      <c r="G627" s="124"/>
      <c r="H627" s="128">
        <v>45989</v>
      </c>
      <c r="I627" s="151"/>
      <c r="J627" s="151"/>
    </row>
    <row r="628" spans="1:10" x14ac:dyDescent="0.25">
      <c r="A628" s="124" t="s">
        <v>1646</v>
      </c>
      <c r="B628" s="124" t="s">
        <v>734</v>
      </c>
      <c r="C628" s="124" t="s">
        <v>1654</v>
      </c>
      <c r="D628" s="136" t="s">
        <v>1844</v>
      </c>
      <c r="E628" s="124" t="s">
        <v>1663</v>
      </c>
      <c r="F628" s="151"/>
      <c r="G628" s="124"/>
      <c r="H628" s="128">
        <v>45991</v>
      </c>
      <c r="I628" s="151"/>
      <c r="J628" s="151"/>
    </row>
    <row r="629" spans="1:10" x14ac:dyDescent="0.25">
      <c r="A629" s="124" t="s">
        <v>1647</v>
      </c>
      <c r="B629" s="124" t="s">
        <v>734</v>
      </c>
      <c r="C629" s="124" t="s">
        <v>1653</v>
      </c>
      <c r="D629" s="136" t="s">
        <v>1843</v>
      </c>
      <c r="E629" s="124" t="s">
        <v>1664</v>
      </c>
      <c r="F629" s="151"/>
      <c r="G629" s="124"/>
      <c r="H629" s="128">
        <v>46265</v>
      </c>
      <c r="I629" s="151"/>
      <c r="J629" s="151"/>
    </row>
    <row r="630" spans="1:10" x14ac:dyDescent="0.25">
      <c r="A630" s="124" t="s">
        <v>1648</v>
      </c>
      <c r="B630" s="124" t="s">
        <v>734</v>
      </c>
      <c r="C630" s="124" t="s">
        <v>1652</v>
      </c>
      <c r="D630" s="136" t="s">
        <v>1843</v>
      </c>
      <c r="E630" s="124" t="s">
        <v>1389</v>
      </c>
      <c r="F630" s="151"/>
      <c r="G630" s="124"/>
      <c r="H630" s="128">
        <v>46022</v>
      </c>
      <c r="I630" s="151"/>
      <c r="J630" s="151"/>
    </row>
    <row r="631" spans="1:10" x14ac:dyDescent="0.25">
      <c r="A631" s="124" t="s">
        <v>1649</v>
      </c>
      <c r="B631" s="124" t="s">
        <v>734</v>
      </c>
      <c r="C631" s="124" t="s">
        <v>1651</v>
      </c>
      <c r="D631" s="136">
        <v>47072741</v>
      </c>
      <c r="E631" s="124" t="s">
        <v>1665</v>
      </c>
      <c r="F631" s="151"/>
      <c r="G631" s="124"/>
      <c r="H631" s="128">
        <v>45969</v>
      </c>
      <c r="I631" s="151"/>
      <c r="J631" s="151"/>
    </row>
    <row r="632" spans="1:10" x14ac:dyDescent="0.25">
      <c r="A632" s="124" t="s">
        <v>1650</v>
      </c>
      <c r="B632" s="124" t="s">
        <v>739</v>
      </c>
      <c r="C632" s="124" t="s">
        <v>1666</v>
      </c>
      <c r="D632" s="136" t="s">
        <v>1842</v>
      </c>
      <c r="E632" s="124" t="s">
        <v>1158</v>
      </c>
      <c r="F632" s="151"/>
      <c r="G632" s="132">
        <v>593886.93000000005</v>
      </c>
      <c r="H632" s="128">
        <v>48152</v>
      </c>
      <c r="I632" s="151"/>
      <c r="J632" s="151"/>
    </row>
    <row r="633" spans="1:10" x14ac:dyDescent="0.25">
      <c r="A633" s="124" t="s">
        <v>1667</v>
      </c>
      <c r="B633" s="124" t="s">
        <v>734</v>
      </c>
      <c r="C633" s="124" t="s">
        <v>1669</v>
      </c>
      <c r="D633" s="136">
        <v>24807443</v>
      </c>
      <c r="E633" s="124" t="s">
        <v>1668</v>
      </c>
      <c r="F633" s="151"/>
      <c r="G633" s="124"/>
      <c r="H633" s="128">
        <v>45991</v>
      </c>
      <c r="I633" s="151"/>
      <c r="J633" s="151"/>
    </row>
    <row r="634" spans="1:10" x14ac:dyDescent="0.25">
      <c r="A634" s="124" t="s">
        <v>1670</v>
      </c>
      <c r="B634" s="124" t="s">
        <v>734</v>
      </c>
      <c r="C634" s="124" t="s">
        <v>1672</v>
      </c>
      <c r="D634" s="136">
        <v>27739872</v>
      </c>
      <c r="E634" s="124" t="s">
        <v>1671</v>
      </c>
      <c r="F634" s="151"/>
      <c r="G634" s="133">
        <v>1535490</v>
      </c>
      <c r="H634" s="128">
        <v>45991</v>
      </c>
      <c r="I634" s="151"/>
      <c r="J634" s="151"/>
    </row>
    <row r="635" spans="1:10" x14ac:dyDescent="0.25">
      <c r="A635" s="124" t="s">
        <v>1673</v>
      </c>
      <c r="B635" s="124" t="s">
        <v>734</v>
      </c>
      <c r="C635" s="124" t="s">
        <v>1674</v>
      </c>
      <c r="D635" s="136">
        <v>27739872</v>
      </c>
      <c r="E635" s="124" t="s">
        <v>1671</v>
      </c>
      <c r="F635" s="151"/>
      <c r="G635" s="133">
        <v>101640</v>
      </c>
      <c r="H635" s="128">
        <v>45991</v>
      </c>
      <c r="I635" s="151"/>
      <c r="J635" s="151"/>
    </row>
    <row r="636" spans="1:10" x14ac:dyDescent="0.25">
      <c r="A636" s="124" t="s">
        <v>1675</v>
      </c>
      <c r="B636" s="124" t="s">
        <v>734</v>
      </c>
      <c r="C636" s="124" t="s">
        <v>1679</v>
      </c>
      <c r="D636" s="136" t="s">
        <v>1841</v>
      </c>
      <c r="E636" s="124" t="s">
        <v>1677</v>
      </c>
      <c r="F636" s="151"/>
      <c r="G636" s="124"/>
      <c r="H636" s="128">
        <v>46022</v>
      </c>
      <c r="I636" s="151"/>
      <c r="J636" s="151"/>
    </row>
    <row r="637" spans="1:10" x14ac:dyDescent="0.25">
      <c r="A637" s="124" t="s">
        <v>1676</v>
      </c>
      <c r="B637" s="124" t="s">
        <v>734</v>
      </c>
      <c r="C637" s="124" t="s">
        <v>1680</v>
      </c>
      <c r="D637" s="136" t="s">
        <v>1840</v>
      </c>
      <c r="E637" s="124" t="s">
        <v>1678</v>
      </c>
      <c r="F637" s="151"/>
      <c r="G637" s="124"/>
      <c r="H637" s="128">
        <v>46022</v>
      </c>
      <c r="I637" s="151"/>
      <c r="J637" s="151"/>
    </row>
    <row r="638" spans="1:10" x14ac:dyDescent="0.25">
      <c r="A638" s="124" t="s">
        <v>1683</v>
      </c>
      <c r="B638" s="124" t="s">
        <v>739</v>
      </c>
      <c r="C638" s="124" t="s">
        <v>319</v>
      </c>
      <c r="D638" s="136">
        <v>70891095</v>
      </c>
      <c r="E638" s="124" t="s">
        <v>750</v>
      </c>
      <c r="F638" s="151"/>
      <c r="G638" s="133">
        <v>3134700</v>
      </c>
      <c r="H638" s="128">
        <v>47848</v>
      </c>
      <c r="I638" s="151"/>
      <c r="J638" s="151"/>
    </row>
    <row r="639" spans="1:10" x14ac:dyDescent="0.25">
      <c r="A639" s="124" t="s">
        <v>1684</v>
      </c>
      <c r="B639" s="124" t="s">
        <v>739</v>
      </c>
      <c r="C639" s="124" t="s">
        <v>1686</v>
      </c>
      <c r="D639" s="136">
        <v>48936456</v>
      </c>
      <c r="E639" s="124" t="s">
        <v>1685</v>
      </c>
      <c r="F639" s="151"/>
      <c r="G639" s="124"/>
      <c r="H639" s="128">
        <v>2958465</v>
      </c>
      <c r="I639" s="151"/>
      <c r="J639" s="151"/>
    </row>
    <row r="640" spans="1:10" x14ac:dyDescent="0.25">
      <c r="A640" s="124" t="s">
        <v>1687</v>
      </c>
      <c r="B640" s="124" t="s">
        <v>740</v>
      </c>
      <c r="C640" s="124" t="s">
        <v>1689</v>
      </c>
      <c r="D640" s="136">
        <v>18630782</v>
      </c>
      <c r="E640" s="124" t="s">
        <v>1688</v>
      </c>
      <c r="F640" s="151"/>
      <c r="G640" s="133">
        <v>1267729.1000000001</v>
      </c>
      <c r="H640" s="128">
        <v>46034</v>
      </c>
      <c r="I640" s="151"/>
      <c r="J640" s="151"/>
    </row>
    <row r="641" spans="1:10" x14ac:dyDescent="0.25">
      <c r="A641" s="124" t="s">
        <v>1690</v>
      </c>
      <c r="B641" s="124" t="s">
        <v>739</v>
      </c>
      <c r="C641" s="124" t="s">
        <v>1692</v>
      </c>
      <c r="D641" s="136">
        <v>29141281</v>
      </c>
      <c r="E641" s="124" t="s">
        <v>1691</v>
      </c>
      <c r="F641" s="151"/>
      <c r="G641" s="133">
        <v>240644.8</v>
      </c>
      <c r="H641" s="128">
        <v>45993</v>
      </c>
      <c r="I641" s="151"/>
      <c r="J641" s="151"/>
    </row>
    <row r="642" spans="1:10" x14ac:dyDescent="0.25">
      <c r="A642" s="124" t="s">
        <v>1696</v>
      </c>
      <c r="B642" s="124" t="s">
        <v>740</v>
      </c>
      <c r="C642" s="124" t="s">
        <v>1698</v>
      </c>
      <c r="D642" s="136">
        <v>45279241</v>
      </c>
      <c r="E642" s="124" t="s">
        <v>1697</v>
      </c>
      <c r="F642" s="151"/>
      <c r="G642" s="133"/>
      <c r="H642" s="128">
        <v>2958465</v>
      </c>
      <c r="I642" s="151"/>
      <c r="J642" s="151"/>
    </row>
    <row r="643" spans="1:10" x14ac:dyDescent="0.25">
      <c r="A643" s="124" t="s">
        <v>1699</v>
      </c>
      <c r="B643" s="124" t="s">
        <v>739</v>
      </c>
      <c r="C643" s="124" t="s">
        <v>1700</v>
      </c>
      <c r="D643" s="136" t="s">
        <v>1839</v>
      </c>
      <c r="E643" s="124" t="s">
        <v>938</v>
      </c>
      <c r="F643" s="151"/>
      <c r="G643" s="124"/>
      <c r="H643" s="128"/>
      <c r="I643" s="151"/>
      <c r="J643" s="151"/>
    </row>
    <row r="644" spans="1:10" x14ac:dyDescent="0.25">
      <c r="A644" s="124" t="s">
        <v>1701</v>
      </c>
      <c r="B644" s="124" t="s">
        <v>734</v>
      </c>
      <c r="C644" s="124" t="s">
        <v>1703</v>
      </c>
      <c r="D644" s="136" t="s">
        <v>1838</v>
      </c>
      <c r="E644" s="124" t="s">
        <v>1702</v>
      </c>
      <c r="F644" s="151"/>
      <c r="G644" s="124"/>
      <c r="H644" s="128">
        <v>45991</v>
      </c>
      <c r="I644" s="151"/>
      <c r="J644" s="151"/>
    </row>
    <row r="645" spans="1:10" x14ac:dyDescent="0.25">
      <c r="A645" s="124" t="s">
        <v>1704</v>
      </c>
      <c r="B645" s="124" t="s">
        <v>734</v>
      </c>
      <c r="C645" s="124" t="s">
        <v>1706</v>
      </c>
      <c r="D645" s="136">
        <v>49777513</v>
      </c>
      <c r="E645" s="124" t="s">
        <v>1705</v>
      </c>
      <c r="F645" s="151"/>
      <c r="G645" s="124"/>
      <c r="H645" s="128"/>
      <c r="I645" s="151"/>
      <c r="J645" s="151"/>
    </row>
    <row r="646" spans="1:10" x14ac:dyDescent="0.25">
      <c r="A646" s="124" t="s">
        <v>1707</v>
      </c>
      <c r="B646" s="124" t="s">
        <v>734</v>
      </c>
      <c r="C646" s="124" t="s">
        <v>1708</v>
      </c>
      <c r="D646" s="136">
        <v>64943160</v>
      </c>
      <c r="E646" s="124" t="s">
        <v>766</v>
      </c>
      <c r="F646" s="151"/>
      <c r="G646" s="124"/>
      <c r="H646" s="128">
        <v>45989</v>
      </c>
      <c r="I646" s="151"/>
      <c r="J646" s="151"/>
    </row>
    <row r="647" spans="1:10" x14ac:dyDescent="0.25">
      <c r="A647" s="124" t="s">
        <v>1709</v>
      </c>
      <c r="B647" s="124" t="s">
        <v>737</v>
      </c>
      <c r="C647" s="124" t="s">
        <v>1759</v>
      </c>
      <c r="D647" s="136">
        <v>26742845</v>
      </c>
      <c r="E647" s="124" t="s">
        <v>1758</v>
      </c>
      <c r="F647" s="151"/>
      <c r="G647" s="133"/>
      <c r="H647" s="128"/>
      <c r="I647" s="151"/>
      <c r="J647" s="151"/>
    </row>
    <row r="648" spans="1:10" x14ac:dyDescent="0.25">
      <c r="A648" s="124" t="s">
        <v>1710</v>
      </c>
      <c r="B648" s="124" t="s">
        <v>740</v>
      </c>
      <c r="C648" s="124" t="s">
        <v>1712</v>
      </c>
      <c r="D648" s="136">
        <v>25397443</v>
      </c>
      <c r="E648" s="124" t="s">
        <v>1711</v>
      </c>
      <c r="F648" s="151"/>
      <c r="G648" s="133">
        <v>140263.20000000001</v>
      </c>
      <c r="H648" s="128">
        <v>45991</v>
      </c>
      <c r="I648" s="151"/>
      <c r="J648" s="151"/>
    </row>
    <row r="649" spans="1:10" x14ac:dyDescent="0.25">
      <c r="A649" s="124" t="s">
        <v>1713</v>
      </c>
      <c r="B649" s="124" t="s">
        <v>734</v>
      </c>
      <c r="C649" s="124" t="s">
        <v>1714</v>
      </c>
      <c r="D649" s="136">
        <v>75095432</v>
      </c>
      <c r="E649" s="124" t="s">
        <v>738</v>
      </c>
      <c r="F649" s="151"/>
      <c r="G649" s="124"/>
      <c r="H649" s="128">
        <v>45991</v>
      </c>
      <c r="I649" s="151"/>
      <c r="J649" s="151"/>
    </row>
    <row r="650" spans="1:10" x14ac:dyDescent="0.25">
      <c r="A650" s="124" t="s">
        <v>1715</v>
      </c>
      <c r="B650" s="124" t="s">
        <v>734</v>
      </c>
      <c r="C650" s="124" t="s">
        <v>1717</v>
      </c>
      <c r="D650" s="136" t="s">
        <v>1837</v>
      </c>
      <c r="E650" s="124" t="s">
        <v>1716</v>
      </c>
      <c r="F650" s="151"/>
      <c r="G650" s="124"/>
      <c r="H650" s="128">
        <v>46038</v>
      </c>
      <c r="I650" s="151"/>
      <c r="J650" s="151"/>
    </row>
    <row r="651" spans="1:10" x14ac:dyDescent="0.25">
      <c r="A651" s="124" t="s">
        <v>1718</v>
      </c>
      <c r="B651" s="124" t="s">
        <v>734</v>
      </c>
      <c r="C651" s="124" t="s">
        <v>1719</v>
      </c>
      <c r="D651" s="136" t="s">
        <v>1836</v>
      </c>
      <c r="E651" s="124" t="s">
        <v>1401</v>
      </c>
      <c r="F651" s="151"/>
      <c r="G651" s="124"/>
      <c r="H651" s="128">
        <v>45996</v>
      </c>
      <c r="I651" s="151"/>
      <c r="J651" s="151"/>
    </row>
    <row r="652" spans="1:10" x14ac:dyDescent="0.25">
      <c r="A652" s="124" t="s">
        <v>1720</v>
      </c>
      <c r="B652" s="124" t="s">
        <v>734</v>
      </c>
      <c r="C652" s="124" t="s">
        <v>1722</v>
      </c>
      <c r="D652" s="136" t="s">
        <v>1835</v>
      </c>
      <c r="E652" s="124" t="s">
        <v>1721</v>
      </c>
      <c r="F652" s="151"/>
      <c r="G652" s="124"/>
      <c r="H652" s="128">
        <v>46021</v>
      </c>
      <c r="I652" s="151"/>
      <c r="J652" s="151"/>
    </row>
    <row r="653" spans="1:10" x14ac:dyDescent="0.25">
      <c r="A653" s="124" t="s">
        <v>1723</v>
      </c>
      <c r="B653" s="124" t="s">
        <v>734</v>
      </c>
      <c r="C653" s="124" t="s">
        <v>1724</v>
      </c>
      <c r="D653" s="136" t="s">
        <v>1834</v>
      </c>
      <c r="E653" s="124" t="s">
        <v>1584</v>
      </c>
      <c r="F653" s="151"/>
      <c r="G653" s="124"/>
      <c r="H653" s="128">
        <v>46265</v>
      </c>
      <c r="I653" s="151"/>
      <c r="J653" s="151"/>
    </row>
    <row r="654" spans="1:10" x14ac:dyDescent="0.25">
      <c r="A654" s="124" t="s">
        <v>1729</v>
      </c>
      <c r="B654" s="124" t="s">
        <v>739</v>
      </c>
      <c r="C654" s="124" t="s">
        <v>1730</v>
      </c>
      <c r="D654" s="136">
        <v>49356089</v>
      </c>
      <c r="E654" s="124" t="s">
        <v>787</v>
      </c>
      <c r="F654" s="151"/>
      <c r="G654" s="133">
        <v>120000</v>
      </c>
      <c r="H654" s="128">
        <v>2958465</v>
      </c>
      <c r="I654" s="151"/>
      <c r="J654" s="151"/>
    </row>
    <row r="655" spans="1:10" x14ac:dyDescent="0.25">
      <c r="A655" s="124" t="s">
        <v>1736</v>
      </c>
      <c r="B655" s="124" t="s">
        <v>739</v>
      </c>
      <c r="C655" s="124" t="s">
        <v>1737</v>
      </c>
      <c r="D655" s="136">
        <v>27362361</v>
      </c>
      <c r="E655" s="124" t="s">
        <v>1610</v>
      </c>
      <c r="F655" s="151"/>
      <c r="G655" s="133">
        <v>7020000</v>
      </c>
      <c r="H655" s="128">
        <v>49674</v>
      </c>
      <c r="I655" s="151"/>
      <c r="J655" s="151"/>
    </row>
    <row r="656" spans="1:10" x14ac:dyDescent="0.25">
      <c r="A656" s="124" t="s">
        <v>1738</v>
      </c>
      <c r="B656" s="124" t="s">
        <v>737</v>
      </c>
      <c r="C656" s="124" t="s">
        <v>1740</v>
      </c>
      <c r="D656" s="136">
        <v>24769941</v>
      </c>
      <c r="E656" s="124" t="s">
        <v>1739</v>
      </c>
      <c r="F656" s="151"/>
      <c r="G656" s="133">
        <v>1</v>
      </c>
      <c r="H656" s="128">
        <v>47460</v>
      </c>
      <c r="I656" s="151"/>
      <c r="J656" s="151"/>
    </row>
    <row r="657" spans="1:10" x14ac:dyDescent="0.25">
      <c r="A657" s="124" t="s">
        <v>1741</v>
      </c>
      <c r="B657" s="124" t="s">
        <v>739</v>
      </c>
      <c r="C657" s="124" t="s">
        <v>1743</v>
      </c>
      <c r="D657" s="136">
        <v>63988054</v>
      </c>
      <c r="E657" s="124" t="s">
        <v>1742</v>
      </c>
      <c r="F657" s="151"/>
      <c r="G657" s="133">
        <v>1689960</v>
      </c>
      <c r="H657" s="128">
        <v>49674</v>
      </c>
      <c r="I657" s="151"/>
      <c r="J657" s="151"/>
    </row>
    <row r="658" spans="1:10" x14ac:dyDescent="0.25">
      <c r="A658" s="124" t="s">
        <v>1744</v>
      </c>
      <c r="B658" s="124" t="s">
        <v>739</v>
      </c>
      <c r="C658" s="124" t="s">
        <v>1746</v>
      </c>
      <c r="D658" s="136">
        <v>25922378</v>
      </c>
      <c r="E658" s="124" t="s">
        <v>1745</v>
      </c>
      <c r="F658" s="151"/>
      <c r="G658" s="133">
        <v>231358.05</v>
      </c>
      <c r="H658" s="128">
        <v>46023</v>
      </c>
      <c r="I658" s="151"/>
      <c r="J658" s="151"/>
    </row>
    <row r="659" spans="1:10" x14ac:dyDescent="0.25">
      <c r="A659" s="124" t="s">
        <v>1747</v>
      </c>
      <c r="B659" s="124" t="s">
        <v>739</v>
      </c>
      <c r="C659" s="124" t="s">
        <v>1748</v>
      </c>
      <c r="D659" s="136">
        <v>25922378</v>
      </c>
      <c r="E659" s="124" t="s">
        <v>1745</v>
      </c>
      <c r="F659" s="151"/>
      <c r="G659" s="133">
        <v>136379.1</v>
      </c>
      <c r="H659" s="128">
        <v>46023</v>
      </c>
      <c r="I659" s="151"/>
      <c r="J659" s="151"/>
    </row>
    <row r="660" spans="1:10" x14ac:dyDescent="0.25">
      <c r="A660" s="124" t="s">
        <v>1749</v>
      </c>
      <c r="B660" s="124" t="s">
        <v>739</v>
      </c>
      <c r="C660" s="124" t="s">
        <v>1750</v>
      </c>
      <c r="D660" s="136" t="s">
        <v>1833</v>
      </c>
      <c r="E660" s="124" t="s">
        <v>1751</v>
      </c>
      <c r="F660" s="151"/>
      <c r="G660" s="133">
        <v>720000</v>
      </c>
      <c r="H660" s="128">
        <v>49674</v>
      </c>
      <c r="I660" s="151"/>
      <c r="J660" s="151"/>
    </row>
    <row r="661" spans="1:10" x14ac:dyDescent="0.25">
      <c r="A661" s="124" t="s">
        <v>1752</v>
      </c>
      <c r="B661" s="124" t="s">
        <v>739</v>
      </c>
      <c r="C661" s="124" t="s">
        <v>1754</v>
      </c>
      <c r="D661" s="136" t="s">
        <v>1832</v>
      </c>
      <c r="E661" s="124" t="s">
        <v>1753</v>
      </c>
      <c r="F661" s="151"/>
      <c r="G661" s="133">
        <v>107889.05</v>
      </c>
      <c r="H661" s="128">
        <v>46023</v>
      </c>
      <c r="I661" s="151"/>
      <c r="J661" s="151"/>
    </row>
    <row r="662" spans="1:10" x14ac:dyDescent="0.25">
      <c r="A662" s="124" t="s">
        <v>1755</v>
      </c>
      <c r="B662" s="124" t="s">
        <v>739</v>
      </c>
      <c r="C662" s="124" t="s">
        <v>1757</v>
      </c>
      <c r="D662" s="136" t="s">
        <v>1831</v>
      </c>
      <c r="E662" s="124" t="s">
        <v>1756</v>
      </c>
      <c r="F662" s="151"/>
      <c r="G662" s="133">
        <v>365917.31</v>
      </c>
      <c r="H662" s="128">
        <v>46066</v>
      </c>
      <c r="I662" s="151"/>
      <c r="J662" s="151"/>
    </row>
    <row r="663" spans="1:10" x14ac:dyDescent="0.25">
      <c r="A663" s="124" t="s">
        <v>1760</v>
      </c>
      <c r="B663" s="124" t="s">
        <v>734</v>
      </c>
      <c r="C663" s="124" t="s">
        <v>1782</v>
      </c>
      <c r="D663" s="136" t="s">
        <v>1830</v>
      </c>
      <c r="E663" s="124" t="s">
        <v>1781</v>
      </c>
      <c r="F663" s="151"/>
      <c r="G663" s="124"/>
      <c r="H663" s="128">
        <v>46022</v>
      </c>
      <c r="I663" s="151"/>
      <c r="J663" s="151"/>
    </row>
    <row r="664" spans="1:10" x14ac:dyDescent="0.25">
      <c r="A664" s="124" t="s">
        <v>1761</v>
      </c>
      <c r="B664" s="124" t="s">
        <v>734</v>
      </c>
      <c r="C664" s="124" t="s">
        <v>1783</v>
      </c>
      <c r="D664" s="136">
        <v>49777513</v>
      </c>
      <c r="E664" s="124" t="s">
        <v>1705</v>
      </c>
      <c r="F664" s="151"/>
      <c r="G664" s="124"/>
      <c r="H664" s="128">
        <v>46010</v>
      </c>
      <c r="I664" s="151"/>
      <c r="J664" s="151"/>
    </row>
    <row r="665" spans="1:10" x14ac:dyDescent="0.25">
      <c r="A665" s="124" t="s">
        <v>1762</v>
      </c>
      <c r="B665" s="124" t="s">
        <v>734</v>
      </c>
      <c r="C665" s="124" t="s">
        <v>1763</v>
      </c>
      <c r="D665" s="136" t="s">
        <v>1829</v>
      </c>
      <c r="E665" s="124" t="s">
        <v>1400</v>
      </c>
      <c r="F665" s="151"/>
      <c r="G665" s="124"/>
      <c r="H665" s="128">
        <v>45991</v>
      </c>
      <c r="I665" s="151"/>
      <c r="J665" s="151"/>
    </row>
    <row r="666" spans="1:10" x14ac:dyDescent="0.25">
      <c r="A666" s="124" t="s">
        <v>1764</v>
      </c>
      <c r="B666" s="124" t="s">
        <v>734</v>
      </c>
      <c r="C666" s="124" t="s">
        <v>1766</v>
      </c>
      <c r="D666" s="136">
        <v>21078612</v>
      </c>
      <c r="E666" s="124" t="s">
        <v>1765</v>
      </c>
      <c r="F666" s="151"/>
      <c r="G666" s="124"/>
      <c r="H666" s="128">
        <v>46014</v>
      </c>
      <c r="I666" s="151"/>
      <c r="J666" s="151"/>
    </row>
    <row r="667" spans="1:10" x14ac:dyDescent="0.25">
      <c r="A667" s="124" t="s">
        <v>1767</v>
      </c>
      <c r="B667" s="124" t="s">
        <v>734</v>
      </c>
      <c r="C667" s="124" t="s">
        <v>1770</v>
      </c>
      <c r="D667" s="136">
        <v>60162694</v>
      </c>
      <c r="E667" s="124" t="s">
        <v>781</v>
      </c>
      <c r="F667" s="151"/>
      <c r="G667" s="124"/>
      <c r="H667" s="128">
        <v>46387</v>
      </c>
      <c r="I667" s="151"/>
      <c r="J667" s="151"/>
    </row>
    <row r="668" spans="1:10" x14ac:dyDescent="0.25">
      <c r="A668" s="124" t="s">
        <v>1768</v>
      </c>
      <c r="B668" s="124" t="s">
        <v>734</v>
      </c>
      <c r="C668" s="124" t="s">
        <v>1769</v>
      </c>
      <c r="D668" s="136">
        <v>60162694</v>
      </c>
      <c r="E668" s="124" t="s">
        <v>781</v>
      </c>
      <c r="F668" s="151"/>
      <c r="G668" s="124"/>
      <c r="H668" s="128">
        <v>46387</v>
      </c>
      <c r="I668" s="151"/>
      <c r="J668" s="151"/>
    </row>
    <row r="669" spans="1:10" x14ac:dyDescent="0.25">
      <c r="A669" s="124" t="s">
        <v>1771</v>
      </c>
      <c r="B669" s="124" t="s">
        <v>739</v>
      </c>
      <c r="C669" s="124" t="s">
        <v>1772</v>
      </c>
      <c r="D669" s="136">
        <v>26429683</v>
      </c>
      <c r="E669" s="124" t="s">
        <v>864</v>
      </c>
      <c r="F669" s="151"/>
      <c r="G669" s="182">
        <v>120000</v>
      </c>
      <c r="H669" s="128">
        <v>46752</v>
      </c>
      <c r="I669" s="151"/>
      <c r="J669" s="151"/>
    </row>
    <row r="670" spans="1:10" x14ac:dyDescent="0.25">
      <c r="A670" s="124" t="s">
        <v>1773</v>
      </c>
      <c r="B670" s="124" t="s">
        <v>734</v>
      </c>
      <c r="C670" s="124" t="s">
        <v>1774</v>
      </c>
      <c r="D670" s="136">
        <v>60162694</v>
      </c>
      <c r="E670" s="124" t="s">
        <v>781</v>
      </c>
      <c r="F670" s="151"/>
      <c r="G670" s="124"/>
      <c r="H670" s="128">
        <v>46387</v>
      </c>
      <c r="I670" s="151"/>
      <c r="J670" s="151"/>
    </row>
    <row r="671" spans="1:10" x14ac:dyDescent="0.25">
      <c r="A671" s="124" t="s">
        <v>1780</v>
      </c>
      <c r="B671" s="124" t="s">
        <v>734</v>
      </c>
      <c r="C671" s="124" t="s">
        <v>1785</v>
      </c>
      <c r="D671" s="136" t="s">
        <v>1828</v>
      </c>
      <c r="E671" s="124" t="s">
        <v>1784</v>
      </c>
      <c r="F671" s="151"/>
      <c r="G671" s="124"/>
      <c r="H671" s="128">
        <v>46022</v>
      </c>
      <c r="I671" s="151"/>
      <c r="J671" s="151"/>
    </row>
    <row r="672" spans="1:10" x14ac:dyDescent="0.25">
      <c r="A672" s="124" t="s">
        <v>1779</v>
      </c>
      <c r="B672" s="124" t="s">
        <v>734</v>
      </c>
      <c r="C672" s="124" t="s">
        <v>1786</v>
      </c>
      <c r="D672" s="136" t="s">
        <v>1827</v>
      </c>
      <c r="E672" s="124" t="s">
        <v>1069</v>
      </c>
      <c r="F672" s="151"/>
      <c r="G672" s="124"/>
      <c r="H672" s="128">
        <v>46022</v>
      </c>
      <c r="I672" s="151"/>
      <c r="J672" s="151"/>
    </row>
    <row r="673" spans="1:10" x14ac:dyDescent="0.25">
      <c r="A673" s="124" t="s">
        <v>1778</v>
      </c>
      <c r="B673" s="124" t="s">
        <v>734</v>
      </c>
      <c r="C673" s="124" t="s">
        <v>1788</v>
      </c>
      <c r="D673" s="136" t="s">
        <v>1826</v>
      </c>
      <c r="E673" s="124" t="s">
        <v>1787</v>
      </c>
      <c r="F673" s="151"/>
      <c r="G673" s="124"/>
      <c r="H673" s="128">
        <v>46112</v>
      </c>
      <c r="I673" s="151"/>
      <c r="J673" s="151"/>
    </row>
    <row r="674" spans="1:10" x14ac:dyDescent="0.25">
      <c r="A674" s="124" t="s">
        <v>1777</v>
      </c>
      <c r="B674" s="124" t="s">
        <v>734</v>
      </c>
      <c r="C674" s="124" t="s">
        <v>1790</v>
      </c>
      <c r="D674" s="136" t="s">
        <v>1825</v>
      </c>
      <c r="E674" s="124" t="s">
        <v>1789</v>
      </c>
      <c r="F674" s="151"/>
      <c r="G674" s="124"/>
      <c r="H674" s="128">
        <v>46003</v>
      </c>
      <c r="I674" s="151"/>
      <c r="J674" s="151"/>
    </row>
    <row r="675" spans="1:10" x14ac:dyDescent="0.25">
      <c r="A675" s="124" t="s">
        <v>1776</v>
      </c>
      <c r="B675" s="124" t="s">
        <v>739</v>
      </c>
      <c r="C675" s="124" t="s">
        <v>1775</v>
      </c>
      <c r="D675" s="136">
        <v>63671069</v>
      </c>
      <c r="E675" s="124" t="s">
        <v>1791</v>
      </c>
      <c r="F675" s="151"/>
      <c r="G675" s="133">
        <v>2924095.68</v>
      </c>
      <c r="H675" s="128">
        <v>47101</v>
      </c>
      <c r="I675" s="151"/>
      <c r="J675" s="151"/>
    </row>
    <row r="676" spans="1:10" x14ac:dyDescent="0.25">
      <c r="A676" s="124" t="s">
        <v>1793</v>
      </c>
      <c r="B676" s="124" t="s">
        <v>734</v>
      </c>
      <c r="C676" s="124" t="s">
        <v>1795</v>
      </c>
      <c r="D676" s="136" t="s">
        <v>1824</v>
      </c>
      <c r="E676" s="124" t="s">
        <v>1794</v>
      </c>
      <c r="F676" s="151"/>
      <c r="G676" s="124"/>
      <c r="H676" s="128">
        <v>46053</v>
      </c>
      <c r="I676" s="151"/>
      <c r="J676" s="151"/>
    </row>
    <row r="677" spans="1:10" x14ac:dyDescent="0.25">
      <c r="A677" s="124" t="s">
        <v>1797</v>
      </c>
      <c r="B677" s="124" t="s">
        <v>739</v>
      </c>
      <c r="C677" s="124" t="s">
        <v>1798</v>
      </c>
      <c r="D677" s="136">
        <v>48033758</v>
      </c>
      <c r="E677" s="124" t="s">
        <v>792</v>
      </c>
      <c r="F677" s="151"/>
      <c r="G677" s="132">
        <v>508504.42</v>
      </c>
      <c r="H677" s="128">
        <v>46074</v>
      </c>
      <c r="I677" s="151"/>
      <c r="J677" s="151"/>
    </row>
    <row r="678" spans="1:10" x14ac:dyDescent="0.25">
      <c r="A678" s="124" t="s">
        <v>1799</v>
      </c>
      <c r="B678" s="124" t="s">
        <v>739</v>
      </c>
      <c r="C678" s="124" t="s">
        <v>1800</v>
      </c>
      <c r="D678" s="136">
        <v>44265778</v>
      </c>
      <c r="E678" s="124" t="s">
        <v>1022</v>
      </c>
      <c r="F678" s="151"/>
      <c r="G678" s="132">
        <v>371304.06</v>
      </c>
      <c r="H678" s="128">
        <v>46071</v>
      </c>
      <c r="I678" s="151"/>
      <c r="J678" s="151"/>
    </row>
    <row r="679" spans="1:10" x14ac:dyDescent="0.25">
      <c r="A679" s="124" t="s">
        <v>1801</v>
      </c>
      <c r="B679" s="124" t="s">
        <v>739</v>
      </c>
      <c r="C679" s="124" t="s">
        <v>1802</v>
      </c>
      <c r="D679" s="136">
        <v>27253236</v>
      </c>
      <c r="E679" s="124" t="s">
        <v>843</v>
      </c>
      <c r="F679" s="151"/>
      <c r="G679" s="132"/>
      <c r="H679" s="128">
        <v>2958465</v>
      </c>
      <c r="I679" s="151"/>
      <c r="J679" s="151"/>
    </row>
  </sheetData>
  <hyperlinks>
    <hyperlink ref="E143" r:id="rId1" xr:uid="{8E2F58B0-4C85-489E-9FFC-294526735F41}"/>
  </hyperlinks>
  <pageMargins left="0.7" right="0.7" top="0.78740157499999996" bottom="0.78740157499999996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BD75-2279-4380-9446-216408B8E130}">
  <dimension ref="A1:K68"/>
  <sheetViews>
    <sheetView zoomScaleNormal="100" workbookViewId="0">
      <selection activeCell="C9" sqref="C9"/>
    </sheetView>
  </sheetViews>
  <sheetFormatPr defaultColWidth="8.88671875" defaultRowHeight="13.2" x14ac:dyDescent="0.25"/>
  <cols>
    <col min="1" max="1" width="24.88671875" style="15" bestFit="1" customWidth="1"/>
    <col min="2" max="2" width="13.109375" style="15" customWidth="1"/>
    <col min="3" max="3" width="77.33203125" style="15" bestFit="1" customWidth="1"/>
    <col min="4" max="4" width="9.6640625" style="119" bestFit="1" customWidth="1"/>
    <col min="5" max="5" width="36" style="15" bestFit="1" customWidth="1"/>
    <col min="6" max="6" width="16.33203125" style="3" customWidth="1"/>
    <col min="7" max="7" width="15.5546875" style="3" customWidth="1"/>
    <col min="8" max="8" width="11.109375" style="3" bestFit="1" customWidth="1"/>
    <col min="9" max="10" width="17.33203125" style="3" bestFit="1" customWidth="1"/>
    <col min="11" max="11" width="15.88671875" style="3" bestFit="1" customWidth="1"/>
    <col min="12" max="12" width="18.88671875" style="3" customWidth="1"/>
    <col min="13" max="13" width="16" style="3" customWidth="1"/>
    <col min="14" max="14" width="17" style="3" bestFit="1" customWidth="1"/>
    <col min="15" max="16384" width="8.88671875" style="3"/>
  </cols>
  <sheetData>
    <row r="1" spans="1:11" s="16" customFormat="1" ht="40.200000000000003" thickBot="1" x14ac:dyDescent="0.3">
      <c r="A1" s="4" t="s">
        <v>1193</v>
      </c>
      <c r="B1" s="4" t="s">
        <v>1156</v>
      </c>
      <c r="C1" s="4" t="s">
        <v>1194</v>
      </c>
      <c r="D1" s="120" t="s">
        <v>733</v>
      </c>
      <c r="E1" s="4" t="s">
        <v>1195</v>
      </c>
      <c r="F1" s="5" t="s">
        <v>1196</v>
      </c>
      <c r="G1" s="5" t="s">
        <v>1197</v>
      </c>
      <c r="H1" s="39" t="s">
        <v>1198</v>
      </c>
      <c r="I1" s="117" t="s">
        <v>1804</v>
      </c>
      <c r="J1" s="118" t="s">
        <v>1805</v>
      </c>
    </row>
    <row r="2" spans="1:11" x14ac:dyDescent="0.25">
      <c r="A2" s="62" t="s">
        <v>273</v>
      </c>
      <c r="B2" s="63" t="s">
        <v>1725</v>
      </c>
      <c r="C2" s="64" t="s">
        <v>1204</v>
      </c>
      <c r="D2" s="65">
        <v>27094987</v>
      </c>
      <c r="E2" s="65" t="s">
        <v>1205</v>
      </c>
      <c r="F2" s="66">
        <v>1000080</v>
      </c>
      <c r="G2" s="66">
        <v>1210096.8</v>
      </c>
      <c r="H2" s="85">
        <v>46455</v>
      </c>
      <c r="I2" s="103">
        <v>420037.40999999992</v>
      </c>
      <c r="J2" s="68">
        <v>508245.25999999995</v>
      </c>
    </row>
    <row r="3" spans="1:11" x14ac:dyDescent="0.25">
      <c r="A3" s="18" t="s">
        <v>1539</v>
      </c>
      <c r="B3" s="67" t="s">
        <v>1725</v>
      </c>
      <c r="C3" s="19" t="s">
        <v>1732</v>
      </c>
      <c r="D3" s="40">
        <v>60719044</v>
      </c>
      <c r="E3" s="40" t="s">
        <v>1543</v>
      </c>
      <c r="F3" s="20">
        <v>850000</v>
      </c>
      <c r="G3" s="20">
        <v>1028500</v>
      </c>
      <c r="H3" s="86">
        <v>46470</v>
      </c>
      <c r="I3" s="43">
        <v>850000</v>
      </c>
      <c r="J3" s="42">
        <v>1028500</v>
      </c>
    </row>
    <row r="4" spans="1:11" x14ac:dyDescent="0.25">
      <c r="A4" s="18" t="s">
        <v>1540</v>
      </c>
      <c r="B4" s="67" t="s">
        <v>1725</v>
      </c>
      <c r="C4" s="19" t="s">
        <v>1731</v>
      </c>
      <c r="D4" s="40">
        <v>60719044</v>
      </c>
      <c r="E4" s="40" t="s">
        <v>1543</v>
      </c>
      <c r="F4" s="20">
        <v>500000</v>
      </c>
      <c r="G4" s="20">
        <v>605000</v>
      </c>
      <c r="H4" s="86">
        <v>46470</v>
      </c>
      <c r="I4" s="43">
        <v>500000</v>
      </c>
      <c r="J4" s="42">
        <v>605000</v>
      </c>
    </row>
    <row r="5" spans="1:11" x14ac:dyDescent="0.25">
      <c r="A5" s="18" t="s">
        <v>1176</v>
      </c>
      <c r="B5" s="67" t="s">
        <v>1725</v>
      </c>
      <c r="C5" s="19" t="s">
        <v>1211</v>
      </c>
      <c r="D5" s="40">
        <v>48586285</v>
      </c>
      <c r="E5" s="40" t="s">
        <v>1177</v>
      </c>
      <c r="F5" s="20">
        <v>1500000</v>
      </c>
      <c r="G5" s="20">
        <v>1815000</v>
      </c>
      <c r="H5" s="86">
        <v>46252</v>
      </c>
      <c r="I5" s="43">
        <v>1001598.1983471075</v>
      </c>
      <c r="J5" s="42">
        <v>1211934.72</v>
      </c>
    </row>
    <row r="6" spans="1:11" x14ac:dyDescent="0.25">
      <c r="A6" s="18" t="s">
        <v>233</v>
      </c>
      <c r="B6" s="67" t="s">
        <v>1725</v>
      </c>
      <c r="C6" s="19" t="s">
        <v>1206</v>
      </c>
      <c r="D6" s="40">
        <v>27094987</v>
      </c>
      <c r="E6" s="40" t="s">
        <v>1205</v>
      </c>
      <c r="F6" s="20">
        <v>750000</v>
      </c>
      <c r="G6" s="20">
        <v>907500</v>
      </c>
      <c r="H6" s="86">
        <v>46299</v>
      </c>
      <c r="I6" s="43">
        <v>332307.8330578513</v>
      </c>
      <c r="J6" s="42">
        <v>420429.13999999996</v>
      </c>
    </row>
    <row r="7" spans="1:11" x14ac:dyDescent="0.25">
      <c r="A7" s="18" t="s">
        <v>1143</v>
      </c>
      <c r="B7" s="67" t="s">
        <v>1725</v>
      </c>
      <c r="C7" s="19" t="s">
        <v>1210</v>
      </c>
      <c r="D7" s="40">
        <v>27529053</v>
      </c>
      <c r="E7" s="40" t="s">
        <v>831</v>
      </c>
      <c r="F7" s="20">
        <v>700000</v>
      </c>
      <c r="G7" s="20">
        <v>784000</v>
      </c>
      <c r="H7" s="86">
        <v>46221</v>
      </c>
      <c r="I7" s="43">
        <v>319300</v>
      </c>
      <c r="J7" s="42">
        <v>357616</v>
      </c>
    </row>
    <row r="8" spans="1:11" x14ac:dyDescent="0.25">
      <c r="A8" s="18" t="s">
        <v>1459</v>
      </c>
      <c r="B8" s="67" t="s">
        <v>1725</v>
      </c>
      <c r="C8" s="19" t="s">
        <v>1203</v>
      </c>
      <c r="D8" s="40">
        <v>27529053</v>
      </c>
      <c r="E8" s="40" t="s">
        <v>831</v>
      </c>
      <c r="F8" s="20">
        <v>410000</v>
      </c>
      <c r="G8" s="20">
        <v>459200</v>
      </c>
      <c r="H8" s="86">
        <v>46198</v>
      </c>
      <c r="I8" s="43">
        <v>290000</v>
      </c>
      <c r="J8" s="42">
        <v>324800</v>
      </c>
    </row>
    <row r="9" spans="1:11" x14ac:dyDescent="0.25">
      <c r="A9" s="18" t="s">
        <v>292</v>
      </c>
      <c r="B9" s="67" t="s">
        <v>1725</v>
      </c>
      <c r="C9" s="19" t="s">
        <v>1207</v>
      </c>
      <c r="D9" s="40">
        <v>25944991</v>
      </c>
      <c r="E9" s="40" t="s">
        <v>870</v>
      </c>
      <c r="F9" s="20">
        <v>1990000</v>
      </c>
      <c r="G9" s="20">
        <v>2407900</v>
      </c>
      <c r="H9" s="86">
        <v>46180</v>
      </c>
      <c r="I9" s="43">
        <v>674200</v>
      </c>
      <c r="J9" s="42">
        <v>922594</v>
      </c>
    </row>
    <row r="10" spans="1:11" x14ac:dyDescent="0.25">
      <c r="A10" s="18" t="s">
        <v>1374</v>
      </c>
      <c r="B10" s="67" t="s">
        <v>1725</v>
      </c>
      <c r="C10" s="19" t="s">
        <v>1432</v>
      </c>
      <c r="D10" s="40">
        <v>60491256</v>
      </c>
      <c r="E10" s="40" t="s">
        <v>1375</v>
      </c>
      <c r="F10" s="20">
        <v>500000</v>
      </c>
      <c r="G10" s="20">
        <v>560000</v>
      </c>
      <c r="H10" s="87">
        <v>46078</v>
      </c>
      <c r="I10" s="43">
        <v>268160</v>
      </c>
      <c r="J10" s="42">
        <v>300339.20000000001</v>
      </c>
    </row>
    <row r="11" spans="1:11" x14ac:dyDescent="0.25">
      <c r="A11" s="18" t="s">
        <v>285</v>
      </c>
      <c r="B11" s="67" t="s">
        <v>1725</v>
      </c>
      <c r="C11" s="19" t="s">
        <v>1199</v>
      </c>
      <c r="D11" s="40">
        <v>28467299</v>
      </c>
      <c r="E11" s="40" t="s">
        <v>1200</v>
      </c>
      <c r="F11" s="20">
        <v>1990000</v>
      </c>
      <c r="G11" s="20">
        <v>2407900</v>
      </c>
      <c r="H11" s="86">
        <v>46157</v>
      </c>
      <c r="I11" s="50">
        <v>399000</v>
      </c>
      <c r="J11" s="42">
        <v>482790</v>
      </c>
    </row>
    <row r="12" spans="1:11" x14ac:dyDescent="0.25">
      <c r="A12" s="21" t="s">
        <v>1320</v>
      </c>
      <c r="B12" s="67" t="s">
        <v>1725</v>
      </c>
      <c r="C12" s="19" t="s">
        <v>1600</v>
      </c>
      <c r="D12" s="40">
        <v>47675934</v>
      </c>
      <c r="E12" s="41" t="s">
        <v>793</v>
      </c>
      <c r="F12" s="20">
        <v>1500000</v>
      </c>
      <c r="G12" s="20">
        <v>1680000</v>
      </c>
      <c r="H12" s="87">
        <v>46034</v>
      </c>
      <c r="I12" s="43">
        <v>248162.94642857136</v>
      </c>
      <c r="J12" s="42">
        <v>277942.5</v>
      </c>
      <c r="K12" s="3" t="s">
        <v>1390</v>
      </c>
    </row>
    <row r="13" spans="1:11" x14ac:dyDescent="0.25">
      <c r="A13" s="21" t="s">
        <v>1634</v>
      </c>
      <c r="B13" s="67" t="s">
        <v>1725</v>
      </c>
      <c r="C13" s="19" t="s">
        <v>1681</v>
      </c>
      <c r="D13" s="40">
        <v>25099019</v>
      </c>
      <c r="E13" s="41" t="s">
        <v>1682</v>
      </c>
      <c r="F13" s="20">
        <v>1000000</v>
      </c>
      <c r="G13" s="20">
        <v>1120000</v>
      </c>
      <c r="H13" s="86">
        <v>46329</v>
      </c>
      <c r="I13" s="43">
        <v>878450</v>
      </c>
      <c r="J13" s="42">
        <v>983864</v>
      </c>
      <c r="K13" s="3" t="s">
        <v>1390</v>
      </c>
    </row>
    <row r="14" spans="1:11" x14ac:dyDescent="0.25">
      <c r="A14" s="18" t="s">
        <v>295</v>
      </c>
      <c r="B14" s="67" t="s">
        <v>1725</v>
      </c>
      <c r="C14" s="19" t="s">
        <v>296</v>
      </c>
      <c r="D14" s="40">
        <v>27094987</v>
      </c>
      <c r="E14" s="40" t="s">
        <v>1205</v>
      </c>
      <c r="F14" s="20">
        <v>600000</v>
      </c>
      <c r="G14" s="20">
        <v>726000</v>
      </c>
      <c r="H14" s="86">
        <v>46587</v>
      </c>
      <c r="I14" s="43">
        <v>260000</v>
      </c>
      <c r="J14" s="42">
        <v>338162</v>
      </c>
    </row>
    <row r="15" spans="1:11" x14ac:dyDescent="0.25">
      <c r="A15" s="18" t="s">
        <v>297</v>
      </c>
      <c r="B15" s="67" t="s">
        <v>1725</v>
      </c>
      <c r="C15" s="19" t="s">
        <v>298</v>
      </c>
      <c r="D15" s="40">
        <v>27094987</v>
      </c>
      <c r="E15" s="40" t="s">
        <v>1205</v>
      </c>
      <c r="F15" s="20">
        <v>60000</v>
      </c>
      <c r="G15" s="20">
        <v>72600</v>
      </c>
      <c r="H15" s="86">
        <v>46587</v>
      </c>
      <c r="I15" s="43">
        <v>35300</v>
      </c>
      <c r="J15" s="42">
        <v>44252</v>
      </c>
    </row>
    <row r="16" spans="1:11" x14ac:dyDescent="0.25">
      <c r="A16" s="18" t="s">
        <v>299</v>
      </c>
      <c r="B16" s="67" t="s">
        <v>1725</v>
      </c>
      <c r="C16" s="19" t="s">
        <v>300</v>
      </c>
      <c r="D16" s="40">
        <v>27094987</v>
      </c>
      <c r="E16" s="40" t="s">
        <v>1205</v>
      </c>
      <c r="F16" s="20">
        <v>180000</v>
      </c>
      <c r="G16" s="20">
        <v>217800</v>
      </c>
      <c r="H16" s="86">
        <v>46587</v>
      </c>
      <c r="I16" s="43">
        <v>60300</v>
      </c>
      <c r="J16" s="42">
        <v>82881</v>
      </c>
    </row>
    <row r="17" spans="1:10" x14ac:dyDescent="0.25">
      <c r="A17" s="18" t="s">
        <v>301</v>
      </c>
      <c r="B17" s="67" t="s">
        <v>1725</v>
      </c>
      <c r="C17" s="19" t="s">
        <v>302</v>
      </c>
      <c r="D17" s="40">
        <v>27094987</v>
      </c>
      <c r="E17" s="40" t="s">
        <v>1205</v>
      </c>
      <c r="F17" s="20">
        <v>70000</v>
      </c>
      <c r="G17" s="20">
        <v>84700</v>
      </c>
      <c r="H17" s="86">
        <v>46587</v>
      </c>
      <c r="I17" s="43">
        <v>39600</v>
      </c>
      <c r="J17" s="42">
        <v>50310</v>
      </c>
    </row>
    <row r="18" spans="1:10" x14ac:dyDescent="0.25">
      <c r="A18" s="18" t="s">
        <v>1487</v>
      </c>
      <c r="B18" s="67" t="s">
        <v>1725</v>
      </c>
      <c r="C18" s="19" t="s">
        <v>1500</v>
      </c>
      <c r="D18" s="40">
        <v>28849809</v>
      </c>
      <c r="E18" s="41" t="s">
        <v>823</v>
      </c>
      <c r="F18" s="20">
        <v>350000</v>
      </c>
      <c r="G18" s="20">
        <v>392000</v>
      </c>
      <c r="H18" s="86">
        <v>46231</v>
      </c>
      <c r="I18" s="43">
        <v>168000</v>
      </c>
      <c r="J18" s="42">
        <v>188160</v>
      </c>
    </row>
    <row r="19" spans="1:10" x14ac:dyDescent="0.25">
      <c r="A19" s="18" t="s">
        <v>1488</v>
      </c>
      <c r="B19" s="67" t="s">
        <v>1725</v>
      </c>
      <c r="C19" s="19" t="s">
        <v>1501</v>
      </c>
      <c r="D19" s="40">
        <v>27094987</v>
      </c>
      <c r="E19" s="41" t="s">
        <v>1502</v>
      </c>
      <c r="F19" s="20">
        <v>250000</v>
      </c>
      <c r="G19" s="20">
        <v>280000</v>
      </c>
      <c r="H19" s="86">
        <v>46237</v>
      </c>
      <c r="I19" s="43">
        <v>250000</v>
      </c>
      <c r="J19" s="42">
        <v>280000</v>
      </c>
    </row>
    <row r="20" spans="1:10" x14ac:dyDescent="0.25">
      <c r="A20" s="22" t="s">
        <v>207</v>
      </c>
      <c r="B20" s="67" t="s">
        <v>1725</v>
      </c>
      <c r="C20" s="19" t="s">
        <v>206</v>
      </c>
      <c r="D20" s="40">
        <v>28849809</v>
      </c>
      <c r="E20" s="41" t="s">
        <v>823</v>
      </c>
      <c r="F20" s="20">
        <v>739580</v>
      </c>
      <c r="G20" s="20">
        <v>894891.8</v>
      </c>
      <c r="H20" s="86">
        <v>46185</v>
      </c>
      <c r="I20" s="43">
        <v>83960</v>
      </c>
      <c r="J20" s="42">
        <v>131285.3000000001</v>
      </c>
    </row>
    <row r="21" spans="1:10" x14ac:dyDescent="0.25">
      <c r="A21" s="18" t="s">
        <v>1084</v>
      </c>
      <c r="B21" s="67" t="s">
        <v>1725</v>
      </c>
      <c r="C21" s="19" t="s">
        <v>1085</v>
      </c>
      <c r="D21" s="40">
        <v>47675934</v>
      </c>
      <c r="E21" s="40" t="s">
        <v>793</v>
      </c>
      <c r="F21" s="20">
        <v>140000</v>
      </c>
      <c r="G21" s="20">
        <v>156800</v>
      </c>
      <c r="H21" s="86">
        <v>46535</v>
      </c>
      <c r="I21" s="50">
        <v>46736.010000000009</v>
      </c>
      <c r="J21" s="42">
        <v>52344.320000000007</v>
      </c>
    </row>
    <row r="22" spans="1:10" x14ac:dyDescent="0.25">
      <c r="A22" s="18" t="s">
        <v>1147</v>
      </c>
      <c r="B22" s="67" t="s">
        <v>1725</v>
      </c>
      <c r="C22" s="19" t="s">
        <v>1148</v>
      </c>
      <c r="D22" s="40">
        <v>28849809</v>
      </c>
      <c r="E22" s="40" t="s">
        <v>823</v>
      </c>
      <c r="F22" s="20">
        <v>1800000</v>
      </c>
      <c r="G22" s="20">
        <v>2178000</v>
      </c>
      <c r="H22" s="86">
        <v>46605</v>
      </c>
      <c r="I22" s="43">
        <v>470884</v>
      </c>
      <c r="J22" s="42">
        <v>689390.08000000019</v>
      </c>
    </row>
    <row r="23" spans="1:10" x14ac:dyDescent="0.25">
      <c r="A23" s="18" t="s">
        <v>1044</v>
      </c>
      <c r="B23" s="67" t="s">
        <v>1725</v>
      </c>
      <c r="C23" s="19" t="s">
        <v>1209</v>
      </c>
      <c r="D23" s="40">
        <v>61509051</v>
      </c>
      <c r="E23" s="40" t="s">
        <v>1045</v>
      </c>
      <c r="F23" s="20">
        <v>1100000</v>
      </c>
      <c r="G23" s="20">
        <v>1331000</v>
      </c>
      <c r="H23" s="86">
        <v>46130</v>
      </c>
      <c r="I23" s="43">
        <v>889916</v>
      </c>
      <c r="J23" s="42">
        <v>1076798.3600000001</v>
      </c>
    </row>
    <row r="24" spans="1:10" x14ac:dyDescent="0.25">
      <c r="A24" s="18" t="s">
        <v>1492</v>
      </c>
      <c r="B24" s="67" t="s">
        <v>1725</v>
      </c>
      <c r="C24" s="19" t="s">
        <v>1733</v>
      </c>
      <c r="D24" s="40">
        <v>24766356</v>
      </c>
      <c r="E24" s="40" t="s">
        <v>1284</v>
      </c>
      <c r="F24" s="20">
        <v>350000</v>
      </c>
      <c r="G24" s="20">
        <v>392000</v>
      </c>
      <c r="H24" s="86">
        <v>46231</v>
      </c>
      <c r="I24" s="43">
        <v>331000.89285714284</v>
      </c>
      <c r="J24" s="42">
        <v>370721</v>
      </c>
    </row>
    <row r="25" spans="1:10" x14ac:dyDescent="0.25">
      <c r="A25" s="18" t="s">
        <v>1493</v>
      </c>
      <c r="B25" s="67" t="s">
        <v>1725</v>
      </c>
      <c r="C25" s="19" t="s">
        <v>1734</v>
      </c>
      <c r="D25" s="40">
        <v>26698293</v>
      </c>
      <c r="E25" s="40" t="s">
        <v>859</v>
      </c>
      <c r="F25" s="20">
        <v>250000</v>
      </c>
      <c r="G25" s="20">
        <v>280000</v>
      </c>
      <c r="H25" s="86">
        <v>46237</v>
      </c>
      <c r="I25" s="43">
        <v>224000</v>
      </c>
      <c r="J25" s="42">
        <v>250880</v>
      </c>
    </row>
    <row r="26" spans="1:10" x14ac:dyDescent="0.25">
      <c r="A26" s="18" t="s">
        <v>1494</v>
      </c>
      <c r="B26" s="67" t="s">
        <v>1725</v>
      </c>
      <c r="C26" s="19" t="s">
        <v>1735</v>
      </c>
      <c r="D26" s="40">
        <v>24766356</v>
      </c>
      <c r="E26" s="40" t="s">
        <v>1284</v>
      </c>
      <c r="F26" s="20">
        <v>134000</v>
      </c>
      <c r="G26" s="20">
        <v>150080</v>
      </c>
      <c r="H26" s="86">
        <v>46267</v>
      </c>
      <c r="I26" s="43">
        <v>134000</v>
      </c>
      <c r="J26" s="42">
        <v>150080</v>
      </c>
    </row>
    <row r="27" spans="1:10" ht="13.8" thickBot="1" x14ac:dyDescent="0.3">
      <c r="A27" s="96" t="s">
        <v>1412</v>
      </c>
      <c r="B27" s="97" t="s">
        <v>1725</v>
      </c>
      <c r="C27" s="98" t="s">
        <v>1430</v>
      </c>
      <c r="D27" s="99">
        <v>27226158</v>
      </c>
      <c r="E27" s="99" t="s">
        <v>1431</v>
      </c>
      <c r="F27" s="100">
        <v>900000</v>
      </c>
      <c r="G27" s="100">
        <v>1089000</v>
      </c>
      <c r="H27" s="101">
        <v>46139</v>
      </c>
      <c r="I27" s="104">
        <v>608800</v>
      </c>
      <c r="J27" s="105">
        <v>762856</v>
      </c>
    </row>
    <row r="28" spans="1:10" x14ac:dyDescent="0.25">
      <c r="A28" s="51" t="s">
        <v>1416</v>
      </c>
      <c r="B28" s="69" t="s">
        <v>1726</v>
      </c>
      <c r="C28" s="52" t="s">
        <v>1429</v>
      </c>
      <c r="D28" s="53">
        <v>18383084</v>
      </c>
      <c r="E28" s="53" t="s">
        <v>1232</v>
      </c>
      <c r="F28" s="54">
        <v>600000</v>
      </c>
      <c r="G28" s="54">
        <v>726000</v>
      </c>
      <c r="H28" s="102">
        <v>46506</v>
      </c>
      <c r="I28" s="59">
        <v>516809.71074380167</v>
      </c>
      <c r="J28" s="60">
        <v>625339.75</v>
      </c>
    </row>
    <row r="29" spans="1:10" x14ac:dyDescent="0.25">
      <c r="A29" s="55" t="s">
        <v>1469</v>
      </c>
      <c r="B29" s="70" t="s">
        <v>1726</v>
      </c>
      <c r="C29" s="56" t="s">
        <v>1470</v>
      </c>
      <c r="D29" s="57">
        <v>25699032</v>
      </c>
      <c r="E29" s="57" t="s">
        <v>1479</v>
      </c>
      <c r="F29" s="58">
        <v>1000000</v>
      </c>
      <c r="G29" s="58">
        <v>1210000</v>
      </c>
      <c r="H29" s="89">
        <v>46575</v>
      </c>
      <c r="I29" s="44">
        <v>1000000</v>
      </c>
      <c r="J29" s="45">
        <v>1210000</v>
      </c>
    </row>
    <row r="30" spans="1:10" x14ac:dyDescent="0.25">
      <c r="A30" s="55" t="s">
        <v>1474</v>
      </c>
      <c r="B30" s="70" t="s">
        <v>1726</v>
      </c>
      <c r="C30" s="56" t="s">
        <v>1480</v>
      </c>
      <c r="D30" s="57" t="s">
        <v>1809</v>
      </c>
      <c r="E30" s="57" t="s">
        <v>1239</v>
      </c>
      <c r="F30" s="58">
        <v>750000</v>
      </c>
      <c r="G30" s="58">
        <v>907500</v>
      </c>
      <c r="H30" s="89">
        <v>46575</v>
      </c>
      <c r="I30" s="44">
        <v>724800</v>
      </c>
      <c r="J30" s="45">
        <v>877008</v>
      </c>
    </row>
    <row r="31" spans="1:10" x14ac:dyDescent="0.25">
      <c r="A31" s="23" t="s">
        <v>1345</v>
      </c>
      <c r="B31" s="70" t="s">
        <v>1726</v>
      </c>
      <c r="C31" s="24" t="s">
        <v>1352</v>
      </c>
      <c r="D31" s="25" t="s">
        <v>1808</v>
      </c>
      <c r="E31" s="25" t="s">
        <v>919</v>
      </c>
      <c r="F31" s="26">
        <v>2000000</v>
      </c>
      <c r="G31" s="26">
        <v>2420000</v>
      </c>
      <c r="H31" s="88">
        <v>46781</v>
      </c>
      <c r="I31" s="44">
        <v>776200</v>
      </c>
      <c r="J31" s="45">
        <v>939202.5</v>
      </c>
    </row>
    <row r="32" spans="1:10" x14ac:dyDescent="0.25">
      <c r="A32" s="23" t="s">
        <v>336</v>
      </c>
      <c r="B32" s="70" t="s">
        <v>1726</v>
      </c>
      <c r="C32" s="24" t="s">
        <v>1568</v>
      </c>
      <c r="D32" s="25">
        <v>19573499</v>
      </c>
      <c r="E32" s="25" t="s">
        <v>903</v>
      </c>
      <c r="F32" s="26">
        <f>822800*100/121</f>
        <v>680000</v>
      </c>
      <c r="G32" s="26">
        <v>822800</v>
      </c>
      <c r="H32" s="88">
        <v>2958465</v>
      </c>
      <c r="I32" s="44">
        <v>118016.5289256199</v>
      </c>
      <c r="J32" s="45">
        <v>142800</v>
      </c>
    </row>
    <row r="33" spans="1:10" x14ac:dyDescent="0.25">
      <c r="A33" s="23" t="s">
        <v>1264</v>
      </c>
      <c r="B33" s="70" t="s">
        <v>1726</v>
      </c>
      <c r="C33" s="24" t="s">
        <v>1569</v>
      </c>
      <c r="D33" s="25" t="s">
        <v>1808</v>
      </c>
      <c r="E33" s="25" t="s">
        <v>919</v>
      </c>
      <c r="F33" s="26">
        <v>624000</v>
      </c>
      <c r="G33" s="26">
        <v>755040</v>
      </c>
      <c r="H33" s="88">
        <v>46568</v>
      </c>
      <c r="I33" s="44">
        <v>89450</v>
      </c>
      <c r="J33" s="45">
        <v>108234.5</v>
      </c>
    </row>
    <row r="34" spans="1:10" x14ac:dyDescent="0.25">
      <c r="A34" s="22" t="s">
        <v>1277</v>
      </c>
      <c r="B34" s="70" t="s">
        <v>1726</v>
      </c>
      <c r="C34" s="28" t="s">
        <v>1567</v>
      </c>
      <c r="D34" s="32">
        <v>24664812</v>
      </c>
      <c r="E34" s="32" t="s">
        <v>1278</v>
      </c>
      <c r="F34" s="30">
        <v>480000</v>
      </c>
      <c r="G34" s="30">
        <v>580800</v>
      </c>
      <c r="H34" s="90"/>
      <c r="I34" s="46">
        <v>3200</v>
      </c>
      <c r="J34" s="47">
        <v>3872</v>
      </c>
    </row>
    <row r="35" spans="1:10" x14ac:dyDescent="0.25">
      <c r="A35" s="23" t="s">
        <v>1528</v>
      </c>
      <c r="B35" s="70" t="s">
        <v>1726</v>
      </c>
      <c r="C35" s="24" t="s">
        <v>1570</v>
      </c>
      <c r="D35" s="25">
        <v>22302174</v>
      </c>
      <c r="E35" s="25" t="s">
        <v>1571</v>
      </c>
      <c r="F35" s="26">
        <v>948000</v>
      </c>
      <c r="G35" s="26">
        <v>1147080</v>
      </c>
      <c r="H35" s="88">
        <v>46173</v>
      </c>
      <c r="I35" s="44">
        <v>810000</v>
      </c>
      <c r="J35" s="45">
        <v>980100</v>
      </c>
    </row>
    <row r="36" spans="1:10" x14ac:dyDescent="0.25">
      <c r="A36" s="23" t="s">
        <v>192</v>
      </c>
      <c r="B36" s="70" t="s">
        <v>1726</v>
      </c>
      <c r="C36" s="24" t="s">
        <v>193</v>
      </c>
      <c r="D36" s="25">
        <v>60724269</v>
      </c>
      <c r="E36" s="27" t="s">
        <v>1236</v>
      </c>
      <c r="F36" s="26">
        <v>480000</v>
      </c>
      <c r="G36" s="26">
        <v>580800</v>
      </c>
      <c r="H36" s="88">
        <v>46843</v>
      </c>
      <c r="I36" s="44">
        <v>269600</v>
      </c>
      <c r="J36" s="45">
        <v>326216</v>
      </c>
    </row>
    <row r="37" spans="1:10" x14ac:dyDescent="0.25">
      <c r="A37" s="23" t="s">
        <v>224</v>
      </c>
      <c r="B37" s="70" t="s">
        <v>1726</v>
      </c>
      <c r="C37" s="24" t="s">
        <v>225</v>
      </c>
      <c r="D37" s="25">
        <v>60724269</v>
      </c>
      <c r="E37" s="27" t="s">
        <v>1236</v>
      </c>
      <c r="F37" s="26">
        <v>750000</v>
      </c>
      <c r="G37" s="26">
        <v>907500</v>
      </c>
      <c r="H37" s="88">
        <v>47848</v>
      </c>
      <c r="I37" s="44">
        <v>177000</v>
      </c>
      <c r="J37" s="45">
        <v>214170</v>
      </c>
    </row>
    <row r="38" spans="1:10" ht="13.8" thickBot="1" x14ac:dyDescent="0.3">
      <c r="A38" s="22" t="s">
        <v>1137</v>
      </c>
      <c r="B38" s="70" t="s">
        <v>1726</v>
      </c>
      <c r="C38" s="28" t="s">
        <v>1138</v>
      </c>
      <c r="D38" s="32" t="s">
        <v>1810</v>
      </c>
      <c r="E38" s="29" t="s">
        <v>912</v>
      </c>
      <c r="F38" s="30">
        <v>1990000</v>
      </c>
      <c r="G38" s="30">
        <v>2407900</v>
      </c>
      <c r="H38" s="90">
        <v>46955</v>
      </c>
      <c r="I38" s="46">
        <v>1236669</v>
      </c>
      <c r="J38" s="47">
        <v>1496369.49</v>
      </c>
    </row>
    <row r="39" spans="1:10" x14ac:dyDescent="0.25">
      <c r="A39" s="71" t="s">
        <v>1509</v>
      </c>
      <c r="B39" s="72" t="s">
        <v>1727</v>
      </c>
      <c r="C39" s="73" t="s">
        <v>1510</v>
      </c>
      <c r="D39" s="79">
        <v>48586285</v>
      </c>
      <c r="E39" s="74" t="s">
        <v>790</v>
      </c>
      <c r="F39" s="75">
        <v>354879</v>
      </c>
      <c r="G39" s="75">
        <v>397464.48</v>
      </c>
      <c r="H39" s="92">
        <v>46606</v>
      </c>
      <c r="I39" s="95">
        <v>287655.63392857142</v>
      </c>
      <c r="J39" s="76">
        <v>322174.31</v>
      </c>
    </row>
    <row r="40" spans="1:10" x14ac:dyDescent="0.25">
      <c r="A40" s="22" t="s">
        <v>1507</v>
      </c>
      <c r="B40" s="77" t="s">
        <v>1727</v>
      </c>
      <c r="C40" s="28" t="s">
        <v>1508</v>
      </c>
      <c r="D40" s="32">
        <v>49689011</v>
      </c>
      <c r="E40" s="29" t="s">
        <v>1517</v>
      </c>
      <c r="F40" s="31">
        <v>2328591</v>
      </c>
      <c r="G40" s="31">
        <v>2608021.92</v>
      </c>
      <c r="H40" s="90">
        <v>46606</v>
      </c>
      <c r="I40" s="46">
        <v>1896259.7946428573</v>
      </c>
      <c r="J40" s="47">
        <v>2123810.9699999997</v>
      </c>
    </row>
    <row r="41" spans="1:10" ht="13.8" thickBot="1" x14ac:dyDescent="0.3">
      <c r="A41" s="35" t="s">
        <v>1154</v>
      </c>
      <c r="B41" s="78" t="s">
        <v>1727</v>
      </c>
      <c r="C41" s="36" t="s">
        <v>1212</v>
      </c>
      <c r="D41" s="61">
        <v>25277961</v>
      </c>
      <c r="E41" s="37" t="s">
        <v>1155</v>
      </c>
      <c r="F41" s="38">
        <v>5400000</v>
      </c>
      <c r="G41" s="38">
        <v>6048000</v>
      </c>
      <c r="H41" s="91">
        <v>46247</v>
      </c>
      <c r="I41" s="48">
        <v>1160380.0446428582</v>
      </c>
      <c r="J41" s="49">
        <v>1299625.6499999999</v>
      </c>
    </row>
    <row r="42" spans="1:10" ht="13.8" thickBot="1" x14ac:dyDescent="0.3">
      <c r="A42" s="109" t="s">
        <v>1792</v>
      </c>
      <c r="B42" s="110" t="s">
        <v>1803</v>
      </c>
      <c r="C42" s="111" t="s">
        <v>1796</v>
      </c>
      <c r="D42" s="112">
        <v>29055130</v>
      </c>
      <c r="E42" s="112" t="s">
        <v>1398</v>
      </c>
      <c r="F42" s="113">
        <v>1500000</v>
      </c>
      <c r="G42" s="113">
        <f>1500000*1.21</f>
        <v>1815000</v>
      </c>
      <c r="H42" s="114">
        <v>2958465</v>
      </c>
      <c r="I42" s="106">
        <v>1436000</v>
      </c>
      <c r="J42" s="13">
        <v>1737560</v>
      </c>
    </row>
    <row r="43" spans="1:10" x14ac:dyDescent="0.25">
      <c r="A43" s="71" t="s">
        <v>1180</v>
      </c>
      <c r="B43" s="72" t="s">
        <v>1728</v>
      </c>
      <c r="C43" s="73" t="s">
        <v>1214</v>
      </c>
      <c r="D43" s="79">
        <v>41193598</v>
      </c>
      <c r="E43" s="79" t="s">
        <v>1215</v>
      </c>
      <c r="F43" s="80">
        <v>50000</v>
      </c>
      <c r="G43" s="80">
        <v>60500</v>
      </c>
      <c r="H43" s="92">
        <v>47349</v>
      </c>
      <c r="I43" s="95">
        <v>30879.620247933883</v>
      </c>
      <c r="J43" s="76">
        <v>36732.840000000011</v>
      </c>
    </row>
    <row r="44" spans="1:10" x14ac:dyDescent="0.25">
      <c r="A44" s="81" t="s">
        <v>1314</v>
      </c>
      <c r="B44" s="77" t="s">
        <v>1728</v>
      </c>
      <c r="C44" s="82" t="s">
        <v>1316</v>
      </c>
      <c r="D44" s="83">
        <v>28489969</v>
      </c>
      <c r="E44" s="83" t="s">
        <v>1348</v>
      </c>
      <c r="F44" s="84">
        <v>1990000</v>
      </c>
      <c r="G44" s="84">
        <v>2407900</v>
      </c>
      <c r="H44" s="93">
        <v>46561</v>
      </c>
      <c r="I44" s="107">
        <v>1194004</v>
      </c>
      <c r="J44" s="108">
        <v>1444744.8399999994</v>
      </c>
    </row>
    <row r="45" spans="1:10" x14ac:dyDescent="0.25">
      <c r="A45" s="33" t="s">
        <v>1032</v>
      </c>
      <c r="B45" s="77" t="s">
        <v>1728</v>
      </c>
      <c r="C45" s="34" t="s">
        <v>1483</v>
      </c>
      <c r="D45" s="32" t="s">
        <v>1812</v>
      </c>
      <c r="E45" s="29" t="s">
        <v>1463</v>
      </c>
      <c r="F45" s="30">
        <v>450000</v>
      </c>
      <c r="G45" s="30">
        <v>544500</v>
      </c>
      <c r="H45" s="94">
        <v>46112</v>
      </c>
      <c r="I45" s="46">
        <v>154842.11570247935</v>
      </c>
      <c r="J45" s="47">
        <v>187358.96000000002</v>
      </c>
    </row>
    <row r="46" spans="1:10" x14ac:dyDescent="0.25">
      <c r="A46" s="33" t="s">
        <v>173</v>
      </c>
      <c r="B46" s="77" t="s">
        <v>1728</v>
      </c>
      <c r="C46" s="34" t="s">
        <v>1518</v>
      </c>
      <c r="D46" s="32">
        <v>68855958</v>
      </c>
      <c r="E46" s="29" t="s">
        <v>1513</v>
      </c>
      <c r="F46" s="30">
        <v>1695000</v>
      </c>
      <c r="G46" s="30">
        <f>F46*1.21</f>
        <v>2050950</v>
      </c>
      <c r="H46" s="90">
        <v>46752</v>
      </c>
      <c r="I46" s="46">
        <v>1695000</v>
      </c>
      <c r="J46" s="47">
        <v>2050950</v>
      </c>
    </row>
    <row r="47" spans="1:10" x14ac:dyDescent="0.25">
      <c r="A47" s="33" t="s">
        <v>221</v>
      </c>
      <c r="B47" s="77" t="s">
        <v>1728</v>
      </c>
      <c r="C47" s="34" t="s">
        <v>1519</v>
      </c>
      <c r="D47" s="32">
        <v>68855958</v>
      </c>
      <c r="E47" s="29" t="s">
        <v>1513</v>
      </c>
      <c r="F47" s="30">
        <v>1970000</v>
      </c>
      <c r="G47" s="30">
        <v>2383700</v>
      </c>
      <c r="H47" s="90">
        <v>46752</v>
      </c>
      <c r="I47" s="46">
        <v>298500</v>
      </c>
      <c r="J47" s="47">
        <v>361185</v>
      </c>
    </row>
    <row r="48" spans="1:10" x14ac:dyDescent="0.25">
      <c r="A48" s="33" t="s">
        <v>228</v>
      </c>
      <c r="B48" s="77" t="s">
        <v>1728</v>
      </c>
      <c r="C48" s="34" t="s">
        <v>1514</v>
      </c>
      <c r="D48" s="32">
        <v>68855958</v>
      </c>
      <c r="E48" s="29" t="s">
        <v>1513</v>
      </c>
      <c r="F48" s="30">
        <v>1365500</v>
      </c>
      <c r="G48" s="30">
        <v>1652255</v>
      </c>
      <c r="H48" s="90">
        <v>46752</v>
      </c>
      <c r="I48" s="46">
        <v>461869.66942148749</v>
      </c>
      <c r="J48" s="47">
        <v>558863.19999999995</v>
      </c>
    </row>
    <row r="49" spans="1:10" x14ac:dyDescent="0.25">
      <c r="A49" s="33" t="s">
        <v>307</v>
      </c>
      <c r="B49" s="77" t="s">
        <v>1728</v>
      </c>
      <c r="C49" s="34" t="s">
        <v>1515</v>
      </c>
      <c r="D49" s="32">
        <v>68855958</v>
      </c>
      <c r="E49" s="29" t="s">
        <v>1513</v>
      </c>
      <c r="F49" s="30">
        <v>1338500</v>
      </c>
      <c r="G49" s="30">
        <v>1619585</v>
      </c>
      <c r="H49" s="90">
        <v>46752</v>
      </c>
      <c r="I49" s="46">
        <v>445900.2066115702</v>
      </c>
      <c r="J49" s="47">
        <v>539540</v>
      </c>
    </row>
    <row r="50" spans="1:10" x14ac:dyDescent="0.25">
      <c r="A50" s="33" t="s">
        <v>308</v>
      </c>
      <c r="B50" s="77" t="s">
        <v>1728</v>
      </c>
      <c r="C50" s="34" t="s">
        <v>1516</v>
      </c>
      <c r="D50" s="32">
        <v>68855958</v>
      </c>
      <c r="E50" s="29" t="s">
        <v>1513</v>
      </c>
      <c r="F50" s="30">
        <v>1344950</v>
      </c>
      <c r="G50" s="30">
        <v>1627390</v>
      </c>
      <c r="H50" s="90">
        <v>46752</v>
      </c>
      <c r="I50" s="46">
        <v>438680</v>
      </c>
      <c r="J50" s="47">
        <v>530804</v>
      </c>
    </row>
    <row r="51" spans="1:10" x14ac:dyDescent="0.25">
      <c r="A51" s="22" t="s">
        <v>1523</v>
      </c>
      <c r="B51" s="77" t="s">
        <v>1728</v>
      </c>
      <c r="C51" s="28" t="s">
        <v>1628</v>
      </c>
      <c r="D51" s="32" t="s">
        <v>1817</v>
      </c>
      <c r="E51" s="29" t="s">
        <v>1213</v>
      </c>
      <c r="F51" s="30">
        <v>1150000</v>
      </c>
      <c r="G51" s="30">
        <v>1391500</v>
      </c>
      <c r="H51" s="90">
        <v>46752</v>
      </c>
      <c r="I51" s="46">
        <v>724953</v>
      </c>
      <c r="J51" s="47">
        <v>877193.13</v>
      </c>
    </row>
    <row r="52" spans="1:10" x14ac:dyDescent="0.25">
      <c r="A52" s="22" t="s">
        <v>1624</v>
      </c>
      <c r="B52" s="77" t="s">
        <v>1728</v>
      </c>
      <c r="C52" s="28" t="s">
        <v>1633</v>
      </c>
      <c r="D52" s="32">
        <v>48111198</v>
      </c>
      <c r="E52" s="29" t="s">
        <v>1632</v>
      </c>
      <c r="F52" s="30">
        <v>1900000</v>
      </c>
      <c r="G52" s="30">
        <v>2299000</v>
      </c>
      <c r="H52" s="90">
        <v>46682</v>
      </c>
      <c r="I52" s="46">
        <v>1756223.8147933884</v>
      </c>
      <c r="J52" s="47">
        <v>2125031</v>
      </c>
    </row>
    <row r="53" spans="1:10" x14ac:dyDescent="0.25">
      <c r="A53" s="22" t="s">
        <v>1520</v>
      </c>
      <c r="B53" s="77" t="s">
        <v>1728</v>
      </c>
      <c r="C53" s="28" t="s">
        <v>1522</v>
      </c>
      <c r="D53" s="32">
        <v>25347047</v>
      </c>
      <c r="E53" s="29" t="s">
        <v>1521</v>
      </c>
      <c r="F53" s="30">
        <v>2900000</v>
      </c>
      <c r="G53" s="30">
        <v>3509000</v>
      </c>
      <c r="H53" s="90">
        <v>46627</v>
      </c>
      <c r="I53" s="46">
        <v>2793781.7520661158</v>
      </c>
      <c r="J53" s="47">
        <v>3380475.92</v>
      </c>
    </row>
    <row r="54" spans="1:10" ht="13.8" thickBot="1" x14ac:dyDescent="0.3">
      <c r="A54" s="35" t="s">
        <v>242</v>
      </c>
      <c r="B54" s="78" t="s">
        <v>1728</v>
      </c>
      <c r="C54" s="36" t="s">
        <v>243</v>
      </c>
      <c r="D54" s="61" t="s">
        <v>1813</v>
      </c>
      <c r="E54" s="37" t="s">
        <v>1015</v>
      </c>
      <c r="F54" s="38">
        <v>27860600</v>
      </c>
      <c r="G54" s="38">
        <v>32789546</v>
      </c>
      <c r="H54" s="91">
        <v>46321</v>
      </c>
      <c r="I54" s="48">
        <v>27786554</v>
      </c>
      <c r="J54" s="49">
        <v>32184958</v>
      </c>
    </row>
    <row r="55" spans="1:10" x14ac:dyDescent="0.25">
      <c r="A55" s="71" t="s">
        <v>250</v>
      </c>
      <c r="B55" s="72" t="s">
        <v>1179</v>
      </c>
      <c r="C55" s="73" t="s">
        <v>1216</v>
      </c>
      <c r="D55" s="79" t="s">
        <v>1816</v>
      </c>
      <c r="E55" s="74" t="s">
        <v>1217</v>
      </c>
      <c r="F55" s="80">
        <v>1990000</v>
      </c>
      <c r="G55" s="80">
        <f>1990000*1.21</f>
        <v>2407900</v>
      </c>
      <c r="H55" s="92">
        <v>46375</v>
      </c>
      <c r="I55" s="95">
        <v>533440</v>
      </c>
      <c r="J55" s="76">
        <v>645462.39999999991</v>
      </c>
    </row>
    <row r="56" spans="1:10" x14ac:dyDescent="0.25">
      <c r="A56" s="22" t="s">
        <v>260</v>
      </c>
      <c r="B56" s="77" t="s">
        <v>1179</v>
      </c>
      <c r="C56" s="28" t="s">
        <v>1218</v>
      </c>
      <c r="D56" s="32" t="s">
        <v>1814</v>
      </c>
      <c r="E56" s="29" t="s">
        <v>1219</v>
      </c>
      <c r="F56" s="30">
        <v>1245000</v>
      </c>
      <c r="G56" s="30">
        <v>1506450</v>
      </c>
      <c r="H56" s="90">
        <v>2958465</v>
      </c>
      <c r="I56" s="46">
        <v>797000</v>
      </c>
      <c r="J56" s="47">
        <v>964370</v>
      </c>
    </row>
    <row r="57" spans="1:10" x14ac:dyDescent="0.25">
      <c r="A57" s="22" t="s">
        <v>1037</v>
      </c>
      <c r="B57" s="77" t="s">
        <v>1179</v>
      </c>
      <c r="C57" s="28" t="s">
        <v>1220</v>
      </c>
      <c r="D57" s="32" t="s">
        <v>1815</v>
      </c>
      <c r="E57" s="32" t="s">
        <v>1038</v>
      </c>
      <c r="F57" s="30">
        <v>1950000</v>
      </c>
      <c r="G57" s="30">
        <v>2359500</v>
      </c>
      <c r="H57" s="90">
        <v>46568</v>
      </c>
      <c r="I57" s="46">
        <v>1775618</v>
      </c>
      <c r="J57" s="47">
        <v>2148497.7799999998</v>
      </c>
    </row>
    <row r="58" spans="1:10" x14ac:dyDescent="0.25">
      <c r="A58" s="22" t="s">
        <v>1471</v>
      </c>
      <c r="B58" s="77" t="s">
        <v>1179</v>
      </c>
      <c r="C58" s="28" t="s">
        <v>1472</v>
      </c>
      <c r="D58" s="32" t="s">
        <v>1815</v>
      </c>
      <c r="E58" s="32" t="s">
        <v>1038</v>
      </c>
      <c r="F58" s="30">
        <v>480000</v>
      </c>
      <c r="G58" s="30">
        <v>580800</v>
      </c>
      <c r="H58" s="90">
        <v>46568</v>
      </c>
      <c r="I58" s="46">
        <v>305618</v>
      </c>
      <c r="J58" s="47">
        <v>369797.78</v>
      </c>
    </row>
    <row r="59" spans="1:10" x14ac:dyDescent="0.25">
      <c r="A59" s="22" t="s">
        <v>1283</v>
      </c>
      <c r="B59" s="77" t="s">
        <v>1179</v>
      </c>
      <c r="C59" s="28" t="s">
        <v>1285</v>
      </c>
      <c r="D59" s="32">
        <v>24207519</v>
      </c>
      <c r="E59" s="32" t="s">
        <v>1312</v>
      </c>
      <c r="F59" s="30">
        <f>26191541.32/121*100</f>
        <v>21645901.91735537</v>
      </c>
      <c r="G59" s="30">
        <v>26191541.32</v>
      </c>
      <c r="H59" s="90">
        <v>46721</v>
      </c>
      <c r="I59" s="46">
        <v>14430601.277355369</v>
      </c>
      <c r="J59" s="47">
        <v>17461027.550000001</v>
      </c>
    </row>
    <row r="60" spans="1:10" ht="13.8" thickBot="1" x14ac:dyDescent="0.3">
      <c r="A60" s="35" t="s">
        <v>1394</v>
      </c>
      <c r="B60" s="78" t="s">
        <v>1179</v>
      </c>
      <c r="C60" s="36" t="s">
        <v>1361</v>
      </c>
      <c r="D60" s="61">
        <v>24207519</v>
      </c>
      <c r="E60" s="61" t="s">
        <v>1312</v>
      </c>
      <c r="F60" s="38">
        <f>26191541.32/121*100</f>
        <v>21645901.91735537</v>
      </c>
      <c r="G60" s="38">
        <v>26191541.32</v>
      </c>
      <c r="H60" s="91">
        <v>46721</v>
      </c>
      <c r="I60" s="48">
        <v>7738942.4922314025</v>
      </c>
      <c r="J60" s="49">
        <v>9364120.4200000018</v>
      </c>
    </row>
    <row r="61" spans="1:10" x14ac:dyDescent="0.25">
      <c r="A61" s="7"/>
      <c r="B61" s="6"/>
      <c r="C61" s="8"/>
      <c r="D61" s="8"/>
      <c r="E61" s="14"/>
      <c r="F61" s="9"/>
      <c r="G61" s="9"/>
      <c r="H61" s="10"/>
      <c r="I61" s="11"/>
      <c r="J61" s="11"/>
    </row>
    <row r="62" spans="1:10" x14ac:dyDescent="0.25">
      <c r="A62" s="6"/>
      <c r="B62" s="6"/>
      <c r="C62" s="8"/>
      <c r="D62" s="8"/>
      <c r="E62" s="14"/>
      <c r="F62" s="9"/>
      <c r="G62" s="9"/>
      <c r="H62" s="10"/>
      <c r="I62" s="12"/>
      <c r="J62" s="12"/>
    </row>
    <row r="63" spans="1:10" x14ac:dyDescent="0.25">
      <c r="A63" s="6"/>
      <c r="B63" s="6"/>
      <c r="C63" s="8"/>
      <c r="D63" s="8"/>
      <c r="E63" s="14"/>
      <c r="F63" s="9"/>
      <c r="G63" s="9"/>
      <c r="H63" s="10"/>
      <c r="I63" s="12"/>
      <c r="J63" s="12"/>
    </row>
    <row r="64" spans="1:10" x14ac:dyDescent="0.25">
      <c r="A64" s="6"/>
      <c r="B64" s="6"/>
      <c r="C64" s="8"/>
      <c r="D64" s="8"/>
      <c r="E64" s="14"/>
      <c r="F64" s="9"/>
      <c r="G64" s="9"/>
      <c r="H64" s="10"/>
      <c r="I64" s="12"/>
      <c r="J64" s="12"/>
    </row>
    <row r="65" spans="1:10" x14ac:dyDescent="0.25">
      <c r="A65" s="6"/>
      <c r="B65" s="6"/>
      <c r="C65" s="8"/>
      <c r="D65" s="8"/>
      <c r="E65" s="14"/>
      <c r="F65" s="9"/>
      <c r="G65" s="9"/>
      <c r="H65" s="10"/>
      <c r="I65" s="12"/>
      <c r="J65" s="12"/>
    </row>
    <row r="66" spans="1:10" x14ac:dyDescent="0.25">
      <c r="A66" s="6"/>
      <c r="B66" s="6"/>
      <c r="C66" s="8"/>
      <c r="D66" s="8"/>
      <c r="E66" s="14"/>
      <c r="F66" s="9"/>
      <c r="G66" s="9"/>
      <c r="H66" s="10"/>
      <c r="I66" s="12"/>
      <c r="J66" s="12"/>
    </row>
    <row r="67" spans="1:10" x14ac:dyDescent="0.25">
      <c r="A67" s="6"/>
      <c r="B67" s="6"/>
      <c r="C67" s="8"/>
      <c r="D67" s="8"/>
      <c r="E67" s="14"/>
      <c r="F67" s="9"/>
      <c r="G67" s="9"/>
      <c r="H67" s="10"/>
    </row>
    <row r="68" spans="1:10" x14ac:dyDescent="0.25">
      <c r="A68" s="6"/>
      <c r="B68" s="6"/>
      <c r="C68" s="8"/>
      <c r="D68" s="8"/>
      <c r="E68" s="14"/>
      <c r="F68" s="9"/>
      <c r="G68" s="9"/>
      <c r="H68" s="10"/>
    </row>
  </sheetData>
  <conditionalFormatting sqref="A45:A50">
    <cfRule type="containsText" dxfId="13" priority="843" operator="containsText" text="&quot;A&quot;">
      <formula>NOT(ISERROR(SEARCH(("""A"""),(A45))))</formula>
    </cfRule>
    <cfRule type="containsText" dxfId="12" priority="844" operator="containsText" text="&quot;N&quot;">
      <formula>NOT(ISERROR(SEARCH(("""N"""),(A45))))</formula>
    </cfRule>
    <cfRule type="expression" dxfId="11" priority="845">
      <formula>AND(COUNTIF($A$1:$A$240,A45)+COUNTIF($A$242:$A$64426,A45)&gt;1,NOT(ISBLANK(A45)))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Pro Fa modul vše </vt:lpstr>
      <vt:lpstr>EEO Souhrn všech plnění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Brožová Anna</dc:creator>
  <cp:lastModifiedBy>Bezoušková Tereza | ZZSSK</cp:lastModifiedBy>
  <cp:lastPrinted>2025-05-14T11:31:18Z</cp:lastPrinted>
  <dcterms:created xsi:type="dcterms:W3CDTF">2024-02-16T09:42:52Z</dcterms:created>
  <dcterms:modified xsi:type="dcterms:W3CDTF">2025-12-28T16:26:12Z</dcterms:modified>
</cp:coreProperties>
</file>